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2.xml" ContentType="application/vnd.openxmlformats-officedocument.drawing+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3.xml" ContentType="application/vnd.openxmlformats-officedocument.drawing+xml"/>
  <Override PartName="/xl/ctrlProps/ctrlProp7.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drawings/drawing6.xml" ContentType="application/vnd.openxmlformats-officedocument.drawing+xml"/>
  <Override PartName="/xl/ctrlProps/ctrlProp11.xml" ContentType="application/vnd.ms-excel.controlproperties+xml"/>
  <Override PartName="/xl/ctrlProps/ctrlProp12.xml" ContentType="application/vnd.ms-excel.contro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defaultThemeVersion="124226"/>
  <mc:AlternateContent xmlns:mc="http://schemas.openxmlformats.org/markup-compatibility/2006">
    <mc:Choice Requires="x15">
      <x15ac:absPath xmlns:x15ac="http://schemas.microsoft.com/office/spreadsheetml/2010/11/ac" url="C:\Dev\SA-CCR\"/>
    </mc:Choice>
  </mc:AlternateContent>
  <xr:revisionPtr revIDLastSave="0" documentId="8_{21CFB04C-63D6-4F7E-87B8-CC6E69DCD410}" xr6:coauthVersionLast="47" xr6:coauthVersionMax="47" xr10:uidLastSave="{00000000-0000-0000-0000-000000000000}"/>
  <bookViews>
    <workbookView xWindow="-120" yWindow="-120" windowWidth="29040" windowHeight="17520" firstSheet="10" activeTab="17" xr2:uid="{00000000-000D-0000-FFFF-FFFF00000000}"/>
  </bookViews>
  <sheets>
    <sheet name="README" sheetId="1" r:id="rId1"/>
    <sheet name="Params" sheetId="2" r:id="rId2"/>
    <sheet name="NettingSets" sheetId="3" r:id="rId3"/>
    <sheet name="Trades" sheetId="4" r:id="rId4"/>
    <sheet name="Import_NettingSets" sheetId="17" r:id="rId21"/>
    <sheet name="Import_Trades" sheetId="18" r:id="rId22"/>
    <sheet name="Results" sheetId="5" r:id="rId5"/>
    <sheet name="HedgingSets" sheetId="6" r:id="rId6"/>
    <sheet name="Buckets" sheetId="7" r:id="rId7"/>
    <sheet name="TradeCalc" sheetId="8" r:id="rId8"/>
    <sheet name="Checks" sheetId="9" r:id="rId9"/>
    <sheet name="BankNettingSets" sheetId="13" r:id="rId10"/>
    <sheet name="Reconciliation" sheetId="14" r:id="rId11"/>
    <sheet name="BankTrades" sheetId="15" r:id="rId12"/>
    <sheet name="TradeReconciliation" sheetId="16" r:id="rId13"/>
    <sheet name="TestCatalogue" sheetId="10" r:id="rId14"/>
    <sheet name="FormulaTest" sheetId="11" r:id="rId15"/>
    <sheet name="Basel_vs_CRR" sheetId="12" r:id="rId16"/>
  </sheets>
  <definedNames>
    <definedName name="_xlnm._FilterDatabase" localSheetId="17" hidden="1">Basel_vs_CRR!$C$5:$K$33</definedName>
    <definedName name="_xlnm._FilterDatabase" localSheetId="3" hidden="1">Trades!$C$4:$AD$69</definedName>
    <definedName name="Alpha">Params!$E$8</definedName>
    <definedName name="AsOfDate">Params!$E$6</definedName>
    <definedName name="BankNettingSets_Header">BankNettingSets!$C$8</definedName>
    <definedName name="BankNS_AbsTol">BankNettingSets!$D$5</definedName>
    <definedName name="BankNS_RelTol">BankNettingSets!$D$6</definedName>
    <definedName name="BankNS_Scale">BankNettingSets!$D$4</definedName>
    <definedName name="BankTR_AbsTol">BankTrades!$D$5</definedName>
    <definedName name="BankTR_RelTol">BankTrades!$D$6</definedName>
    <definedName name="BankTR_Scale">BankTrades!$D$4</definedName>
    <definedName name="BankTrades_Header">BankTrades!$C$8</definedName>
    <definedName name="BasisFactor">Params!$E$17</definedName>
    <definedName name="Buckets_Header">Buckets!$C$5</definedName>
    <definedName name="BusinessDaysPerYear">Params!$E$11</definedName>
    <definedName name="Checks_Header">Checks!$C$5</definedName>
    <definedName name="DaysPerYear">Params!$E$10</definedName>
    <definedName name="FormulaTest_Tolerance">FormulaTest!$E$4</definedName>
    <definedName name="FX_Table">Params!$C$57:$E$62</definedName>
    <definedName name="HedgingSets_Header">HedgingSets!$C$5</definedName>
    <definedName name="ImportNettingSets_Header">Import_NettingSets!$C$9</definedName>
    <definedName name="ImportNS_File">Import_NettingSets!$D$4</definedName>
    <definedName name="ImportNS_LoadedAt">Import_NettingSets!$D$5</definedName>
    <definedName name="ImportNS_Records">Import_NettingSets!$D$6</definedName>
    <definedName name="ImportNS_Status">Import_NettingSets!$D$7</definedName>
    <definedName name="ImportTR_File">Import_Trades!$D$4</definedName>
    <definedName name="ImportTR_LoadedAt">Import_Trades!$D$5</definedName>
    <definedName name="ImportTR_Records">Import_Trades!$D$6</definedName>
    <definedName name="ImportTR_Status">Import_Trades!$D$7</definedName>
    <definedName name="ImportTrades_Header">Import_Trades!$C$9</definedName>
    <definedName name="IRBucketOffset">Params!$E$22</definedName>
    <definedName name="IRCorrBucket12">Params!$E$19</definedName>
    <definedName name="IRCorrBucket13">Params!$E$21</definedName>
    <definedName name="IRCorrBucket23">Params!$E$20</definedName>
    <definedName name="LambdaThresholdCO">Params!$E$25</definedName>
    <definedName name="LambdaThresholdIR">Params!$E$24</definedName>
    <definedName name="MinMaturityBD">Params!$E$12</definedName>
    <definedName name="MPORFloorBilateral">Params!$E$14</definedName>
    <definedName name="MPORFloorCleared">Params!$E$15</definedName>
    <definedName name="MPORFloorLarge">Params!$E$16</definedName>
    <definedName name="MultiplierFloor">Params!$E$9</definedName>
    <definedName name="NettingSets_Header">NettingSets!$C$6</definedName>
    <definedName name="Params_Code">Params!$C$5</definedName>
    <definedName name="Params_Value">Params!$E$5</definedName>
    <definedName name="Reconciliation_Header">Reconciliation!$C$6</definedName>
    <definedName name="Regime">Params!$E$23</definedName>
    <definedName name="ReportingCcy">Params!$E$7</definedName>
    <definedName name="Results_Header">Results!$C$6</definedName>
    <definedName name="SACCR_ReconInputs" hidden="1">""</definedName>
    <definedName name="SACCR_RunInputs" hidden="1">""</definedName>
    <definedName name="SACCR_TradeReconInputs" hidden="1">""</definedName>
    <definedName name="SDFloorBD">Params!$E$13</definedName>
    <definedName name="SF_Table">Params!$C$28:$K$54</definedName>
    <definedName name="TradeCalc_Header">TradeCalc!$C$5</definedName>
    <definedName name="TradeReconciliation_Header">TradeReconciliation!$C$6</definedName>
    <definedName name="Trades_Header">Trades!$C$4</definedName>
    <definedName name="VolatilityFactor">Params!$E$18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<sst xmlns="http://schemas.openxmlformats.org/spreadsheetml/2006/main" count="8069" uniqueCount="1029">
  <si>
    <t>K-SACCR</t>
  </si>
  <si>
    <t>Standardised approach for counterparty credit risk under EU CRR (Art. 274-280f), the default, and Basel CRE52, chosen per netting set.</t>
  </si>
  <si>
    <t>How to use</t>
  </si>
  <si>
    <t>1. Enable macros</t>
  </si>
  <si>
    <t>Open the .xlsm, click "Enable Content". If Excel shows "Microsoft has blocked macros", close the file, right-click it &gt; Properties &gt; tick "Unblock", reopen.</t>
  </si>
  <si>
    <t>2. Parameters</t>
  </si>
  <si>
    <t>Params: reporting date, reporting currency, default Regime (CRR or BCBS), regulatory constants, supervisory table and FX rates (units of reporting currency per 1 unit). Yellow cells are inputs.</t>
  </si>
  <si>
    <t>3. Netting sets</t>
  </si>
  <si>
    <t>4. Trades</t>
  </si>
  <si>
    <t>5. Run</t>
  </si>
  <si>
    <t>6. Review</t>
  </si>
  <si>
    <t>Checks lists every error (trade excluded, netting set withheld, run stopped), warning and information message. Reconciliation and TradeReconciliation show MATCH or DIFFERENCE for each bank figure and every netting set or trade leg that could not be compared. TestCatalogue compares the engine with published / hand-calculated reference values per regime; FormulaTest unit-tests the formula functions.</t>
  </si>
  <si>
    <t>7. Regime</t>
  </si>
  <si>
    <t>Basel_vs_CRR lists every difference between CRE52 and the CRR, the source check status and how the workbook treats it. Regime-dependent rules are switched per netting set.</t>
  </si>
  <si>
    <t>Sign and input conventions</t>
  </si>
  <si>
    <t>Direction</t>
  </si>
  <si>
    <t>Long / Short in the primary risk factor. IR: Long = pay fixed (gains when rates rise). FX: Long = long the first currency of the pair. CR: Long = protection bought (as in the BCBS examples). EQ / CO: Long = long the underlying. Options: Long = bought.</t>
  </si>
  <si>
    <t>Sub-class</t>
  </si>
  <si>
    <t>IR, FX, OT: leave blank. CR: AAA ... CCC or CQS1 ... CQS6, IG_INDEX, SG_INDEX. EQ: SINGLE, INDEX. CO: ELECTRICITY, OIL_GAS, METALS, AGRICULTURAL, OTHER, CLIMATIC (CRR only). Asset class + "_" + sub-class must exist in the supervisory table; column "Regimes" restricts a row.</t>
  </si>
  <si>
    <t>Risk factor</t>
  </si>
  <si>
    <t>Notional</t>
  </si>
  <si>
    <t>Dates</t>
  </si>
  <si>
    <t>Start (S, IR/CR only; blank = already started, except for IR/CR options, which need the start of the underlying: a swaption's exercise date, the earliest one if Bermudan, or a cap's or floor's first period; CRE52.31, CRE52.42), End (E, IR/CR, also defines the IR maturity bucket), Maturity (M, maturity factor; defaults to End, then Expiry), Option expiry (T, options). Year fractions = days / DaysPerYear.</t>
  </si>
  <si>
    <t>Nature</t>
  </si>
  <si>
    <t>Standard, Basis (own hedging set per label, SF x 0.5, CRE52.46) or Volatility (own hedging set per label, SF x 5, CRE52.47).</t>
  </si>
  <si>
    <t>Options</t>
  </si>
  <si>
    <t>Underlying price P, strike K, supervisory vol from the table. Lambda: under CRR computed for IR and commodity options (Del. Reg. 2021/931 Art. 5); under BCBS taken from the trade (CRE52.40 FAQ). CDO: attachment A and detachment D as decimals.</t>
  </si>
  <si>
    <t>Methodology (per netting set)</t>
  </si>
  <si>
    <t>EAD</t>
  </si>
  <si>
    <t>RC</t>
  </si>
  <si>
    <t>PFE</t>
  </si>
  <si>
    <t>PFE = multiplier x AddOn;  multiplier = min(1, 5% + 95% x exp((V - C) / (2 x 95% x AddOn))) [CRE52.23]</t>
  </si>
  <si>
    <t>Trade level</t>
  </si>
  <si>
    <t>Effective notional = delta x d x MF.  d = notional x SD for IR/CR, SD = (e^-0.05S - e^-0.05E)/0.05, floored at 10 BD [CRE52.34]</t>
  </si>
  <si>
    <t>Maturity factor</t>
  </si>
  <si>
    <t>Unmargined: sqrt(min(max(M, 10 BD), 1y)) [CRE52.48]; margined: 1.5 x sqrt(MPOR/250) [CRE52.52]</t>
  </si>
  <si>
    <t>MPOR</t>
  </si>
  <si>
    <t>IR</t>
  </si>
  <si>
    <t>FX</t>
  </si>
  <si>
    <t>Hedging set per currency pair; AddOn = 4% x |sum effective notional| [CRE52.59]</t>
  </si>
  <si>
    <t>CR / EQ</t>
  </si>
  <si>
    <t>Entity add-on = SF x EN; AddOn = sqrt((sum rho x A)^2 + sum (1-rho^2) x A^2) [CRE52.61, 52.66]</t>
  </si>
  <si>
    <t>CO</t>
  </si>
  <si>
    <t>Hedging sets Energy (oil/gas + electricity), Metals, Agricultural, Other (+ Climatic under CRR); single-factor formula, rho = 40% [CRE52.70, Art. 277a]</t>
  </si>
  <si>
    <t>OT (CRR)</t>
  </si>
  <si>
    <t>Sheets</t>
  </si>
  <si>
    <t>Params</t>
  </si>
  <si>
    <t>Inputs - parameters, supervisory factors, FX rates</t>
  </si>
  <si>
    <t>NettingSets</t>
  </si>
  <si>
    <t>Inputs - netting sets and margin terms</t>
  </si>
  <si>
    <t>Trades</t>
  </si>
  <si>
    <t>Inputs - trade population</t>
  </si>
  <si>
    <t>Results</t>
  </si>
  <si>
    <t>HedgingSets</t>
  </si>
  <si>
    <t>Output - hedging-set effective notionals and add-ons</t>
  </si>
  <si>
    <t>Buckets</t>
  </si>
  <si>
    <t>Output - IR maturity buckets, FX pairs, credit/equity entities, commodity types</t>
  </si>
  <si>
    <t>TradeCalc</t>
  </si>
  <si>
    <t>Output - every trade-level intermediate (S, E, M, T, SD, d, delta, MF, effective notional)</t>
  </si>
  <si>
    <t>Checks</t>
  </si>
  <si>
    <t>Output - errors (trade excluded, netting set withheld, run stopped), warnings and information</t>
  </si>
  <si>
    <t>TestCatalogue</t>
  </si>
  <si>
    <t>Regression - reference tests with source, regime, expected value and tolerance</t>
  </si>
  <si>
    <t>Tests</t>
  </si>
  <si>
    <t>Unit tests of the SACCR_* worksheet functions</t>
  </si>
  <si>
    <t>Basel_vs_CRR</t>
  </si>
  <si>
    <t>Documentation - Basel CRE52 vs EU CRR differences and workbook treatment</t>
  </si>
  <si>
    <t>Worksheet functions (usable in any cell)</t>
  </si>
  <si>
    <t>Supervisory duration</t>
  </si>
  <si>
    <t>SACCR_OptionDelta(P, K, T, Vol, IsCall, IsBought, [Lambda])</t>
  </si>
  <si>
    <t>Supervisory option delta</t>
  </si>
  <si>
    <t>SACCR_LambdaCRR(P, K, IsInterestRate, [Threshold])</t>
  </si>
  <si>
    <t>EU RTS lambda shift for IR / commodity options</t>
  </si>
  <si>
    <t>SACCR_CDODelta(A, D, IsLong)</t>
  </si>
  <si>
    <t>CDO tranche delta</t>
  </si>
  <si>
    <t>IR hedging-set effective notional</t>
  </si>
  <si>
    <t>SACCR_FactorAggregation(AddOns, Rhos)</t>
  </si>
  <si>
    <t>Credit / equity / commodity aggregation</t>
  </si>
  <si>
    <t>PFE multiplier</t>
  </si>
  <si>
    <t>SACCR_ReplacementCost(V, C, [Margined], [TH], [MTA], [NICA])</t>
  </si>
  <si>
    <t>Replacement cost</t>
  </si>
  <si>
    <t>SACCR_NormCDF(x)</t>
  </si>
  <si>
    <t>Standard normal CDF (no WorksheetFunction dependency)</t>
  </si>
  <si>
    <t>Scope and limitations</t>
  </si>
  <si>
    <t>Not covered</t>
  </si>
  <si>
    <t>Collateral</t>
  </si>
  <si>
    <t>Unmargined cap</t>
  </si>
  <si>
    <t>Calendar</t>
  </si>
  <si>
    <t>Business-day amounts (MPOR, floors) use BusinessDaysPerYear (250); dates use DaysPerYear.</t>
  </si>
  <si>
    <t>Sample data</t>
  </si>
  <si>
    <t>Code</t>
  </si>
  <si>
    <t>Modules</t>
  </si>
  <si>
    <t>Parameters</t>
  </si>
  <si>
    <t>Each value is read through the workbook name equal to its code in column C; only the yellow values are meant to be changed.</t>
  </si>
  <si>
    <t>Description</t>
  </si>
  <si>
    <t>Value</t>
  </si>
  <si>
    <t>Reference</t>
  </si>
  <si>
    <t>AsOfDate</t>
  </si>
  <si>
    <t>Reporting (calculation) date</t>
  </si>
  <si>
    <t>ReportingCcy</t>
  </si>
  <si>
    <t>Reporting currency (all amounts converted into it)</t>
  </si>
  <si>
    <t>EUR</t>
  </si>
  <si>
    <t>Alpha</t>
  </si>
  <si>
    <t>Alpha multiplier on (RC + PFE)</t>
  </si>
  <si>
    <t>CRE52.1 / CRR Art. 274(2)</t>
  </si>
  <si>
    <t>MultiplierFloor</t>
  </si>
  <si>
    <t>Floor of the PFE multiplier</t>
  </si>
  <si>
    <t>CRE52.23</t>
  </si>
  <si>
    <t>DaysPerYear</t>
  </si>
  <si>
    <t>Calendar days per year for S, E, M, T</t>
  </si>
  <si>
    <t>BusinessDaysPerYear</t>
  </si>
  <si>
    <t>Business days per year (MPOR, floors)</t>
  </si>
  <si>
    <t>CRE52.49, 52.53 / CRR Art. 279c(1)</t>
  </si>
  <si>
    <t>MinMaturityBD</t>
  </si>
  <si>
    <t>Floor on M for the unmargined maturity factor (BD)</t>
  </si>
  <si>
    <t>CRE52.48</t>
  </si>
  <si>
    <t>SDFloorBD</t>
  </si>
  <si>
    <t>Floor on the supervisory duration (BD, 0 = none)</t>
  </si>
  <si>
    <t>CRE52.34 / CRR Art. 279b</t>
  </si>
  <si>
    <t>MPORFloorBilateral</t>
  </si>
  <si>
    <t>MPOR floor, bilateral daily-margined netting set (BD)</t>
  </si>
  <si>
    <t>CRE52.50</t>
  </si>
  <si>
    <t>MPORFloorCleared</t>
  </si>
  <si>
    <t>CRE54.12 / CRR Art. 279c(1)(b)</t>
  </si>
  <si>
    <t>MPORFloorLarge</t>
  </si>
  <si>
    <t>MPOR floor, &gt;5,000 trades, illiquid collateral or hard-to-replace derivative (BD)</t>
  </si>
  <si>
    <t>BasisFactor</t>
  </si>
  <si>
    <t>Supervisory factor multiplier for basis transactions</t>
  </si>
  <si>
    <t>CRE52.46</t>
  </si>
  <si>
    <t>VolatilityFactor</t>
  </si>
  <si>
    <t>Supervisory factor multiplier for volatility transactions</t>
  </si>
  <si>
    <t>CRE52.47</t>
  </si>
  <si>
    <t>IRCorrBucket12</t>
  </si>
  <si>
    <t>IR correlation bucket 1-2 (cross term 2 x 0.7 = 1.4)</t>
  </si>
  <si>
    <t>CRE52.57</t>
  </si>
  <si>
    <t>IRCorrBucket23</t>
  </si>
  <si>
    <t>IR correlation bucket 2-3 (cross term 1.4)</t>
  </si>
  <si>
    <t>IRCorrBucket13</t>
  </si>
  <si>
    <t>IR correlation bucket 1-3 (cross term 0.6)</t>
  </si>
  <si>
    <t>IRBucketOffset</t>
  </si>
  <si>
    <t>TRUE = bucket formula; FALSE = sum of absolute bucket values</t>
  </si>
  <si>
    <t>Regime</t>
  </si>
  <si>
    <t>Default regime: CRR (EU) or BCBS (Basel CRE52); override per netting set</t>
  </si>
  <si>
    <t>CRR</t>
  </si>
  <si>
    <t>see Basel_vs_CRR sheet</t>
  </si>
  <si>
    <t>LambdaThresholdIR</t>
  </si>
  <si>
    <t>CRR lambda threshold, IR options (shift = max(thr - min(P,K), 0))</t>
  </si>
  <si>
    <t>Del. Reg. 2021/931 Art. 5 (am. 2025/855)</t>
  </si>
  <si>
    <t>LambdaThresholdCO</t>
  </si>
  <si>
    <t>CRR lambda threshold, commodity options (shift = max(-(1+thr) min(P,K), 0))</t>
  </si>
  <si>
    <t>CRR = EU regime; BCBS = Basel CRE52</t>
  </si>
  <si>
    <t>Supervisory parameters (CRE52.72 / CRR Art. 279a, 280a-280f)</t>
  </si>
  <si>
    <t>SF_Key</t>
  </si>
  <si>
    <t>Asset class</t>
  </si>
  <si>
    <t>Category</t>
  </si>
  <si>
    <t>Supervisory factor</t>
  </si>
  <si>
    <t>Correlation</t>
  </si>
  <si>
    <t>Supervisory option vol</t>
  </si>
  <si>
    <t>Commodity hedging set</t>
  </si>
  <si>
    <t>Regimes</t>
  </si>
  <si>
    <t>BOTH</t>
  </si>
  <si>
    <t>CRE52.72 / CRR Art. 280a; RTS 2021/931 Art. 5(3) (vol)</t>
  </si>
  <si>
    <t>CRE52.72 / CRR Art. 280b</t>
  </si>
  <si>
    <t>CR_AAA</t>
  </si>
  <si>
    <t>CR</t>
  </si>
  <si>
    <t>AAA</t>
  </si>
  <si>
    <t>CRE52.72</t>
  </si>
  <si>
    <t>CR_AA</t>
  </si>
  <si>
    <t>AA</t>
  </si>
  <si>
    <t>CR_A</t>
  </si>
  <si>
    <t>A</t>
  </si>
  <si>
    <t>CR_BBB</t>
  </si>
  <si>
    <t>BBB</t>
  </si>
  <si>
    <t>CR_BB</t>
  </si>
  <si>
    <t>BB</t>
  </si>
  <si>
    <t>CR_B</t>
  </si>
  <si>
    <t>B</t>
  </si>
  <si>
    <t>CR_CCC</t>
  </si>
  <si>
    <t>CCC</t>
  </si>
  <si>
    <t>CR_CQS1</t>
  </si>
  <si>
    <t>CQS1</t>
  </si>
  <si>
    <t>CRR Art. 280c Table 3</t>
  </si>
  <si>
    <t>CR_CQS2</t>
  </si>
  <si>
    <t>CQS2</t>
  </si>
  <si>
    <t>CR_CQS3</t>
  </si>
  <si>
    <t>CQS3</t>
  </si>
  <si>
    <t>CR_CQS4</t>
  </si>
  <si>
    <t>CQS4</t>
  </si>
  <si>
    <t>CR_CQS5</t>
  </si>
  <si>
    <t>CQS5</t>
  </si>
  <si>
    <t>CR_CQS6</t>
  </si>
  <si>
    <t>CQS6</t>
  </si>
  <si>
    <t>CR_IG_INDEX</t>
  </si>
  <si>
    <t>IG_INDEX</t>
  </si>
  <si>
    <t>CRE52.72 / CRR Art. 280c Table 4</t>
  </si>
  <si>
    <t>CR_SG_INDEX</t>
  </si>
  <si>
    <t>SG_INDEX</t>
  </si>
  <si>
    <t>EQ_SINGLE</t>
  </si>
  <si>
    <t>EQ</t>
  </si>
  <si>
    <t>SINGLE</t>
  </si>
  <si>
    <t>CRE52.72 / CRR Art. 280d</t>
  </si>
  <si>
    <t>EQ_INDEX</t>
  </si>
  <si>
    <t>INDEX</t>
  </si>
  <si>
    <t>CO_ELECTRICITY</t>
  </si>
  <si>
    <t>ELECTRICITY</t>
  </si>
  <si>
    <t>ENERGY</t>
  </si>
  <si>
    <t>CO_OIL_GAS</t>
  </si>
  <si>
    <t>OIL_GAS</t>
  </si>
  <si>
    <t>CO_METALS</t>
  </si>
  <si>
    <t>METALS</t>
  </si>
  <si>
    <t>CO_AGRICULTURAL</t>
  </si>
  <si>
    <t>AGRICULTURAL</t>
  </si>
  <si>
    <t>CO_OTHER</t>
  </si>
  <si>
    <t>OTHER</t>
  </si>
  <si>
    <t>CO_CLIMATIC</t>
  </si>
  <si>
    <t>CLIMATIC</t>
  </si>
  <si>
    <t>OT</t>
  </si>
  <si>
    <t>CRR Art. 280f (SF 8%), 279a Table 1 (vol 150%)</t>
  </si>
  <si>
    <t>FX rates (illustrative - replace with market rates)</t>
  </si>
  <si>
    <t>FX_Ccy</t>
  </si>
  <si>
    <t>Currency</t>
  </si>
  <si>
    <t>Units of reporting ccy per 1 unit</t>
  </si>
  <si>
    <t>Euro</t>
  </si>
  <si>
    <t>USD</t>
  </si>
  <si>
    <t>US dollar</t>
  </si>
  <si>
    <t>GBP</t>
  </si>
  <si>
    <t>Pound sterling</t>
  </si>
  <si>
    <t>JPY</t>
  </si>
  <si>
    <t>Japanese yen</t>
  </si>
  <si>
    <t>CHF</t>
  </si>
  <si>
    <t>Swiss franc</t>
  </si>
  <si>
    <t>Add currencies directly below the last row (no blank rows in column C).</t>
  </si>
  <si>
    <t>Netting sets</t>
  </si>
  <si>
    <t>NettingSetID</t>
  </si>
  <si>
    <t>Counterparty</t>
  </si>
  <si>
    <t>Margined (Y/N)</t>
  </si>
  <si>
    <t>Remargin frequency N (BD)</t>
  </si>
  <si>
    <t>&gt;5,000 trades or illiquid collateral (Y/N)</t>
  </si>
  <si>
    <t>Margin disputes (Y/N)</t>
  </si>
  <si>
    <t>MPOR override (BD)</t>
  </si>
  <si>
    <t>Net VM held (+) / posted (-)</t>
  </si>
  <si>
    <t>NICA</t>
  </si>
  <si>
    <t>Threshold TH</t>
  </si>
  <si>
    <t>MTA</t>
  </si>
  <si>
    <t>Alpha override</t>
  </si>
  <si>
    <t>Regime override (blank = Params)</t>
  </si>
  <si>
    <t>BCBS-EX1</t>
  </si>
  <si>
    <t>CRE99 / BCBS 279 Annex 4 - example 1 (IR)</t>
  </si>
  <si>
    <t>N</t>
  </si>
  <si>
    <t>BCBS</t>
  </si>
  <si>
    <t>BCBS-EX2</t>
  </si>
  <si>
    <t>CRE99 / BCBS 279 Annex 4 - example 2 (credit)</t>
  </si>
  <si>
    <t>BCBS-EX3</t>
  </si>
  <si>
    <t>CRE99 / BCBS 279 Annex 4 - example 3 (commodity)</t>
  </si>
  <si>
    <t>BCBS-EX4</t>
  </si>
  <si>
    <t>CRE99 / BCBS 279 Annex 4 - example 4 (IR + credit)</t>
  </si>
  <si>
    <t>BCBS-EX5</t>
  </si>
  <si>
    <t>CRE99 / BCBS 279 Annex 4 - example 5 (IR + commodity, weekly margin)</t>
  </si>
  <si>
    <t>Y</t>
  </si>
  <si>
    <t>CRR-EX5</t>
  </si>
  <si>
    <t>Example 5 inputs under CRR (cap not binding: same EAD)</t>
  </si>
  <si>
    <t>BCBS-VMCAP</t>
  </si>
  <si>
    <t>Posted-VM scenario (rejected EBA Q&amp;A 2022_6354) - Basel cap</t>
  </si>
  <si>
    <t>CRR-VMCAP</t>
  </si>
  <si>
    <t>Posted-VM scenario (rejected EBA Q&amp;A 2022_6354) - CRR Art. 274(3) cap, EBA Q&amp;A 2023_6962</t>
  </si>
  <si>
    <t>CRR-EX1-1PCT</t>
  </si>
  <si>
    <t>Example 1 with swaption forward at 1% (EBA RTS scenario)</t>
  </si>
  <si>
    <t>CRR-NEGIR</t>
  </si>
  <si>
    <t>Receiver swaption, negative forward rate - RTS lambda</t>
  </si>
  <si>
    <t>BCBS-NEGIR</t>
  </si>
  <si>
    <t>Same swaption under BCBS without lambda - must be rejected</t>
  </si>
  <si>
    <t>CRR-NEGCO</t>
  </si>
  <si>
    <t>Commodity call, negative price and strike - RTS lambda</t>
  </si>
  <si>
    <t>CRR-OTHER</t>
  </si>
  <si>
    <t>Other risks category (Art. 280f) - hand-checkable</t>
  </si>
  <si>
    <t>CRR-CLIMATE</t>
  </si>
  <si>
    <t>Climatic-conditions hedging set (Art. 277a), factor 18% (Art. 280e(5))</t>
  </si>
  <si>
    <t>NS-ALPHA</t>
  </si>
  <si>
    <t>Alpha Bank plc (no CSA)</t>
  </si>
  <si>
    <t>NS-GAMMA</t>
  </si>
  <si>
    <t>Gamma Fund Ltd (daily CSA + IM)</t>
  </si>
  <si>
    <t>TradeID</t>
  </si>
  <si>
    <t>Risk factor / reference</t>
  </si>
  <si>
    <t>Instrument</t>
  </si>
  <si>
    <t>Option type</t>
  </si>
  <si>
    <t>Basis / vol hedging-set label</t>
  </si>
  <si>
    <t>MtM</t>
  </si>
  <si>
    <t>Comment</t>
  </si>
  <si>
    <t>CDO</t>
  </si>
  <si>
    <t>EX1-T1</t>
  </si>
  <si>
    <t>Linear</t>
  </si>
  <si>
    <t>Long</t>
  </si>
  <si>
    <t>Standard</t>
  </si>
  <si>
    <t>10y IRS pay fixed - Basel ex.1 trade 1</t>
  </si>
  <si>
    <t>EX1-T2</t>
  </si>
  <si>
    <t>Short</t>
  </si>
  <si>
    <t>4y IRS receive fixed - Basel ex.1 trade 2</t>
  </si>
  <si>
    <t>EX1-T3</t>
  </si>
  <si>
    <t>Option</t>
  </si>
  <si>
    <t>Put</t>
  </si>
  <si>
    <t>Bought 1y-into-10y receiver swaption - Basel ex.1 trade 3</t>
  </si>
  <si>
    <t>EX2-T1</t>
  </si>
  <si>
    <t>FIRM A</t>
  </si>
  <si>
    <t>3y CDS protection bought</t>
  </si>
  <si>
    <t>EX2-T2</t>
  </si>
  <si>
    <t>FIRM B</t>
  </si>
  <si>
    <t>6y CDS protection sold</t>
  </si>
  <si>
    <t>EX2-T3</t>
  </si>
  <si>
    <t>CDX.IG</t>
  </si>
  <si>
    <t>5y index CDS protection bought</t>
  </si>
  <si>
    <t>EX3-T1</t>
  </si>
  <si>
    <t>CRUDE OIL</t>
  </si>
  <si>
    <t>9m WTI forward (CRE99 treats WTI and Brent as one type, crude oil)</t>
  </si>
  <si>
    <t>EX3-T2</t>
  </si>
  <si>
    <t>2y Brent forward</t>
  </si>
  <si>
    <t>EX3-T3</t>
  </si>
  <si>
    <t>SILVER</t>
  </si>
  <si>
    <t>5y silver forward</t>
  </si>
  <si>
    <t>EX4-IRT1</t>
  </si>
  <si>
    <t>EX4-IRT2</t>
  </si>
  <si>
    <t>EX4-IRT3</t>
  </si>
  <si>
    <t>EX4-CRT1</t>
  </si>
  <si>
    <t>EX4-CRT2</t>
  </si>
  <si>
    <t>EX4-CRT3</t>
  </si>
  <si>
    <t>EX5-IRT1</t>
  </si>
  <si>
    <t>EX5-IRT2</t>
  </si>
  <si>
    <t>EX5-IRT3</t>
  </si>
  <si>
    <t>EX5-COT1</t>
  </si>
  <si>
    <t>EX5-COT2</t>
  </si>
  <si>
    <t>EX5-COT3</t>
  </si>
  <si>
    <t>EU5-IRT1</t>
  </si>
  <si>
    <t>EU5-IRT2</t>
  </si>
  <si>
    <t>EU5-IRT3</t>
  </si>
  <si>
    <t>EU5-COT1</t>
  </si>
  <si>
    <t>EU5-COT2</t>
  </si>
  <si>
    <t>EU5-COT3</t>
  </si>
  <si>
    <t>EU1P-T1</t>
  </si>
  <si>
    <t>EU1P-T2</t>
  </si>
  <si>
    <t>EU1P-T3</t>
  </si>
  <si>
    <t>Swaption with forward 1% (strike 5%)</t>
  </si>
  <si>
    <t>VMB-1</t>
  </si>
  <si>
    <t>10y IRS, MtM -1.1bn, VM posted 1.3bn</t>
  </si>
  <si>
    <t>VMC-1</t>
  </si>
  <si>
    <t>NIR-C</t>
  </si>
  <si>
    <t>CRR: lambda = 0.10% - (-0.20%) = 0.30%; BCBS: no lambda entered -&gt; rejected</t>
  </si>
  <si>
    <t>NIR-B</t>
  </si>
  <si>
    <t>NCO-1</t>
  </si>
  <si>
    <t>WTI</t>
  </si>
  <si>
    <t>Call</t>
  </si>
  <si>
    <t>lambda = -(1+0.1) x (-5) = 5.5</t>
  </si>
  <si>
    <t>OT-1</t>
  </si>
  <si>
    <t>LONGEVITY INDEX X</t>
  </si>
  <si>
    <t>Longevity swap - other risks category</t>
  </si>
  <si>
    <t>OT-2</t>
  </si>
  <si>
    <t>Same risk driver - same hedging set</t>
  </si>
  <si>
    <t>OT-3</t>
  </si>
  <si>
    <t>CAT LOSS INDEX Y</t>
  </si>
  <si>
    <t>Different risk driver - own hedging set</t>
  </si>
  <si>
    <t>OT-X</t>
  </si>
  <si>
    <t>Other risks in a BCBS netting set - must be rejected</t>
  </si>
  <si>
    <t>CL-1</t>
  </si>
  <si>
    <t>HDD LONDON</t>
  </si>
  <si>
    <t>Heating-degree-day swap</t>
  </si>
  <si>
    <t>A01</t>
  </si>
  <si>
    <t>7y EUR IRS pay fixed</t>
  </si>
  <si>
    <t>A02</t>
  </si>
  <si>
    <t>2y EUR IRS receive fixed</t>
  </si>
  <si>
    <t>A03</t>
  </si>
  <si>
    <t>12y USD IRS receive fixed</t>
  </si>
  <si>
    <t>A04</t>
  </si>
  <si>
    <t>Basis</t>
  </si>
  <si>
    <t>EURIBOR6M/ESTR</t>
  </si>
  <si>
    <t>5y basis swap - own hedging set, SF x 0.5</t>
  </si>
  <si>
    <t>A05</t>
  </si>
  <si>
    <t>Bought 2y-into-5y payer swaption</t>
  </si>
  <si>
    <t>A06</t>
  </si>
  <si>
    <t>1y-forward-starting 3y IRS receive fixed</t>
  </si>
  <si>
    <t>A07</t>
  </si>
  <si>
    <t>EUR/USD</t>
  </si>
  <si>
    <t>1y FX forward: sell EUR / buy USD 25m</t>
  </si>
  <si>
    <t>A08</t>
  </si>
  <si>
    <t>USD/JPY</t>
  </si>
  <si>
    <t>Bought 6m USD call / JPY put</t>
  </si>
  <si>
    <t>A09</t>
  </si>
  <si>
    <t>USDGBP</t>
  </si>
  <si>
    <t>6m forward long USD vs GBP - pair entered inverted on purpose</t>
  </si>
  <si>
    <t>A10</t>
  </si>
  <si>
    <t>9m GBP swap - bucket 1, MF &lt; 1</t>
  </si>
  <si>
    <t>A11</t>
  </si>
  <si>
    <t>Deliberate input error: matured trade, shows exclusion on Checks</t>
  </si>
  <si>
    <t>B01</t>
  </si>
  <si>
    <t>ACME SPA</t>
  </si>
  <si>
    <t>5y CDS protection bought</t>
  </si>
  <si>
    <t>B02</t>
  </si>
  <si>
    <t>3y CDS protection sold - same entity</t>
  </si>
  <si>
    <t>B03</t>
  </si>
  <si>
    <t>OMEGA AG</t>
  </si>
  <si>
    <t>4y CDS protection sold - credit quality step 2 (CRR Art. 280c)</t>
  </si>
  <si>
    <t>B04</t>
  </si>
  <si>
    <t>ITRAXX EUROPE S46</t>
  </si>
  <si>
    <t>5y index protection bought</t>
  </si>
  <si>
    <t>B05</t>
  </si>
  <si>
    <t>ITRAXX EUROPE S46 3-6%</t>
  </si>
  <si>
    <t>3-6% tranche protection sold</t>
  </si>
  <si>
    <t>B06</t>
  </si>
  <si>
    <t>ENI SPA</t>
  </si>
  <si>
    <t>1y equity TRS receive performance</t>
  </si>
  <si>
    <t>B07</t>
  </si>
  <si>
    <t>EURO STOXX 50</t>
  </si>
  <si>
    <t>Sold 6m index put</t>
  </si>
  <si>
    <t>B08</t>
  </si>
  <si>
    <t>ENEL SPA</t>
  </si>
  <si>
    <t>9m equity forward short</t>
  </si>
  <si>
    <t>B09</t>
  </si>
  <si>
    <t>Volatility</t>
  </si>
  <si>
    <t>SX5E VARIANCE</t>
  </si>
  <si>
    <t>Variance swap - volatility hedging set, SF x 5</t>
  </si>
  <si>
    <t>B10</t>
  </si>
  <si>
    <t>BRENT</t>
  </si>
  <si>
    <t>1y Brent swap</t>
  </si>
  <si>
    <t>B11</t>
  </si>
  <si>
    <t>18m WTI swap (separate type from Brent)</t>
  </si>
  <si>
    <t>B12</t>
  </si>
  <si>
    <t>IT PUN BASELOAD</t>
  </si>
  <si>
    <t>1y Italian power baseload swap</t>
  </si>
  <si>
    <t>B13</t>
  </si>
  <si>
    <t>GOLD</t>
  </si>
  <si>
    <t>2y gold forward</t>
  </si>
  <si>
    <t>B14</t>
  </si>
  <si>
    <t>WHEAT</t>
  </si>
  <si>
    <t>6m wheat swap</t>
  </si>
  <si>
    <t>Margined</t>
  </si>
  <si>
    <t>MPOR (BD)</t>
  </si>
  <si>
    <t>V (sum MtM)</t>
  </si>
  <si>
    <t>C (VM + NICA)</t>
  </si>
  <si>
    <t>AddOn IR</t>
  </si>
  <si>
    <t>AddOn FX</t>
  </si>
  <si>
    <t>AddOn CR</t>
  </si>
  <si>
    <t>AddOn EQ</t>
  </si>
  <si>
    <t>AddOn CO</t>
  </si>
  <si>
    <t>AddOn OT</t>
  </si>
  <si>
    <t>AddOn aggregate</t>
  </si>
  <si>
    <t>Multiplier</t>
  </si>
  <si>
    <t>EAD margined</t>
  </si>
  <si>
    <t>EAD cap (unmargined)</t>
  </si>
  <si>
    <t>Cap applied</t>
  </si>
  <si>
    <t>C (cap basis)</t>
  </si>
  <si>
    <t>RC (cap basis)</t>
  </si>
  <si>
    <t>AddOn unmargined</t>
  </si>
  <si>
    <t>Multiplier (cap basis)</t>
  </si>
  <si>
    <t>Hedging sets</t>
  </si>
  <si>
    <t>Margined netting sets are shown with the margined maturity factor; column N always shows the unmargined add-on used for the EAD cap.</t>
  </si>
  <si>
    <t>Hedging set</t>
  </si>
  <si>
    <t>D1 (&lt;1y; CRR &lt;=1y)</t>
  </si>
  <si>
    <t>D2 (1-5y)</t>
  </si>
  <si>
    <t>D3 (&gt;5y)</t>
  </si>
  <si>
    <t>Effective notional (IR / FX / OT)</t>
  </si>
  <si>
    <t>Systematic: sum rho x A</t>
  </si>
  <si>
    <t>Idiosyncratic: sqrt(sum (1-rho^2) A^2)</t>
  </si>
  <si>
    <t>Hedging-set add-on</t>
  </si>
  <si>
    <t>Add-on unmargined</t>
  </si>
  <si>
    <t>SF effective (IR / FX / OT)</t>
  </si>
  <si>
    <t>CO|CLIMATIC|STD</t>
  </si>
  <si>
    <t>Buckets, entities and commodity types</t>
  </si>
  <si>
    <t>IR: maturity bucket on E: &lt;1Y (CRR: up to and including 1Y) / 1-5Y / &gt;5Y. FX: currency pair. CR / EQ: reference entity. CO: commodity type. OT: primary risk driver.</t>
  </si>
  <si>
    <t>Bucket / entity / type</t>
  </si>
  <si>
    <t>SF (effective)</t>
  </si>
  <si>
    <t>Effective notional unmargined</t>
  </si>
  <si>
    <t>Effective notional margined</t>
  </si>
  <si>
    <t>Entity / type add-on unmargined</t>
  </si>
  <si>
    <t>Entity / type add-on margined</t>
  </si>
  <si>
    <t>Trade-level calculation</t>
  </si>
  <si>
    <t>Every intermediate of the trade-level SA-CCR formula; excluded trades show the reason in Messages.</t>
  </si>
  <si>
    <t>Status</t>
  </si>
  <si>
    <t>SF (effective)</t>
  </si>
  <si>
    <t>Notional (rep ccy)</t>
  </si>
  <si>
    <t>MtM (rep ccy)</t>
  </si>
  <si>
    <t>S</t>
  </si>
  <si>
    <t>E</t>
  </si>
  <si>
    <t>M</t>
  </si>
  <si>
    <t>T (option)</t>
  </si>
  <si>
    <t>Adjusted notional d</t>
  </si>
  <si>
    <t>Supervisory delta</t>
  </si>
  <si>
    <t>MF unmargined</t>
  </si>
  <si>
    <t>MF margined</t>
  </si>
  <si>
    <t>IR bucket</t>
  </si>
  <si>
    <t>Stand-alone add-on</t>
  </si>
  <si>
    <t>Lambda</t>
  </si>
  <si>
    <t>Messages</t>
  </si>
  <si>
    <t>EXCLUDED</t>
  </si>
  <si>
    <t>ERROR: input rejected; the netting set's EAD is withheld (INCOMPLETE or INVALID) or the run stops. WARNING: accepted with an assumption. INFO: information only.</t>
  </si>
  <si>
    <t>Severity</t>
  </si>
  <si>
    <t>Sheet</t>
  </si>
  <si>
    <t>Row</t>
  </si>
  <si>
    <t>Message</t>
  </si>
  <si>
    <t>Unit tests call the SACCR_* worksheet functions (macros enabled) on the yellow inputs. Expected computes the same rule with Excel's own functions, so changing an input tests the function on new values. Portfolio tests are on TestCatalogue.</t>
  </si>
  <si>
    <t>Unit tests of the worksheet functions</t>
  </si>
  <si>
    <t>Test</t>
  </si>
  <si>
    <t>Expected</t>
  </si>
  <si>
    <t>Result</t>
  </si>
  <si>
    <t>Supervisory duration, S=0, E=10</t>
  </si>
  <si>
    <t>Supervisory duration, S=1, E=11</t>
  </si>
  <si>
    <t>SD floor, S=0, E=0.01 (floor 10/250)</t>
  </si>
  <si>
    <t>MF unmargined, M=0.75</t>
  </si>
  <si>
    <t>MF unmargined, M=3 days (floor 10 BD)</t>
  </si>
  <si>
    <t>MF margined, MPOR=10 BD</t>
  </si>
  <si>
    <t>Delta, bought put P=6% K=5% T=1 vol=50%</t>
  </si>
  <si>
    <t>Delta, sold call P=100 K=110 T=0.5 vol=32%</t>
  </si>
  <si>
    <t>Delta with lambda shift, P=-0.2% K=0.1% L=1%</t>
  </si>
  <si>
    <t>CDO delta, 3-6% tranche, protection bought</t>
  </si>
  <si>
    <t>IR effective notional, Basel ex.1 USD</t>
  </si>
  <si>
    <t>Factor aggregation, Basel ex.2</t>
  </si>
  <si>
    <t>Multiplier, V-C=-20, AddOn=282</t>
  </si>
  <si>
    <t>Multiplier, V-C&gt;0</t>
  </si>
  <si>
    <t>RC margined, V-C=-5, TH=0, MTA=10, NICA=2</t>
  </si>
  <si>
    <t>Normal CDF(1.96)</t>
  </si>
  <si>
    <t>Normal CDF(-4)</t>
  </si>
  <si>
    <t>CRR lambda IR, P=-0.20% K=0.10%</t>
  </si>
  <si>
    <t>CRR lambda IR, P=2% K=3% (no shift)</t>
  </si>
  <si>
    <t>CRR lambda IR, P=0.05% K=1% (to threshold)</t>
  </si>
  <si>
    <t>CRR lambda commodity, P=-5 K=-4</t>
  </si>
  <si>
    <t>CRR lambda commodity, P=40 K=35 (no shift)</t>
  </si>
  <si>
    <t>Reference-test catalogue</t>
  </si>
  <si>
    <t>Each test reads one output cell by netting set / trade ID and column header. Basel and EU expectations are kept separate even where they coincide. Values shown are from the last run.</t>
  </si>
  <si>
    <t>Area</t>
  </si>
  <si>
    <t>Source</t>
  </si>
  <si>
    <t>Source status</t>
  </si>
  <si>
    <t>Metric</t>
  </si>
  <si>
    <t>Tolerance type</t>
  </si>
  <si>
    <t>Tolerance</t>
  </si>
  <si>
    <t>Engine</t>
  </si>
  <si>
    <t>Difference</t>
  </si>
  <si>
    <t>Note</t>
  </si>
  <si>
    <t>T01</t>
  </si>
  <si>
    <t>Core - IR</t>
  </si>
  <si>
    <t>Example 1: adjusted notional, 10y swap</t>
  </si>
  <si>
    <t>CRE99 ex.1 / BCBS 279 Annex 4a</t>
  </si>
  <si>
    <t>Official published value (rounded)</t>
  </si>
  <si>
    <t>abs</t>
  </si>
  <si>
    <t>T02</t>
  </si>
  <si>
    <t>Example 1: supervisory delta, swaption</t>
  </si>
  <si>
    <t>CRE99 ex.1</t>
  </si>
  <si>
    <t>T03</t>
  </si>
  <si>
    <t>Example 1: IR add-on</t>
  </si>
  <si>
    <t>T04</t>
  </si>
  <si>
    <t>Example 1: EAD</t>
  </si>
  <si>
    <t>T05</t>
  </si>
  <si>
    <t>Core - credit</t>
  </si>
  <si>
    <t>Example 2: multiplier</t>
  </si>
  <si>
    <t>CRE99 ex.2</t>
  </si>
  <si>
    <t>T06</t>
  </si>
  <si>
    <t>Example 2: EAD</t>
  </si>
  <si>
    <t>T07</t>
  </si>
  <si>
    <t>Core - commodity</t>
  </si>
  <si>
    <t>Example 3: EAD</t>
  </si>
  <si>
    <t>CRE99 ex.3</t>
  </si>
  <si>
    <t>The 9-month leg is 274 days (0.7507y), as no date gives 0.75y at 365 days: EAD 5404.62, 1.38 below the published 5406, inside tolerance 2. An input difference, not engine rounding: at exactly 0.75y (case cre99-example-3, DaysPerYear 360) the EAD is 5405.62.</t>
  </si>
  <si>
    <t>T08</t>
  </si>
  <si>
    <t>Core - aggregation</t>
  </si>
  <si>
    <t>Example 4: RC</t>
  </si>
  <si>
    <t>CRE99 ex.4</t>
  </si>
  <si>
    <t>T09</t>
  </si>
  <si>
    <t>Example 4: aggregate add-on (no diversification across classes)</t>
  </si>
  <si>
    <t>T10</t>
  </si>
  <si>
    <t>Example 4: EAD</t>
  </si>
  <si>
    <t>Published 936 = 1.4 x (40 + 628.9), unrounded add-on (printed 629); engine 936.45</t>
  </si>
  <si>
    <t>T11</t>
  </si>
  <si>
    <t>Core - margined</t>
  </si>
  <si>
    <t>Example 5: MPOR, weekly remargining</t>
  </si>
  <si>
    <t>CRE99 ex.5</t>
  </si>
  <si>
    <t>T12</t>
  </si>
  <si>
    <t>Example 5: aggregate add-on</t>
  </si>
  <si>
    <t>T13</t>
  </si>
  <si>
    <t>Example 5: multiplier</t>
  </si>
  <si>
    <t>T14</t>
  </si>
  <si>
    <t>Example 5: EAD</t>
  </si>
  <si>
    <t>T15</t>
  </si>
  <si>
    <t>EU - cap</t>
  </si>
  <si>
    <t>Example 5 under CRR: Art. 274(3) cap not binding, same EAD</t>
  </si>
  <si>
    <t>CRE99 ex.5 + CRR Art. 274(3)</t>
  </si>
  <si>
    <t>Illustrative - separate unreviewed calculation</t>
  </si>
  <si>
    <t>Common core reproduces the Basel result</t>
  </si>
  <si>
    <t>T16</t>
  </si>
  <si>
    <t>Engineering scenario - not authoritative</t>
  </si>
  <si>
    <t>rel</t>
  </si>
  <si>
    <t>T17</t>
  </si>
  <si>
    <t>Posted VM: CRR cap excludes VM from NICA -&gt; cap binds (~41)</t>
  </si>
  <si>
    <t>CRR Art. 274(3), 275(1); EBA Q&amp;A 2023_6962</t>
  </si>
  <si>
    <t>Q&amp;A 2022_6354 (rejected) illustration: 41 (cap) vs 378 (margined); this workbook ~377 (see T16)</t>
  </si>
  <si>
    <t>T18</t>
  </si>
  <si>
    <t>Posted VM: cap applied flag</t>
  </si>
  <si>
    <t>EBA Q&amp;A 2023_6962</t>
  </si>
  <si>
    <t>text</t>
  </si>
  <si>
    <t>T19</t>
  </si>
  <si>
    <t>EU - options</t>
  </si>
  <si>
    <t>Swaption forward 1%: EAD (lambda = 0)</t>
  </si>
  <si>
    <t>Illustrative; EBA RTS figures (~761) cited, source not checked</t>
  </si>
  <si>
    <t>Cited figures: PFE ~483, EAD ~761 - source not opened here</t>
  </si>
  <si>
    <t>T20</t>
  </si>
  <si>
    <t>Negative forward: RTS lambda = 0.10% - min(P, K)</t>
  </si>
  <si>
    <t>Illustrative - unreviewed hand calculation</t>
  </si>
  <si>
    <t>T21</t>
  </si>
  <si>
    <t>Negative forward: supervisory delta with shift</t>
  </si>
  <si>
    <t>Del. Reg. 2021/931 Art. 5</t>
  </si>
  <si>
    <t>T22</t>
  </si>
  <si>
    <t>Basel - options</t>
  </si>
  <si>
    <t>Negative forward without lambda under BCBS is rejected</t>
  </si>
  <si>
    <t>CRE52.40 FAQ (lambda by judgement)</t>
  </si>
  <si>
    <t>Enter lambda on the trade for BCBS</t>
  </si>
  <si>
    <t>T23</t>
  </si>
  <si>
    <t>Negative commodity price: lambda = -(1 + 0.1) x min(P, K)</t>
  </si>
  <si>
    <t>T24</t>
  </si>
  <si>
    <t>EU - other risks</t>
  </si>
  <si>
    <t>Other risks add-on = 8% x (|6,000| + |5,000|)</t>
  </si>
  <si>
    <t>CRR Art. 280f</t>
  </si>
  <si>
    <t>T25</t>
  </si>
  <si>
    <t>Other risks EAD = 1.4 x 880</t>
  </si>
  <si>
    <t>CRR Art. 274(2), 280f</t>
  </si>
  <si>
    <t>T26</t>
  </si>
  <si>
    <t>Basel - other risks</t>
  </si>
  <si>
    <t>Other-risks trade in a BCBS netting set is rejected</t>
  </si>
  <si>
    <t>CRE52 (five asset classes)</t>
  </si>
  <si>
    <t>T27</t>
  </si>
  <si>
    <t>EU - mapping</t>
  </si>
  <si>
    <t>Climatic variable mapped to its own commodity hedging set</t>
  </si>
  <si>
    <t>CRR Art. 277(4)(b), 277a</t>
  </si>
  <si>
    <t>SF 18%: Art. 280e(5), checked 2026-10-09</t>
  </si>
  <si>
    <t>T28</t>
  </si>
  <si>
    <t>Credit quality step 2 -&gt; SF 0.42%</t>
  </si>
  <si>
    <t>Summary</t>
  </si>
  <si>
    <t>Source status: "Official" = published CRE99 figure, rounded (tolerance covers rounding); it validates the Basel rules. Every other row is illustrative: an unreviewed hand calculation or a separate unreviewed calculation, not published - a regression anchor, not validation.</t>
  </si>
  <si>
    <t>Engineering scenarios after EBA Q&amp;A 2022_6354 (rejected) reproduce its pattern only; the decisive rule is the final Q&amp;A 2023_6962. The EBA swaption figures of T19 (~483 / ~761) are cited, not taken from a checked source: T19 is illustrative.</t>
  </si>
  <si>
    <t>Basel CRE52 vs EU CRR</t>
  </si>
  <si>
    <t>EU text: CRR consolidated version of 26/06/2026 (Art. 273a-282), Delegated Regulation (EU) 2021/931 as amended by (EU) 2025/855, EBA Q&amp;A. Basel: CRE52, its FAQs and the CRE99 / BCBS 279 examples.</t>
  </si>
  <si>
    <t>#</t>
  </si>
  <si>
    <t>Basel CRE52</t>
  </si>
  <si>
    <t>EU CRR</t>
  </si>
  <si>
    <t>Same / different</t>
  </si>
  <si>
    <t>Effect on numbers</t>
  </si>
  <si>
    <t>Workbook treatment</t>
  </si>
  <si>
    <t>Source check (text, not numerical validation)</t>
  </si>
  <si>
    <t>Normative hierarchy</t>
  </si>
  <si>
    <t>CRE52 + CRE52 FAQs; CRE99 / BCBS 279 Annex 4a worked examples.</t>
  </si>
  <si>
    <t>CRR Art. 273a-282 (Level 1) -&gt; Delegated Reg. (EU) 2021/931 as amended (incl. 2025/855) -&gt; EBA Q&amp;A.</t>
  </si>
  <si>
    <t>Different</t>
  </si>
  <si>
    <t>Interpretation route</t>
  </si>
  <si>
    <t>Regime on Params (default CRR), override per netting set. The engine applies each regime's rules; the SACCR_* functions take no regime argument (SACCR_LambdaCRR is the CRR lambda).</t>
  </si>
  <si>
    <t>-</t>
  </si>
  <si>
    <t>VERIFIED</t>
  </si>
  <si>
    <t>EAD and alpha</t>
  </si>
  <si>
    <t>EAD = 1.4 x (RC + PFE) [CRE52.1].</t>
  </si>
  <si>
    <t>Art. 274(2): alpha = 1.4; the consolidated text has no alpha exception by counterparty type.</t>
  </si>
  <si>
    <t>Same</t>
  </si>
  <si>
    <t>None</t>
  </si>
  <si>
    <t>Common core. Alpha override per netting set exists only for what-if use.</t>
  </si>
  <si>
    <t>Cap of margined EAD</t>
  </si>
  <si>
    <t>Art. 274(3): capped at the exposure of the same netting set "not subject to any form of margin agreement". RC per Art. 275(1); NICA does not include VM posted or received (EBA Q&amp;A 2023_6962, final, 15/03/2024).</t>
  </si>
  <si>
    <t>T15-T18</t>
  </si>
  <si>
    <t>RC - unmargined</t>
  </si>
  <si>
    <t>RC - margined</t>
  </si>
  <si>
    <t>RC = max(V - C, TH + MTA - NICA, 0) [CRE52.18].</t>
  </si>
  <si>
    <t>RC = max(CMV - VM - NICA, TH + MTA - NICA, 0) [Art. 275(2)].</t>
  </si>
  <si>
    <t>Common core.</t>
  </si>
  <si>
    <t>min(1; 5% + 95% exp((V - C) / (2 x 95% x AddOn))) [CRE52.23].</t>
  </si>
  <si>
    <t>Art. 278(3): same; z = CMV - VM - NICA (margined), CMV - NICA (unmargined).</t>
  </si>
  <si>
    <t>T05, T13</t>
  </si>
  <si>
    <t>Asset classes</t>
  </si>
  <si>
    <t>Five: IR, FX, credit, equity, commodity.</t>
  </si>
  <si>
    <t>Six: adds "other risks" [Art. 277(1)(f)].</t>
  </si>
  <si>
    <t>Additional add-on</t>
  </si>
  <si>
    <t>Asset class OT, allowed only in CRR netting sets; rejected (Checks) under BCBS.</t>
  </si>
  <si>
    <t>T24-T26</t>
  </si>
  <si>
    <t>Other-risks add-on</t>
  </si>
  <si>
    <t>No equivalent.</t>
  </si>
  <si>
    <t>Art. 280f: per hedging set, AddOn = coefficient x 8% x |effective notional|; supervisory option volatility 150% [Art. 279a Table 1].</t>
  </si>
  <si>
    <t>EU only</t>
  </si>
  <si>
    <t>New add-on</t>
  </si>
  <si>
    <t>Hedging set per primary risk driver (risk-factor text) and nature; FX-style aggregation.</t>
  </si>
  <si>
    <t>T24, T25</t>
  </si>
  <si>
    <t>VERIFIED (SF, vol; one hedging set per identical primary risk driver, Art. 277a(1)(f))</t>
  </si>
  <si>
    <t>Risk-driver mapping</t>
  </si>
  <si>
    <t>Primary risk driver; for complex trades supervisors may require allocation to more than one class.</t>
  </si>
  <si>
    <t>Art. 277(2)-(3): one vs several material risk drivers, mapped once per risk category; method fixed in Delegated Reg. (EU) 2021/931.</t>
  </si>
  <si>
    <t>Different (EU prescriptive)</t>
  </si>
  <si>
    <t>Classification of hybrids</t>
  </si>
  <si>
    <t>Not automated: enter one leg per risk category, classified per the RTS, all with the same Economic trade ID; the MtM leg (Y) carries the trade's MtM and every other leg 0, which the engine enforces.</t>
  </si>
  <si>
    <t>Commodity hedging sets</t>
  </si>
  <si>
    <t>Energy, metals, agricultural, other [CRE52.70]; no specific rule for weather.</t>
  </si>
  <si>
    <t>Energy, metals, agricultural goods, other, climatic conditions [Art. 277a]; climatic variables mapped to commodity [Art. 277(4)(b)].</t>
  </si>
  <si>
    <t>Climatic trades no longer offset against "other"</t>
  </si>
  <si>
    <t>CO sub-class CLIMATIC (CRR-only row, own hedging set).</t>
  </si>
  <si>
    <t>Inflation</t>
  </si>
  <si>
    <t>Basel FAQ: interest-rate class, separate hedging set per currency, SF 0.5%.</t>
  </si>
  <si>
    <t>Mapped to interest rate.</t>
  </si>
  <si>
    <t>Same numbers</t>
  </si>
  <si>
    <t>None expected</t>
  </si>
  <si>
    <t>Enter as IR; a distinct risk-factor label (e.g. EUR-INFL) gives a separate hedging set.</t>
  </si>
  <si>
    <t>CITED</t>
  </si>
  <si>
    <t>Option delta - negative rates / prices</t>
  </si>
  <si>
    <t>IR options where P or K is zero or negative: shift price and strike by lambda, the presumed lowest extent to which rates in that currency can become negative, the same for all IR options in the currency; supervisors may recommend it per currency, banks may use lower values [CRE52.40 FAQ2]. No shift is defined for other options.</t>
  </si>
  <si>
    <t>Delegated Reg. 2021/931 Art. 5 (am. 2025/855), per option: IR lambda = max(0.10% - min(P,K); 0); commodity lambda = max(-(1 + 0.1) x min(P,K); 0).</t>
  </si>
  <si>
    <t>Delta differs when P or K is near or below zero</t>
  </si>
  <si>
    <t>CRR IR and commodity options: the RTS lambda is computed; a different value entered is ignored with a warning. BCBS IR options: lambda is entered per trade; one value per currency is the user's to ensure and is not checked. Other options (under BCBS, commodity options too): an entered lambda is accepted as a technical shift, which is not proof of regulatory permission. Rejected if P + lambda or K + lambda &lt;= 0.</t>
  </si>
  <si>
    <t>T20-T23</t>
  </si>
  <si>
    <t>VERIFIED (EBA/RTS/2024/16; OJ 2025/855)</t>
  </si>
  <si>
    <t>Supervisory option volatilities</t>
  </si>
  <si>
    <t>CRE52.72 table.</t>
  </si>
  <si>
    <t>Art. 279a Table 1: FX 15%, credit 100% / 80%, equity 120% / 75%, electricity 150%, other commodities 70%, other risks 150%; IR 50% (RTS).</t>
  </si>
  <si>
    <t>Same (+ other risks)</t>
  </si>
  <si>
    <t>Common table on Params.</t>
  </si>
  <si>
    <t>T02 (IR 50%)</t>
  </si>
  <si>
    <t>Credit supervisory factors</t>
  </si>
  <si>
    <t>By rating AAA ... CCC and IG / SG index [CRE52.72]; no rule for unrated names.</t>
  </si>
  <si>
    <t>By credit quality step 1-6: 0.38 / 0.42 / 0.54 / 1.06 / 1.6 / 6.0% [Art. 280c(5), Table 3]; unrated issuer: internal rating mapped to a step, or 0.54% (1.6% where Art. 128 applies) [Art. 280c(5)(a)]. Multi-name: an index listed on a recognised exchange takes 0.38% or 1.06% by the credit quality of most constituents [Table 4]; any other multi-name position the notional-weighted average of its constituents' factors [Art. 280c(5)(b)].</t>
  </si>
  <si>
    <t>Same values, different mapping</t>
  </si>
  <si>
    <t>Unrated names; unlisted multi-name positions</t>
  </si>
  <si>
    <t>SD = (exp(-0.05 S) - exp(-0.05 E)) / 0.05, floored at 10 business days [CRE52.34].</t>
  </si>
  <si>
    <t>Art. 279b(1)(a): same, floor 10 / OneBusinessYear; S, E in the relevant business-day convention.</t>
  </si>
  <si>
    <t>Day-count convention only</t>
  </si>
  <si>
    <t>DaysPerYear and BusinessDaysPerYear on Params.</t>
  </si>
  <si>
    <t>Maturity factor and MPOR</t>
  </si>
  <si>
    <t>Unmargined sqrt(min(M,1)), M floored at 10 BD; margined 1.5 sqrt(MPOR/250) [CRE52.48-52.52].</t>
  </si>
  <si>
    <t>Art. 279c, MPOR per Art. 285(2)-(5); 5 BD for client clearing.</t>
  </si>
  <si>
    <t>Basis and volatility transactions</t>
  </si>
  <si>
    <t>Basis: derivatives on the basis between two risk factors in a single currency, one hedging set per pair, SF x 0.5 (cross-currency floating legs are FX, not basis); volatility transactions: SF x 5 [CRE52.46-52.47].</t>
  </si>
  <si>
    <t>Separate hedging sets for (a) the volatility of a risk driver or the correlation between two, and (b) the difference between two risk drivers of one category, or two legs in one currency; a basis set only for an identical pair of positively correlated drivers, otherwise an ordinary set on one driver [Art. 277a(2)]; coefficients 5 / 0.5 [Art. 280].</t>
  </si>
  <si>
    <t>Nature Basis or Volatility with a hedging-set label: one set per label, coefficient 0.5 or 5. The engine relies on the label and does not prove eligibility: under CRR an identical pair of positively correlated drivers for a basis set, otherwise Nature Standard on one driver.</t>
  </si>
  <si>
    <t>IR aggregation</t>
  </si>
  <si>
    <t>Buckets on E (&lt;1y, 1-5y, &gt;5y), cross terms 1.4 / 1.4 / 0.6, optional no-offset formula [CRE52.57].</t>
  </si>
  <si>
    <t>FX adjusted notional</t>
  </si>
  <si>
    <t>Foreign leg; if both legs foreign, the larger converted leg [CRE52.35].</t>
  </si>
  <si>
    <t>Art. 279b(1)(b): same.</t>
  </si>
  <si>
    <t>Enter the relevant leg (larger leg if both are foreign).</t>
  </si>
  <si>
    <t>Sold options / sold protection</t>
  </si>
  <si>
    <t>FAQs to CRE52.1: the EAD may be zero only for sold options outside netting and margin agreements (premia paid upfront); for sold credit protection outside netting and margin agreements the EAD may be capped at unpaid premia, and such trades may be taken out of their netting set to apply the cap.</t>
  </si>
  <si>
    <t>Art. 274(5): zero for a netting set made only of sold options, with a market value always negative, all premia received upfront and no margin agreement. Art. 274(7): a credit derivative long the underlying (sold protection) capped at the unpaid premium when it is its own netting set without a margin agreement.</t>
  </si>
  <si>
    <t>Similar; conditions differ</t>
  </si>
  <si>
    <t>None, since neither reduction is applied</t>
  </si>
  <si>
    <t>Combinations of options</t>
  </si>
  <si>
    <t>CRE52.42(4): a payoff that is a combination of European options is treated as separate trades; CRE52.43 and CRE52.1 FAQ3 allow a multiple-payment option as single-payment options; linear products may not be decomposed.</t>
  </si>
  <si>
    <t>Art. 274(6): replace a finite linear combination of options by its single options, and a vanilla digital option by a 0.95K / 1.05K collar, without the CRE52.42(3) cap.</t>
  </si>
  <si>
    <t>Similar (digital options differ)</t>
  </si>
  <si>
    <t>Depends on booking</t>
  </si>
  <si>
    <t>Enter each option as a leg of one economic trade: same Economic trade ID, the MtM on the MtM leg (Y) and 0 on the others; legs in one asset class must all be options.</t>
  </si>
  <si>
    <t>VERIFIED (CRR)</t>
  </si>
  <si>
    <t>Several margin agreements in one netting set</t>
  </si>
  <si>
    <t>Sub-netting sets per margin agreement [CRE52.74]. Its FAQ, for margined and unmargined trades or several VM agreements in one netting set: one RC for the whole set with the margined formula (V and C of all trades, TH and MTA summed across agreements), the multiplier on the same V and C, and an aggregate add-on summed over sub-netting sets: all unmargined trades in one, margined trades grouped by MPOR.</t>
  </si>
  <si>
    <t>Art. 274(4): hypothetical sub-netting sets by MPOR (unmargined trades in one of their own); one RC over all trades per Art. 275(2), with VM, NICA, TH and MTA summed across agreements; add-ons per sub-netting set.</t>
  </si>
  <si>
    <t>Similar</t>
  </si>
  <si>
    <t>Test each regime separately</t>
  </si>
  <si>
    <t>Not implemented.</t>
  </si>
  <si>
    <t>One margin agreement over several netting sets</t>
  </si>
  <si>
    <t>One margin agreement over several netting sets: RC per agreement, PFE as the sum of unmargined netting-set PFEs [CRE52.75-52.76].</t>
  </si>
  <si>
    <t>Proportional alternatives</t>
  </si>
  <si>
    <t>None in CRE52.</t>
  </si>
  <si>
    <t>Simplified SA-CCR (Art. 281) if derivative business &lt;= 10% of total assets and &lt;= EUR 300m; OEM (Art. 282) if &lt;= 5% and &lt;= EUR 100m [Art. 273a].</t>
  </si>
  <si>
    <t>Different method</t>
  </si>
  <si>
    <t>Collateral eligibility and haircuts</t>
  </si>
  <si>
    <t>Basel credit risk mitigation framework.</t>
  </si>
  <si>
    <t>Art. 276 with the CRR collateral rules (e.g. Art. 223).</t>
  </si>
  <si>
    <t>Different rules</t>
  </si>
  <si>
    <t>Collateral values</t>
  </si>
  <si>
    <t>Collateral is an input after haircuts.</t>
  </si>
  <si>
    <t>IR: currency (hedging set); inflation as the currency followed by -INFL, e.g. EUR-INFL, in its own hedging set [Art. 277(4)(a), 277a(1)]. FX: currency pair, e.g. EUR/USD (order is normalised and the sign adjusted); an FX option must be entered in market quote order, base first in EUR, GBP, AUD, NZD, USD, CAD, CHF, JPY (e.g. USD/JPY), with price and strike in that quote (CRE52.59 FAQ1). CR / EQ: reference entity or index name. CO: commodity type (trades with the same text are netted as one type). OT (CRR other risks): primary risk driver.</t>
  </si>
  <si>
    <t>CRR climatic conditions: 18%, the factor of every commodity type other than electricity [Art. 277a(1)(e)(v), 280e(5)]. Unrated single names: enter CQS3 (0.54%), CQS5 (1.6%) where Art. 128 applies, or the step mapped from an internal rating [Art. 280c(5)(a)].</t>
  </si>
  <si>
    <t>Notes</t>
  </si>
  <si>
    <t>CRE52.57(5); CRR allows TRUE only (Art. 280a(3))</t>
  </si>
  <si>
    <t>CRR Art. 277(4)(b), 277a(1)(e)(v), 280e(5)</t>
  </si>
  <si>
    <t>VERIFIED: 18% [Art. 280e(5)]</t>
  </si>
  <si>
    <t>VERIFIED (CRR Art. 277(4)(a), 277a(1))</t>
  </si>
  <si>
    <t>Sub-classes CQS1-CQS6, IG_INDEX and SG_INDEX. Unrated: CQS3, CQS5 where Art. 128 applies, or the mapped step, which the user must substantiate [Art. 280c(5)(a)]. A listed index: IG_INDEX or SG_INDEX by its constituents. Other multi-name positions: no constituent-weighted factor; a basket must not be relabelled as an index or rounded to a step, and a new factor-table row makes the run WHAT-IF.</t>
  </si>
  <si>
    <t>Art. 280a(3): buckets on E (up to and including 1y, over 1 to 5y, over 5y); the bucket formula only, no sum of absolute bucket values.</t>
  </si>
  <si>
    <t>CRR netting sets cannot use the sum of absolutes; E of exactly 1 year is bucket 1 under CRR, bucket 2 under BCBS</t>
  </si>
  <si>
    <t>Common core. IRBucketOffset = FALSE applies to BCBS only; a CRR netting set with IR trades is then INVALID.</t>
  </si>
  <si>
    <t>Optional reductions not applied: sold options and sold protection are calculated as ordinary trades, so the EAD is not lower than with the reduction (it can be equal). Permitted, both being optional.</t>
  </si>
  <si>
    <t>EAD = alpha x (RC + PFE)  [CRE52.1 / Art. 274(2)]; margined EAD capped at the unmargined EAD, with C = NICA only in both regimes [CRE52.2, CRE52.10; Art. 274(3), EBA Q&amp;A 2023_6962]</t>
  </si>
  <si>
    <t>VM and NICA are netting-set totals in reporting currency; positive = held, negative = posted. VM held on an unmargined netting set is rejected; VM posted on one is a one-way agreement, included in C under BCBS; rejected under CRR, where such a netting set must be entered as margined (Margined = Y) [Art. 272(7a)].</t>
  </si>
  <si>
    <t>MPOR floor, client clearing (BD)</t>
  </si>
  <si>
    <t>Posted VM: Basel cap uses NICA only -&gt; cap binds (~41)</t>
  </si>
  <si>
    <t>CRE52.2, CRE52.10</t>
  </si>
  <si>
    <t>Same as T17: both regimes cap with NICA only; cap ~41 &lt; margined ~377</t>
  </si>
  <si>
    <t>Not yet in the catalogue: the CRE99 margin-agreement RC examples (segregated vs non-segregated IM). Unrated names have no engine rule: they are entered as CQS3, CQS5 or the mapped step. One-way CSA, the client clearing role and the margin-agreement structures are covered by the input-validation tests run before release, not by this catalogue; several margin agreements per netting set and one agreement over several netting sets are rejected, not modelled.</t>
  </si>
  <si>
    <t>Capped at the EAD of the same netting set "calculated on an unmargined basis" [CRE52.2]; unmargined C is the NICA collateral [CRE52.10], so the cap uses NICA only.</t>
  </si>
  <si>
    <t>None: both caps use NICA (posted-VM scenario ~41m in both regimes).</t>
  </si>
  <si>
    <t>Implemented: the cap uses C = NICA in both regimes. Results keeps the margined C, RC, add-ons, multiplier and PFE in their ordinary columns and shows the cap basis in its own columns (EAD cap, C, RC and multiplier on the cap basis, unmargined add-on); EAD is the lower of the two, with Cap applied = Y when the cap binds.</t>
  </si>
  <si>
    <t>VERIFIED (CRE52.2, CRE52.10; CRR, Q&amp;A)</t>
  </si>
  <si>
    <t>RC = max(V - C, 0) [CRE52.10]; a one-way agreement where only the bank posts VM is unmargined, and C includes that VM with a negative sign [CRE52.2, CRE52.10 footnote 2].</t>
  </si>
  <si>
    <t>RC = max(CMV - NICA, 0) [Art. 275(1)]; collateral per CRR definitions (Art. 272(12a), 276). A one-way margin agreement is a margin agreement [Art. 272(7a)]: the netting set is margined.</t>
  </si>
  <si>
    <t>Different (one-way agreement)</t>
  </si>
  <si>
    <t>One-way agreements where the bank posts VM</t>
  </si>
  <si>
    <t>Enter collateral after haircuts, in NICA. VM held on an unmargined set is rejected. VM posted (one-way agreement): BCBS includes it in C; CRR rejects it - set Margined = Y.</t>
  </si>
  <si>
    <t>Different (client role, disputes)</t>
  </si>
  <si>
    <t>Client: 5 BD under CRR, 10 BD under BCBS (conservative reading). Disputes with N &gt; 1: CRR minimum 2F + N - 1, BCBS 2(F + N - 1)</t>
  </si>
  <si>
    <t xml:space="preserve">MPOR floors are Params values. CM: 5 BD in both regimes [CRE54.12; Art. 279c(1)]. CLIENT: 5 BD under CRR; 10 BD under BCBS, a conservative interpretation adopted because CRE54.12, which the CRE54.2 footnote applies, names only the clearing member [CRE54.8(2), CRE54.14-.17]. Disputes double F + N - 1 in both regimes, at or above the CRR minimum. Large or illiquid: 20 + N - 1, also where the trade-count floor could be waived. CCP (trade exposure to a CCP): 10 BD in both regimes, a fixed floor rather than a Params value [CRE54.8(2); Art. 304(3)(b)]; with VM retained by the CCP and collateral not protected, each trade's horizon is the lower of one year and its remaining maturity, at least 10 BD, where larger [CRE54.8(3); Art. 304(3)(d)]. MULTI (multi-level client structure) is rejected.</t>
  </si>
  <si>
    <t>Not implemented: declare MIXED under Margin agreements; the netting set is rejected.</t>
  </si>
  <si>
    <t>Art. 275(3) (RC) and Art. 278(2) (PFE as sum of unmargined PFEs).</t>
  </si>
  <si>
    <t>Not implemented: declare SHARED under Margin agreements; the netting set is rejected.</t>
  </si>
  <si>
    <t>ReadMe</t>
  </si>
  <si>
    <t xml:space="preserve">One row per legally enforceable netting set. Collateral after haircuts, in reporting currency; VM / NICA positive = held, negative = posted.
Client clearing role: N, CM (the bank is the clearing member), CLIENT, or CCP (the bank's trade exposure to a CCP, with QCCP in R and CCP retains VM in S, both blank for other roles); MULTI (multi-level client structure) is rejected.
Margin agreements: blank for one agreement, or none, covering only this netting set; MIXED or SHARED declares a structure the engine rejects.</t>
  </si>
  <si>
    <t>Client clearing role (N / CM / CLIENT)</t>
  </si>
  <si>
    <t>Margin agreements (blank / MIXED / SHARED)</t>
  </si>
  <si>
    <t>DEMO-REJECTED</t>
  </si>
  <si>
    <t>Deliberately rejected trades (demo): OT-X is other risks under BCBS, A11 has matured</t>
  </si>
  <si>
    <t>Notional
CCY</t>
  </si>
  <si>
    <t>MtM
CCY</t>
  </si>
  <si>
    <t>Start date
(S)</t>
  </si>
  <si>
    <t>End date
(E)</t>
  </si>
  <si>
    <t>Maturity date
(M)</t>
  </si>
  <si>
    <t>Option expiry
(T)</t>
  </si>
  <si>
    <t>Underlying price
P</t>
  </si>
  <si>
    <t>Strike
K</t>
  </si>
  <si>
    <t>Lambda
shift</t>
  </si>
  <si>
    <t>Attachment
A</t>
  </si>
  <si>
    <t>Detachment
D</t>
  </si>
  <si>
    <t>Economic trade ID</t>
  </si>
  <si>
    <t>MtM leg (Y/N)</t>
  </si>
  <si>
    <t>S, E (years)</t>
  </si>
  <si>
    <t>CRE52.34; CRR Art. 279b(1)(a)</t>
  </si>
  <si>
    <t>S, E, floor (years)</t>
  </si>
  <si>
    <t>M (years)</t>
  </si>
  <si>
    <t>CRE52.48; CRR Art. 279c(1)(a)</t>
  </si>
  <si>
    <t>M (years), margined, MPOR (business days)</t>
  </si>
  <si>
    <t>CRE52.52; CRR Art. 279c(1)(b)</t>
  </si>
  <si>
    <t>P, K, T, volatility, call, bought</t>
  </si>
  <si>
    <t>CRE52.40; CRR Art. 279a(1)(a)</t>
  </si>
  <si>
    <t>P, K, T, volatility, call, bought, lambda</t>
  </si>
  <si>
    <t>CRE52.40 FAQ; CRR-RTS Art. 5(1)</t>
  </si>
  <si>
    <t>A, D, long</t>
  </si>
  <si>
    <t>CRE52.41; CRR Art. 279a(1)(b)</t>
  </si>
  <si>
    <t>D1, D2, D3 (bucket effective notionals)</t>
  </si>
  <si>
    <t>CRE52.57(5); CRR Art. 280a</t>
  </si>
  <si>
    <t>Add-ons A1, A2, A3, correlations 1, 2, 3</t>
  </si>
  <si>
    <t>CRE52.61; CRR Art. 280c</t>
  </si>
  <si>
    <t>V - C, add-on</t>
  </si>
  <si>
    <t>CRE52.23; CRR Art. 278(3)</t>
  </si>
  <si>
    <t>V, C, margined, TH, MTA, NICA</t>
  </si>
  <si>
    <t>CRE52.10, .18; CRR Art. 275(1), (2)</t>
  </si>
  <si>
    <t>x</t>
  </si>
  <si>
    <t>Standard normal distribution</t>
  </si>
  <si>
    <t>P, K, interest rate</t>
  </si>
  <si>
    <t>CRR-RTS Art. 5(2)</t>
  </si>
  <si>
    <t>Arguments</t>
  </si>
  <si>
    <t>Input 1</t>
  </si>
  <si>
    <t>Input 2</t>
  </si>
  <si>
    <t>Input 3</t>
  </si>
  <si>
    <t>Input 4</t>
  </si>
  <si>
    <t>Input 5</t>
  </si>
  <si>
    <t>Input 6</t>
  </si>
  <si>
    <t>Input 7</t>
  </si>
  <si>
    <t>Expected (Excel)</t>
  </si>
  <si>
    <t>Function (VBA)</t>
  </si>
  <si>
    <t>Rule</t>
  </si>
  <si>
    <t>Tolerance: a test passes when its Rel. diff is at most this value</t>
  </si>
  <si>
    <t>FormulaTest</t>
  </si>
  <si>
    <t>Formula tests</t>
  </si>
  <si>
    <t>Rel. diff</t>
  </si>
  <si>
    <t>NettingSets: one row per netting set - margin flag, client-clearing role, MPOR drivers, collateral (net VM held (+) / posted (-), NICA), threshold, MTA, optional Alpha and Regime overrides, and the margin-agreement structure. Collateral is entered after haircuts, in reporting currency.</t>
  </si>
  <si>
    <t>Trades: one row per derivative leg. Dropdowns guide the classification. Amounts can be in any currency of the FX table. Legs of one economic trade share an Economic trade ID; exactly one of them (MtM leg = Y) carries the MtM.</t>
  </si>
  <si>
    <t>Click "Run SA-CCR" (macro RunSACCR). Results, HedgingSets, Buckets, TradeCalc and Checks are rebuilt; Reconciliation and TradeReconciliation compare the figures entered on BankNettingSets and BankTrades with Results and TradeCalc; "Export evidence" on Reconciliation writes the evidence report of the run as a CSV file. "Validate inputs" runs the checks only: it rewrites Checks and clears the other output sheets and both reconciliations; "Clear outputs" empties the output sheets.</t>
  </si>
  <si>
    <t>Positive amount; the sign comes from Direction. IR / CR: trade notional. FX: the notional of one leg, in that leg's currency (one of the pair): the foreign-currency leg or, when both legs are foreign, the larger one in reporting currency. EQ / CO: market price x units.</t>
  </si>
  <si>
    <t>Unmargined: max(V - C, 0), C = NICA, plus the posted VM under a BCBS one-way agreement [CRE52.10]   Margined: max(V - C, TH + MTA - NICA, 0), C = VM + NICA [CRE52.18]</t>
  </si>
  <si>
    <t>Floor 10 BD bilateral; 5 BD (configurable) for client clearing: the clearing member in both regimes, the client under CRR only [CRE54.12; Art. 279c(1)]; 20 BD when the netting set is flagged large or illiquid (more than 5,000 trades in the previous quarter, illiquid collateral or a hard-to-replace derivative; a current count above 5,000 with the flag N only gives a warning) [CRE52.51; Art. 285(3)]; + (N - 1) for remargining every N days; the result doubled for disputes [CRE52.50-52.52; Art. 285]</t>
  </si>
  <si>
    <t>Hedging set per currency (inflation in its own set per currency); buckets on E: CRR E &lt;= 1y, 1y &lt; E &lt;= 5y, E &gt; 5y [Art. 280a]; BCBS E &lt; 1y, 1-5y, &gt; 5y [CRE52.57]; EN = sqrt(D1^2+D2^2+D3^2+1.4D1D2+1.4D2D3+0.6D1D3); AddOn = 0.5% x EN. BCBS only: IRBucketOffset = FALSE uses the sum of absolute bucket values [CRE52.57(5)]; a CRR netting set with IR trades is then INVALID.</t>
  </si>
  <si>
    <t>Other risks: per hedging set AddOn = 8% x |sum effective notional| [Art. 280f]. Under BCBS an OT trade is rejected and its netting set's EAD withheld.</t>
  </si>
  <si>
    <t>Output - EAD per netting set, and TOTAL CRR / TOTAL BCBS rows over the VALID netting sets of each regime</t>
  </si>
  <si>
    <t>SACCR_SupervisoryDuration(S, E, [FloorYears])</t>
  </si>
  <si>
    <t>SACCR_MaturityFactor(M, [Margined], [MPOR_BD], [MinBD], [BDPerYear])</t>
  </si>
  <si>
    <t>SACCR_IREffectiveNotional(D1, D2, D3, [Rho12], [Rho23], [Rho13])</t>
  </si>
  <si>
    <t>SACCR_Multiplier(VminusC, AddOn, [FloorPct])</t>
  </si>
  <si>
    <t xml:space="preserve">Simplified SA-CCR and OEM (CRR Art. 281-282), CCP default-fund contributions, multi-level client structures (role MULTI is rejected), SFTs, CVA and RWA (a trade exposure to a CCP, role CCP, is calculated; its risk weight is stated on Checks, not applied); collateral haircuts (enter C after haircuts); several margin agreements in one netting set, or one agreement over several netting sets; automatic risk-driver mapping (RTS 2021/931); digital options (option legs are calculated as an ordinary option combination, without the CRR collar or the BCBS cap). The optional reductions for sold options and sold credit protection (Art. 274(5), (7)) are not applied, which gives an EAD not lower than with them.</t>
  </si>
  <si>
    <t>The cap recalculates a margined netting set as unmargined: unmargined maturity factors and C = NICA in both regimes (Results columns Z-AC).</t>
  </si>
  <si>
    <t>Illustrative counterparties (NS-ALPHA, NS-GAMMA) and FX rates. BCBS-EX1..5 reproduce CRE99 / BCBS 279 Annex 4 (amounts in thousands); the other CRR-* and BCBS-* netting sets feed the TestCatalogue; DEMO-REJECTED shows how rejected trades withhold a netting set's EAD.</t>
  </si>
  <si>
    <t>M_Main (macros), CORE_Engine (calculation), CORE_Reconcile (comparison with bank figures), CORE_Export (evidence report), SACCR_Formulas (public SACCR_* functions), CORE_Config (layout constants), CORE_Util (helpers). No external references: no Scripting.Dictionary, no WorksheetFunction. Supported on Microsoft 365 or Excel 2016 and later, Windows 64-bit; 32-bit is kept compiling but not certified; Mac, Excel for the web and Excel 2013 or earlier are not supported.</t>
  </si>
  <si>
    <t>Bank netting-set results</t>
  </si>
  <si>
    <t>Enter the bank's own figures per netting set. Run SA-CCR (on Results or Trades) compares them with Results on the Reconciliation sheet. A blank figure is not compared.</t>
  </si>
  <si>
    <t>Amount scale</t>
  </si>
  <si>
    <t>Units of the reporting currency per bank amount: 1, 1000 (thousands) or 1000000 (millions). The multiplier is not scaled.</t>
  </si>
  <si>
    <t>Absolute tolerance</t>
  </si>
  <si>
    <t>In units of the reporting currency. Not used for the multiplier.</t>
  </si>
  <si>
    <t>Relative tolerance</t>
  </si>
  <si>
    <t>Of the absolute bank figure; not applied when it is 0. Amounts match within either tolerance; M, SD, delta and the maturity factors only within this one, or when equal.</t>
  </si>
  <si>
    <t>Regime (BCBS / CRR)</t>
  </si>
  <si>
    <t>Reconciliation</t>
  </si>
  <si>
    <t>Bank row</t>
  </si>
  <si>
    <t>Bank regime</t>
  </si>
  <si>
    <t>Calculator regime</t>
  </si>
  <si>
    <t>Calculator status</t>
  </si>
  <si>
    <t>Measure</t>
  </si>
  <si>
    <t>Bank figure (amounts in units)</t>
  </si>
  <si>
    <t>Calculator figure</t>
  </si>
  <si>
    <t>Difference (calculator - bank)</t>
  </si>
  <si>
    <t>Relative difference</t>
  </si>
  <si>
    <t>BankNettingSets</t>
  </si>
  <si>
    <t>Inputs - the bank's own figures per netting set, to reconcile with Results; amount scale and tolerances at the top</t>
  </si>
  <si>
    <t>Output - each bank figure against Results: MATCH, DIFFERENCE, and every netting set not compared, with the reason</t>
  </si>
  <si>
    <t>Bank trade-leg results</t>
  </si>
  <si>
    <t>Enter the bank's own figures per trade leg, by Trade ID as on Trades. Run SA-CCR (on Results or Trades) compares them with TradeCalc on the TradeReconciliation sheet. A blank figure is not compared.</t>
  </si>
  <si>
    <t>Units of the reporting currency per bank amount: 1, 1000 (thousands) or 1000000 (millions). M, the supervisory duration, the delta and the maturity factors are not scaled.</t>
  </si>
  <si>
    <t>In units of the reporting currency. Used for amounts only.</t>
  </si>
  <si>
    <t>Trade reconciliation</t>
  </si>
  <si>
    <t>BankTrades</t>
  </si>
  <si>
    <t>Inputs - the bank's own figures per trade leg, to reconcile with TradeCalc; amount scale and tolerances at the top</t>
  </si>
  <si>
    <t>TradeReconciliation</t>
  </si>
  <si>
    <t>Output - each bank trade-leg figure against TradeCalc: MATCH, DIFFERENCE, and every leg not compared, with the reason</t>
  </si>
  <si>
    <t/>
  </si>
  <si>
    <t>No results yet: press Run SA-CCR.</t>
  </si>
  <si>
    <t>No reconciliation yet: enter bank figures on BankNettingSets and press Run SA-CCR (on Results or Trades).</t>
  </si>
  <si>
    <t>No reconciliation yet: enter bank figures on BankTrades and press Run SA-CCR (on Results or Trades).</t>
  </si>
  <si>
    <t>CRE52.51 / CRR Art. 285(3)</t>
  </si>
  <si>
    <t>CRE52.72 / CRR Art. 280e(5); RTS 2021/931 Art. 5(3) (vol)</t>
  </si>
  <si>
    <t>CRE52.72 / CRR Art. 280e(5); RTS 2021/931 Art. 5(3) (vol)</t>
  </si>
  <si>
    <t>CRE52.72 / CRR Art. 280e(5); RTS 2021/931 Art. 5(3) (vol)</t>
  </si>
  <si>
    <t>CRE52.72 / CRR Art. 280e(5); RTS 2021/931 Art. 5(3) (vol)</t>
  </si>
  <si>
    <t>CRE52.72 / CRR Art. 280e(5); RTS 2021/931 Art. 5(3) (vol)</t>
  </si>
  <si>
    <t>9m WTI forward (CRE99 treats WTI and Brent as one type, crude oil)</t>
  </si>
  <si>
    <t>9m WTI forward (CRE99 treats WTI and Brent as one type, crude oil)</t>
  </si>
  <si>
    <t>Trades used</t>
  </si>
  <si>
    <t>Figures basis</t>
  </si>
  <si>
    <t>Of the absolute bank figure; not applied when it is 0. Amounts match within either tolerance; the multiplier only within this one, or when equal.</t>
  </si>
  <si>
    <t>Bank figure (amounts in units)</t>
  </si>
  <si>
    <t>CRE52.40; CRR-RTS Art. 5(1) (lambda 0 here)</t>
  </si>
  <si>
    <t>Basel - cap</t>
  </si>
  <si>
    <t>Illustrative - separate unreviewed calculation</t>
  </si>
  <si>
    <t>Illustrative - separate unreviewed calculation</t>
  </si>
  <si>
    <t>Illustrative - unreviewed hand calculation</t>
  </si>
  <si>
    <t>Illustrative - unreviewed hand calculation</t>
  </si>
  <si>
    <t>Illustrative - unreviewed hand calculation</t>
  </si>
  <si>
    <t>Illustrative - unreviewed hand calculation</t>
  </si>
  <si>
    <t>Illustrative - unreviewed hand calculation</t>
  </si>
  <si>
    <t>Illustrative - unreviewed hand calculation</t>
  </si>
  <si>
    <t>Illustrative - unreviewed hand calculation</t>
  </si>
  <si>
    <t>T03; IR bucket boundaries also tested before release</t>
  </si>
  <si>
    <t>Reference card</t>
  </si>
  <si>
    <t>Same coefficients, different conditions</t>
  </si>
  <si>
    <t>Membership of basis sets can differ</t>
  </si>
  <si>
    <t>T11 (remargining); InputValidation netting-set-clearing-*; illustrative-clearing-*-listed</t>
  </si>
  <si>
    <t>Equity and commodity adjusted notional</t>
  </si>
  <si>
    <t>Price of one unit x number of units [CRE52.36]; for volatility transactions, the volatility or variance replaces the price and the contractual notional the units [CRE52.36 FAQ1].</t>
  </si>
  <si>
    <t>Price of one unit x number of units; where the contract is expressed as a notional amount, that amount [Art. 279b(1)(c)].</t>
  </si>
  <si>
    <t>Different (notional contracts)</t>
  </si>
  <si>
    <t>Contracts stated as a notional amount</t>
  </si>
  <si>
    <t>One notional per row, prepared by the user before entry: current price x units (BCBS), or under CRR the contractual notional where the contract is expressed as one. A historical notional is not interchangeable with current units.</t>
  </si>
  <si>
    <t>Variable notional or quantity</t>
  </si>
  <si>
    <t>Notionals that are formulas of market values at current market values; IR and credit: time-weighted average notional over the remaining life [CRE52.37(1)-(2)]. Not for notionals that vary with prices (FX, equity, commodity).</t>
  </si>
  <si>
    <t>All categories: deterministic notionals or units averaged, weighted by time; stochastic ones fixed by current market values in the formula [Art. 279b(2)(a)].</t>
  </si>
  <si>
    <t>Different (scope)</t>
  </si>
  <si>
    <t>Amortising, accreting or price-dependent notionals</t>
  </si>
  <si>
    <t>No schedule is read: the workbook does not derive amounts from the contract; enter the average or fixed notional of each regime.</t>
  </si>
  <si>
    <t>Multiple exchanges and leverage</t>
  </si>
  <si>
    <t>Leveraged swaps at the equivalent unleveraged notional; notional x number of exchanges of principal in the contract [CRE52.37(3)-(4)].</t>
  </si>
  <si>
    <t>Notional x number of remaining payments for multiple notional exchanges; multiplied cash flows or underlyings adjusted [Art. 279b(2)(b), (c)].</t>
  </si>
  <si>
    <t>Different</t>
  </si>
  <si>
    <t>Counted: exchanges in the contract (BCBS), remaining payments (CRR)</t>
  </si>
  <si>
    <t>Enter the adjusted notional per regime; count principal exchanges or payments as the rule says, not every coupon.</t>
  </si>
  <si>
    <t xml:space="preserve">Settlement type
(N/STM)</t>
  </si>
  <si>
    <t xml:space="preserve">Next reset date</t>
  </si>
  <si>
    <t xml:space="preserve">Start (S, IR/CR only; blank = already started, except for IR/CR options, which need the start of the underlying: a swaption's exercise date, the earliest one if Bermudan, or a cap's or floor's first period; CRE52.31, CRE52.42), End (E, IR/CR, also defines the IR maturity bucket), Maturity (M, maturity factor; defaults to End, then Expiry), Option expiry (T, options). Year fractions = days / DaysPerYear. Settlement type STM (settled-to-market: the contract settles its exposure and resets its value to zero on set dates; daily variation margin alone is not STM) takes a Next reset date, after the reporting date and not after M: the maturity factor then uses the time to that date, floored at 10 BD [CRE52.37(5); Art. 279c(2)]. Blank or N: no reset date. STM in a margined netting set makes it INVALID.</t>
  </si>
  <si>
    <t xml:space="preserve">QCCP (Y/N)</t>
  </si>
  <si>
    <t xml:space="preserve">CCP retains VM, collateral not protected (Y/N)</t>
  </si>
  <si>
    <t>Import_NettingSets</t>
  </si>
  <si>
    <t>Staging - netting sets read from a CSV file, as text, to check and correct before they replace NettingSets</t>
  </si>
  <si>
    <t>Import_Trades</t>
  </si>
  <si>
    <t>Staging - trade legs read from a CSV file, as text, to check and correct before they replace Trades</t>
  </si>
  <si>
    <t>NettingSets CSV staging</t>
  </si>
  <si>
    <t>Netting sets read from a CSV file, to check and correct before they replace NettingSets. Values are kept as text, exactly as in the file. CSV line: where the record starts in the file; blank for a row added here.</t>
  </si>
  <si>
    <t>Source file</t>
  </si>
  <si>
    <t>Loaded at</t>
  </si>
  <si>
    <t>Records</t>
  </si>
  <si>
    <t>EMPTY</t>
  </si>
  <si>
    <t>Not validated. Run SA-CCR and Validate inputs read NettingSets and Trades, never this sheet.</t>
  </si>
  <si>
    <t>netting_set_id</t>
  </si>
  <si>
    <t>counterparty</t>
  </si>
  <si>
    <t>margined</t>
  </si>
  <si>
    <t>clearing_role</t>
  </si>
  <si>
    <t>remargin_period_business_days</t>
  </si>
  <si>
    <t>large_or_illiquid</t>
  </si>
  <si>
    <t>margin_disputes</t>
  </si>
  <si>
    <t>mpor_override_business_days</t>
  </si>
  <si>
    <t>variation_margin_net_amount</t>
  </si>
  <si>
    <t>independent_collateral_net_amount</t>
  </si>
  <si>
    <t>threshold_amount</t>
  </si>
  <si>
    <t>minimum_transfer_amount</t>
  </si>
  <si>
    <t>alpha_factor</t>
  </si>
  <si>
    <t>regime_override</t>
  </si>
  <si>
    <t>margin_agreements</t>
  </si>
  <si>
    <t>qccp</t>
  </si>
  <si>
    <t>ccp_retains_variation_margin</t>
  </si>
  <si>
    <t>CSV line</t>
  </si>
  <si>
    <t>Trades CSV staging</t>
  </si>
  <si>
    <t>Trade legs read from a CSV file, to check and correct before they replace Trades. Values are kept as text, exactly as in the file. CSV line: where the record starts in the file; blank for a row added here.</t>
  </si>
  <si>
    <t>trade_id</t>
  </si>
  <si>
    <t>asset_class</t>
  </si>
  <si>
    <t>sub_class</t>
  </si>
  <si>
    <t>risk_factor</t>
  </si>
  <si>
    <t>instrument</t>
  </si>
  <si>
    <t>direction</t>
  </si>
  <si>
    <t>option_type</t>
  </si>
  <si>
    <t>nature</t>
  </si>
  <si>
    <t>hedging_set_label</t>
  </si>
  <si>
    <t>notional_amount</t>
  </si>
  <si>
    <t>notional_currency</t>
  </si>
  <si>
    <t>market_value_amount</t>
  </si>
  <si>
    <t>market_value_currency</t>
  </si>
  <si>
    <t>start_date</t>
  </si>
  <si>
    <t>end_date</t>
  </si>
  <si>
    <t>maturity_date</t>
  </si>
  <si>
    <t>option_expiry_date</t>
  </si>
  <si>
    <t>underlying_price</t>
  </si>
  <si>
    <t>strike_price</t>
  </si>
  <si>
    <t>lambda_price</t>
  </si>
  <si>
    <t>attachment_rate</t>
  </si>
  <si>
    <t>detachment_rate</t>
  </si>
  <si>
    <t>economic_trade_id</t>
  </si>
  <si>
    <t>mtm_leg</t>
  </si>
  <si>
    <t>settlement_type</t>
  </si>
  <si>
    <t>next_reset_date</t>
  </si>
  <si>
    <t>comment</t>
  </si>
  <si>
    <t>Notional ccy</t>
  </si>
  <si>
    <t>MtM ccy</t>
  </si>
  <si>
    <t>Start date (S)</t>
  </si>
  <si>
    <t>End date (E)</t>
  </si>
  <si>
    <t>Maturity date (M)</t>
  </si>
  <si>
    <t>Option expiry (T)</t>
  </si>
  <si>
    <t>Underlying price P</t>
  </si>
  <si>
    <t>Strike K</t>
  </si>
  <si>
    <t>Lambda shift</t>
  </si>
  <si>
    <t>Attachment A</t>
  </si>
  <si>
    <t>Detachment D</t>
  </si>
  <si>
    <t>Settlement type (N/STM)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</si>
</sst>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yyyy\-mm\-dd"/>
    <numFmt numFmtId="165" formatCode="0.00##"/>
    <numFmt numFmtId="166" formatCode="0.000000"/>
    <numFmt numFmtId="167" formatCode="#,##0.0000"/>
    <numFmt numFmtId="168" formatCode="0.0000"/>
    <numFmt numFmtId="169" formatCode="0.0000%"/>
    <numFmt numFmtId="170" formatCode="#,##0.0#####"/>
    <numFmt numFmtId="171" formatCode="0.0E+00"/>
    <numFmt numFmtId="172" formatCode="0.000000000"/>
    <numFmt numFmtId="173" formatCode="#,##0.00########"/>
  </numFmts>
  <fonts count="28" x14ac:knownFonts="1">
    <font>
      <sz val="11"/>
      <color theme="1"/>
      <name val="Aptos"/>
      <family val="2"/>
    </font>
    <font>
      <b/>
      <sz val="16"/>
      <color rgb="FF1F3864"/>
      <name val="Aptos"/>
      <family val="2"/>
    </font>
    <font>
      <i/>
      <sz val="10"/>
      <color rgb="FF595959"/>
      <name val="Aptos"/>
      <family val="2"/>
    </font>
    <font>
      <b/>
      <sz val="12"/>
      <color rgb="FF1F3864"/>
      <name val="Aptos"/>
      <family val="2"/>
    </font>
    <font>
      <b/>
      <sz val="10"/>
      <color theme="1"/>
      <name val="Aptos"/>
      <family val="2"/>
    </font>
    <font>
      <sz val="10"/>
      <color theme="1"/>
      <name val="Aptos"/>
      <family val="2"/>
    </font>
    <font>
      <b/>
      <sz val="10"/>
      <color rgb="FFFFFFFF"/>
      <name val="Aptos"/>
      <family val="2"/>
    </font>
    <font>
      <i/>
      <sz val="10"/>
      <color rgb="FF7F6000"/>
      <name val="Aptos"/>
      <family val="2"/>
    </font>
    <font>
      <sz val="9"/>
      <color theme="1"/>
      <name val="Aptos"/>
      <family val="2"/>
    </font>
    <font>
      <sz val="14"/>
      <color rgb="FFFFC000"/>
      <name val="Aptos"/>
      <family val="2"/>
    </font>
    <font>
      <sz val="11"/>
      <color rgb="FFFFC000"/>
      <name val="Aptos"/>
      <family val="2"/>
    </font>
    <font>
      <b/>
      <sz val="18"/>
      <color theme="0"/>
      <name val="Aptos"/>
      <family val="2"/>
    </font>
    <font>
      <b/>
      <sz val="9"/>
      <color rgb="FF1F3864"/>
      <name val="Aptos"/>
      <family val="2"/>
    </font>
    <font>
      <b/>
      <sz val="14"/>
      <color rgb="FF1F3864"/>
      <name val="Aptos"/>
      <family val="2"/>
    </font>
    <font>
      <sz val="9"/>
      <color rgb="FF595959"/>
      <name val="Aptos"/>
      <family val="2"/>
    </font>
    <font>
      <b/>
      <sz val="11"/>
      <color rgb="FFFFFFFF"/>
      <name val="Aptos"/>
      <family val="2"/>
    </font>
    <font>
      <b/>
      <sz val="12"/>
      <color rgb="FFFFFFFF"/>
      <name val="Aptos"/>
      <family val="2"/>
    </font>
    <font>
      <i/>
      <sz val="9"/>
      <color rgb="FF595959"/>
      <name val="Aptos"/>
      <family val="2"/>
    </font>
    <font>
      <b/>
      <sz val="9"/>
      <color rgb="FFFFFFFF"/>
      <name val="Aptos"/>
      <family val="2"/>
    </font>
    <font>
      <sz val="8"/>
      <color rgb="FF595959"/>
      <name val="Aptos"/>
      <family val="2"/>
    </font>
    <font>
      <b/>
      <sz val="9"/>
      <color theme="1"/>
      <name val="Aptos"/>
      <family val="2"/>
    </font>
    <font>
      <b/>
      <sz val="9"/>
      <color rgb="FF9C0006"/>
      <name val="Aptos"/>
      <family val="2"/>
    </font>
    <font>
      <sz val="9"/>
      <color rgb="FF375623"/>
      <name val="Aptos"/>
      <family val="2"/>
    </font>
    <font>
      <b/>
      <sz val="9"/>
      <color rgb="FFC00000"/>
      <name val="Aptos"/>
      <family val="2"/>
    </font>
    <font>
      <b/>
      <sz val="11"/>
      <color theme="1"/>
      <name val="Aptos"/>
      <family val="2"/>
    </font>
    <font>
      <sz val="11"/>
      <color rgb="FF000000"/>
      <name val="Aptos"/>
      <family val="2"/>
    </font>
    <font>
      <b/>
      <sz val="9"/>
      <color rgb="FF375623"/>
      <name val="Aptos"/>
      <family val="2"/>
    </font>
    <font>
      <u/>
      <sz val="9"/>
      <color rgb="FF0563C1"/>
      <name val="Aptos"/>
      <family val="2"/>
    </font>
  </fonts>
  <fills count="9">
    <fill>
      <patternFill patternType="none"/>
    </fill>
    <fill>
      <patternFill patternType="gray125"/>
    </fill>
    <fill>
      <patternFill patternType="solid">
        <fgColor rgb="FF1F3864"/>
        <bgColor indexed="64"/>
      </patternFill>
    </fill>
    <fill>
      <patternFill patternType="solid">
        <fgColor rgb="FFFFF2CC"/>
        <bgColor indexed="64"/>
      </patternFill>
    </fill>
    <fill>
      <patternFill patternType="solid">
        <fgColor rgb="FF2E75B6"/>
        <bgColor indexed="64"/>
      </patternFill>
    </fill>
    <fill>
      <patternFill patternType="solid">
        <fgColor rgb="FFF7F7F7"/>
        <bgColor indexed="64"/>
      </patternFill>
    </fill>
    <fill>
      <patternFill patternType="solid">
        <fgColor rgb="FFE2EFDA"/>
        <bgColor indexed="64"/>
      </patternFill>
    </fill>
    <fill>
      <patternFill patternType="solid">
        <fgColor theme="1"/>
        <bgColor indexed="64"/>
      </patternFill>
    </fill>
    <fill>
      <patternFill patternType="solid">
        <fgColor rgb="FF265A99"/>
        <bgColor indexed="64"/>
      </patternFill>
    </fill>
  </fills>
  <borders count="21">
    <border>
      <left/>
      <right/>
      <top/>
      <bottom/>
      <diagonal/>
    </border>
    <border>
      <left/>
      <right/>
      <top/>
      <bottom style="medium">
        <color rgb="FF1F3864"/>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dotted">
        <color rgb="FFBFBFBF"/>
      </right>
      <top style="thin">
        <color rgb="FFBFBFBF"/>
      </top>
      <bottom style="dotted">
        <color rgb="FFBFBFBF"/>
      </bottom>
      <diagonal/>
    </border>
    <border>
      <left style="dotted">
        <color rgb="FFBFBFBF"/>
      </left>
      <right style="dotted">
        <color rgb="FFBFBFBF"/>
      </right>
      <top style="thin">
        <color rgb="FFBFBFBF"/>
      </top>
      <bottom style="dotted">
        <color rgb="FFBFBFBF"/>
      </bottom>
      <diagonal/>
    </border>
    <border>
      <left style="dotted">
        <color rgb="FFBFBFBF"/>
      </left>
      <right/>
      <top style="thin">
        <color rgb="FFBFBFBF"/>
      </top>
      <bottom style="dotted">
        <color rgb="FFBFBFBF"/>
      </bottom>
      <diagonal/>
    </border>
    <border>
      <left/>
      <right style="dotted">
        <color rgb="FFBFBFBF"/>
      </right>
      <top style="dotted">
        <color rgb="FFBFBFBF"/>
      </top>
      <bottom style="dotted">
        <color rgb="FFBFBFBF"/>
      </bottom>
      <diagonal/>
    </border>
    <border>
      <left style="dotted">
        <color rgb="FFBFBFBF"/>
      </left>
      <right style="dotted">
        <color rgb="FFBFBFBF"/>
      </right>
      <top style="dotted">
        <color rgb="FFBFBFBF"/>
      </top>
      <bottom style="dotted">
        <color rgb="FFBFBFBF"/>
      </bottom>
      <diagonal/>
    </border>
    <border>
      <left style="dotted">
        <color rgb="FFBFBFBF"/>
      </left>
      <right/>
      <top style="dotted">
        <color rgb="FFBFBFBF"/>
      </top>
      <bottom style="dotted">
        <color rgb="FFBFBFBF"/>
      </bottom>
      <diagonal/>
    </border>
    <border>
      <left/>
      <right style="dotted">
        <color rgb="FFBFBFBF"/>
      </right>
      <top style="dotted">
        <color rgb="FFBFBFBF"/>
      </top>
      <bottom/>
      <diagonal/>
    </border>
    <border>
      <left style="dotted">
        <color rgb="FFBFBFBF"/>
      </left>
      <right style="dotted">
        <color rgb="FFBFBFBF"/>
      </right>
      <top style="dotted">
        <color rgb="FFBFBFBF"/>
      </top>
      <bottom/>
      <diagonal/>
    </border>
    <border>
      <left style="dotted">
        <color rgb="FFBFBFBF"/>
      </left>
      <right/>
      <top style="dotted">
        <color rgb="FFBFBFBF"/>
      </top>
      <bottom/>
      <diagonal/>
    </border>
    <border>
      <left style="thin">
        <color auto="1"/>
      </left>
      <right style="dashed">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thin">
        <color auto="1"/>
      </left>
      <right style="dashed">
        <color auto="1"/>
      </right>
      <top style="thin">
        <color auto="1"/>
      </top>
      <bottom style="thin">
        <color auto="1"/>
      </bottom>
      <diagonal/>
    </border>
    <border>
      <left style="dashed">
        <color auto="1"/>
      </left>
      <right style="thin">
        <color auto="1"/>
      </right>
      <top style="thin">
        <color auto="1"/>
      </top>
      <bottom style="dashed">
        <color auto="1"/>
      </bottom>
      <diagonal/>
    </border>
    <border>
      <left style="dashed">
        <color auto="1"/>
      </left>
      <right style="thin">
        <color auto="1"/>
      </right>
      <top style="dashed">
        <color auto="1"/>
      </top>
      <bottom style="dashed">
        <color auto="1"/>
      </bottom>
      <diagonal/>
    </border>
    <border>
      <left style="dashed">
        <color auto="1"/>
      </left>
      <right style="thin">
        <color auto="1"/>
      </right>
      <top style="dashed">
        <color auto="1"/>
      </top>
      <bottom style="thin">
        <color auto="1"/>
      </bottom>
      <diagonal/>
    </border>
    <border>
      <left style="dashed">
        <color auto="1"/>
      </left>
      <right style="thin">
        <color auto="1"/>
      </right>
      <top style="thin">
        <color auto="1"/>
      </top>
      <bottom style="thin">
        <color auto="1"/>
      </bottom>
      <diagonal/>
    </border>
  </borders>
  <cellStyleXfs count="1">
    <xf numFmtId="0" fontId="0" fillId="0" borderId="0">
      <alignment vertical="center"/>
    </xf>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0" borderId="1" xfId="0" applyFont="1" applyBorder="1">
      <alignment vertical="center"/>
    </xf>
    <xf numFmtId="0" fontId="4" fillId="0" borderId="0" xfId="0" applyFont="1">
      <alignment vertical="center"/>
    </xf>
    <xf numFmtId="0" fontId="5" fillId="0" borderId="0" xfId="0" applyFont="1" applyAlignment="1">
      <alignment vertical="center" wrapText="1"/>
    </xf>
    <xf numFmtId="0" fontId="5" fillId="0" borderId="0" xfId="0" applyFont="1">
      <alignment vertical="center"/>
    </xf>
    <xf numFmtId="49" fontId="5" fillId="3" borderId="2" xfId="0" applyNumberFormat="1" applyFont="1" applyFill="1" applyBorder="1">
      <alignment vertical="center"/>
    </xf>
    <xf numFmtId="0" fontId="5" fillId="0" borderId="0" xfId="0" applyFont="1" applyAlignment="1">
      <alignment horizontal="center" vertical="center"/>
    </xf>
    <xf numFmtId="1" fontId="5" fillId="0" borderId="0" xfId="0" applyNumberFormat="1" applyFont="1">
      <alignment vertical="center"/>
    </xf>
    <xf numFmtId="3" fontId="5" fillId="0" borderId="0" xfId="0" applyNumberFormat="1" applyFont="1">
      <alignment vertical="center"/>
    </xf>
    <xf numFmtId="168" fontId="5" fillId="0" borderId="0" xfId="0" applyNumberFormat="1" applyFont="1">
      <alignment vertical="center"/>
    </xf>
    <xf numFmtId="2" fontId="5" fillId="0" borderId="0" xfId="0" applyNumberFormat="1" applyFont="1">
      <alignment vertical="center"/>
    </xf>
    <xf numFmtId="0" fontId="7" fillId="0" borderId="0" xfId="0" applyFont="1">
      <alignment vertical="center"/>
    </xf>
    <xf numFmtId="0" fontId="6" fillId="4" borderId="2" xfId="0" applyFont="1" applyFill="1" applyBorder="1" applyAlignment="1">
      <alignment vertical="center" wrapText="1"/>
    </xf>
    <xf numFmtId="10" fontId="5" fillId="0" borderId="0" xfId="0" applyNumberFormat="1" applyFont="1">
      <alignment vertical="center"/>
    </xf>
    <xf numFmtId="9" fontId="5" fillId="0" borderId="0" xfId="0" applyNumberFormat="1" applyFont="1">
      <alignment vertical="center"/>
    </xf>
    <xf numFmtId="169" fontId="5" fillId="0" borderId="0" xfId="0" applyNumberFormat="1" applyFont="1">
      <alignment vertical="center"/>
    </xf>
    <xf numFmtId="170" fontId="5" fillId="3" borderId="0" xfId="0" applyNumberFormat="1" applyFont="1" applyFill="1">
      <alignment vertical="center"/>
    </xf>
    <xf numFmtId="171" fontId="5" fillId="0" borderId="0" xfId="0" applyNumberFormat="1" applyFont="1">
      <alignment vertical="center"/>
    </xf>
    <xf numFmtId="170" fontId="5" fillId="0" borderId="0" xfId="0" applyNumberFormat="1" applyFont="1">
      <alignment vertical="center"/>
    </xf>
    <xf numFmtId="0" fontId="4" fillId="0" borderId="0" xfId="0" applyFont="1" applyAlignment="1">
      <alignment horizontal="center" vertical="center"/>
    </xf>
    <xf numFmtId="0" fontId="5" fillId="3" borderId="0" xfId="0" applyFont="1" applyFill="1">
      <alignment vertical="center"/>
    </xf>
    <xf numFmtId="0" fontId="8" fillId="5" borderId="0" xfId="0" applyFont="1" applyFill="1" applyAlignment="1">
      <alignment vertical="center" wrapText="1"/>
    </xf>
    <xf numFmtId="0" fontId="9" fillId="7" borderId="0" xfId="0" applyFont="1" applyFill="1" applyAlignment="1">
      <alignment horizontal="left" vertical="center" indent="1"/>
    </xf>
    <xf numFmtId="14" fontId="10" fillId="7" borderId="0" xfId="0" applyNumberFormat="1" applyFont="1" applyFill="1">
      <alignment vertical="center"/>
    </xf>
    <xf numFmtId="0" fontId="10" fillId="7" borderId="0" xfId="0" applyFont="1" applyFill="1">
      <alignment vertical="center"/>
    </xf>
    <xf numFmtId="14" fontId="0" fillId="0" borderId="0" xfId="0" applyNumberFormat="1">
      <alignment vertical="center"/>
    </xf>
    <xf numFmtId="0" fontId="11" fillId="8" borderId="0" xfId="0" applyFont="1" applyFill="1" applyAlignment="1">
      <alignment horizontal="left" vertical="center" indent="1"/>
    </xf>
    <xf numFmtId="14" fontId="0" fillId="8" borderId="0" xfId="0" applyNumberFormat="1" applyFill="1">
      <alignment vertical="center"/>
    </xf>
    <xf numFmtId="0" fontId="0" fillId="8" borderId="0" xfId="0" applyFill="1">
      <alignment vertical="center"/>
    </xf>
    <xf numFmtId="0" fontId="13" fillId="0" borderId="1" xfId="0" applyFont="1" applyBorder="1" applyAlignment="1">
      <alignment vertical="center" wrapText="1"/>
    </xf>
    <xf numFmtId="0" fontId="8" fillId="0" borderId="0" xfId="0" applyFont="1" applyAlignment="1">
      <alignment vertical="center" wrapText="1"/>
    </xf>
    <xf numFmtId="0" fontId="0" fillId="0" borderId="0" xfId="0" applyAlignment="1">
      <alignment vertical="center" wrapText="1"/>
    </xf>
    <xf numFmtId="0" fontId="8" fillId="0" borderId="0" xfId="0" applyFont="1">
      <alignment vertical="center"/>
    </xf>
    <xf numFmtId="0" fontId="12" fillId="0" borderId="1" xfId="0" applyFont="1" applyBorder="1">
      <alignment vertical="center"/>
    </xf>
    <xf numFmtId="0" fontId="16" fillId="2" borderId="2" xfId="0" applyFont="1" applyFill="1" applyBorder="1" applyAlignment="1">
      <alignment vertical="center" wrapText="1"/>
    </xf>
    <xf numFmtId="0" fontId="16" fillId="2" borderId="3" xfId="0" applyFont="1" applyFill="1" applyBorder="1" applyAlignment="1">
      <alignment horizontal="center" vertical="center" wrapText="1"/>
    </xf>
    <xf numFmtId="0" fontId="16" fillId="2" borderId="3" xfId="0" applyFont="1" applyFill="1" applyBorder="1" applyAlignment="1">
      <alignment vertical="center" wrapText="1"/>
    </xf>
    <xf numFmtId="0" fontId="6" fillId="2" borderId="0" xfId="0" applyFont="1" applyFill="1" applyAlignment="1">
      <alignment vertical="center" wrapText="1"/>
    </xf>
    <xf numFmtId="0" fontId="14" fillId="0" borderId="0" xfId="0" applyFont="1">
      <alignment vertical="center"/>
    </xf>
    <xf numFmtId="49" fontId="8" fillId="3" borderId="2" xfId="0" applyNumberFormat="1" applyFont="1" applyFill="1" applyBorder="1" applyAlignment="1">
      <alignment horizontal="center" vertical="center"/>
    </xf>
    <xf numFmtId="165" fontId="8" fillId="3" borderId="2" xfId="0" applyNumberFormat="1" applyFont="1" applyFill="1" applyBorder="1">
      <alignment vertical="center"/>
    </xf>
    <xf numFmtId="10" fontId="8" fillId="3" borderId="2" xfId="0" applyNumberFormat="1" applyFont="1" applyFill="1" applyBorder="1">
      <alignment vertical="center"/>
    </xf>
    <xf numFmtId="0" fontId="8" fillId="3" borderId="2" xfId="0" applyFont="1" applyFill="1" applyBorder="1">
      <alignment vertical="center"/>
    </xf>
    <xf numFmtId="0" fontId="13" fillId="0" borderId="1" xfId="0" applyFont="1" applyBorder="1">
      <alignment vertical="center"/>
    </xf>
    <xf numFmtId="0" fontId="16" fillId="2" borderId="2" xfId="0" applyFont="1" applyFill="1" applyBorder="1" applyAlignment="1">
      <alignment horizontal="center" vertical="center" wrapText="1"/>
    </xf>
    <xf numFmtId="0" fontId="8" fillId="0" borderId="0" xfId="0" applyFont="1" applyAlignment="1">
      <alignment horizontal="center" vertical="center"/>
    </xf>
    <xf numFmtId="10" fontId="8" fillId="3" borderId="2" xfId="0" applyNumberFormat="1" applyFont="1" applyFill="1" applyBorder="1" applyAlignment="1">
      <alignment horizontal="center" vertical="center"/>
    </xf>
    <xf numFmtId="9" fontId="8" fillId="3" borderId="2" xfId="0" applyNumberFormat="1" applyFont="1" applyFill="1" applyBorder="1" applyAlignment="1">
      <alignment horizontal="center" vertical="center"/>
    </xf>
    <xf numFmtId="0" fontId="8" fillId="3" borderId="2" xfId="0" applyFont="1" applyFill="1" applyBorder="1" applyAlignment="1">
      <alignment horizontal="center" vertical="center"/>
    </xf>
    <xf numFmtId="0" fontId="15" fillId="2" borderId="2" xfId="0" applyFont="1" applyFill="1" applyBorder="1" applyAlignment="1">
      <alignment horizontal="left" vertical="center" wrapText="1"/>
    </xf>
    <xf numFmtId="0" fontId="15" fillId="2" borderId="2" xfId="0" applyFont="1" applyFill="1" applyBorder="1" applyAlignment="1">
      <alignment horizontal="center" vertical="center" wrapText="1"/>
    </xf>
    <xf numFmtId="166" fontId="8" fillId="3" borderId="2" xfId="0" applyNumberFormat="1" applyFont="1" applyFill="1" applyBorder="1">
      <alignment vertical="center"/>
    </xf>
    <xf numFmtId="0" fontId="17" fillId="0" borderId="0" xfId="0" applyFont="1" applyAlignment="1">
      <alignment vertical="center" wrapText="1"/>
    </xf>
    <xf numFmtId="0" fontId="18" fillId="2" borderId="2" xfId="0" applyFont="1" applyFill="1" applyBorder="1" applyAlignment="1">
      <alignment vertical="center" wrapText="1"/>
    </xf>
    <xf numFmtId="0" fontId="18" fillId="2" borderId="2" xfId="0" applyFont="1" applyFill="1" applyBorder="1" applyAlignment="1">
      <alignment horizontal="center" vertical="center" wrapText="1"/>
    </xf>
    <xf numFmtId="49" fontId="8" fillId="3" borderId="2" xfId="0" applyNumberFormat="1" applyFont="1" applyFill="1" applyBorder="1">
      <alignment vertical="center"/>
    </xf>
    <xf numFmtId="1" fontId="8" fillId="3" borderId="2" xfId="0" applyNumberFormat="1" applyFont="1" applyFill="1" applyBorder="1" applyAlignment="1">
      <alignment horizontal="center" vertical="center"/>
    </xf>
    <xf numFmtId="1" fontId="8" fillId="3" borderId="2" xfId="0" applyNumberFormat="1" applyFont="1" applyFill="1" applyBorder="1">
      <alignment vertical="center"/>
    </xf>
    <xf numFmtId="3" fontId="8" fillId="3" borderId="2" xfId="0" applyNumberFormat="1" applyFont="1" applyFill="1" applyBorder="1">
      <alignment vertical="center"/>
    </xf>
    <xf numFmtId="2" fontId="8" fillId="3" borderId="2" xfId="0" applyNumberFormat="1" applyFont="1" applyFill="1" applyBorder="1">
      <alignment vertical="center"/>
    </xf>
    <xf numFmtId="0" fontId="9" fillId="7" borderId="0" xfId="0" applyFont="1" applyFill="1" applyAlignment="1">
      <alignment horizontal="left" vertical="center"/>
    </xf>
    <xf numFmtId="0" fontId="10" fillId="7" borderId="0" xfId="0" applyFont="1" applyFill="1" applyAlignment="1">
      <alignment horizontal="center" vertical="center"/>
    </xf>
    <xf numFmtId="0" fontId="11" fillId="8" borderId="0" xfId="0" applyFont="1" applyFill="1" applyAlignment="1">
      <alignment horizontal="left" vertical="center"/>
    </xf>
    <xf numFmtId="0" fontId="0" fillId="8" borderId="0" xfId="0" applyFill="1" applyAlignment="1">
      <alignment horizontal="center" vertical="center"/>
    </xf>
    <xf numFmtId="0" fontId="0" fillId="0" borderId="0" xfId="0" applyAlignment="1">
      <alignment horizontal="center" vertical="center"/>
    </xf>
    <xf numFmtId="0" fontId="19" fillId="0" borderId="0" xfId="0" applyFont="1" applyAlignment="1">
      <alignment horizontal="right" vertical="center" wrapText="1"/>
    </xf>
    <xf numFmtId="0" fontId="15" fillId="2" borderId="2" xfId="0" applyFont="1" applyFill="1" applyBorder="1" applyAlignment="1">
      <alignment vertical="center" wrapText="1"/>
    </xf>
    <xf numFmtId="164" fontId="8" fillId="3" borderId="2" xfId="0" applyNumberFormat="1" applyFont="1" applyFill="1" applyBorder="1" applyAlignment="1">
      <alignment horizontal="center" vertical="center"/>
    </xf>
    <xf numFmtId="167" fontId="8" fillId="3" borderId="2" xfId="0" applyNumberFormat="1" applyFont="1" applyFill="1" applyBorder="1">
      <alignment vertical="center"/>
    </xf>
    <xf numFmtId="168" fontId="8" fillId="3" borderId="2" xfId="0" applyNumberFormat="1" applyFont="1" applyFill="1" applyBorder="1">
      <alignment vertical="center"/>
    </xf>
    <xf numFmtId="14" fontId="8" fillId="0" borderId="0" xfId="0" applyNumberFormat="1" applyFont="1" applyAlignment="1">
      <alignment horizontal="center" vertical="center"/>
    </xf>
    <xf numFmtId="14" fontId="10" fillId="7" borderId="0" xfId="0" applyNumberFormat="1" applyFont="1" applyFill="1" applyAlignment="1">
      <alignment horizontal="center" vertical="center"/>
    </xf>
    <xf numFmtId="14" fontId="0" fillId="8" borderId="0" xfId="0" applyNumberFormat="1" applyFill="1" applyAlignment="1">
      <alignment horizontal="center" vertical="center"/>
    </xf>
    <xf numFmtId="0" fontId="2" fillId="0" borderId="0" xfId="0" applyFont="1" applyAlignment="1">
      <alignment horizontal="left" vertical="center"/>
    </xf>
    <xf numFmtId="0" fontId="20" fillId="0" borderId="4" xfId="0" applyFont="1" applyBorder="1" applyAlignment="1">
      <alignment horizontal="center" vertical="center"/>
    </xf>
    <xf numFmtId="0" fontId="20" fillId="0" borderId="5" xfId="0" applyFont="1" applyBorder="1" applyAlignment="1">
      <alignment vertical="center" wrapText="1"/>
    </xf>
    <xf numFmtId="0" fontId="8" fillId="0" borderId="5" xfId="0" applyFont="1" applyBorder="1" applyAlignment="1">
      <alignment vertical="center" wrapText="1"/>
    </xf>
    <xf numFmtId="0" fontId="21" fillId="0" borderId="5" xfId="0" applyFont="1" applyBorder="1" applyAlignment="1">
      <alignment vertical="center" wrapText="1"/>
    </xf>
    <xf numFmtId="0" fontId="8" fillId="0" borderId="5" xfId="0" applyFont="1" applyBorder="1" applyAlignment="1">
      <alignment horizontal="center" vertical="center" wrapText="1"/>
    </xf>
    <xf numFmtId="0" fontId="8" fillId="0" borderId="6" xfId="0" applyFont="1" applyBorder="1" applyAlignment="1">
      <alignment vertical="center" wrapText="1"/>
    </xf>
    <xf numFmtId="0" fontId="20" fillId="0" borderId="7" xfId="0" applyFont="1" applyBorder="1" applyAlignment="1">
      <alignment horizontal="center" vertical="center"/>
    </xf>
    <xf numFmtId="0" fontId="20" fillId="0" borderId="8" xfId="0" applyFont="1" applyBorder="1" applyAlignment="1">
      <alignment vertical="center" wrapText="1"/>
    </xf>
    <xf numFmtId="0" fontId="8" fillId="0" borderId="8" xfId="0" applyFont="1" applyBorder="1" applyAlignment="1">
      <alignment vertical="center" wrapText="1"/>
    </xf>
    <xf numFmtId="0" fontId="22" fillId="0" borderId="8" xfId="0" applyFont="1" applyBorder="1" applyAlignment="1">
      <alignment vertical="center" wrapText="1"/>
    </xf>
    <xf numFmtId="0" fontId="8" fillId="0" borderId="8" xfId="0" applyFont="1" applyBorder="1" applyAlignment="1">
      <alignment horizontal="center" vertical="center" wrapText="1"/>
    </xf>
    <xf numFmtId="0" fontId="8" fillId="0" borderId="9" xfId="0" applyFont="1" applyBorder="1" applyAlignment="1">
      <alignment vertical="center" wrapText="1"/>
    </xf>
    <xf numFmtId="0" fontId="21" fillId="0" borderId="8" xfId="0" applyFont="1" applyBorder="1" applyAlignment="1">
      <alignment vertical="center" wrapText="1"/>
    </xf>
    <xf numFmtId="0" fontId="23" fillId="0" borderId="9" xfId="0" applyFont="1" applyBorder="1" applyAlignment="1">
      <alignment vertical="center" wrapText="1"/>
    </xf>
    <xf numFmtId="0" fontId="8" fillId="0" borderId="8" xfId="0" applyFont="1" applyBorder="1">
      <alignment vertical="center"/>
    </xf>
    <xf numFmtId="0" fontId="8" fillId="0" borderId="8" xfId="0" applyFont="1" applyBorder="1" applyAlignment="1">
      <alignment horizontal="center" vertical="center"/>
    </xf>
    <xf numFmtId="0" fontId="8" fillId="0" borderId="9" xfId="0" applyFont="1" applyBorder="1">
      <alignment vertical="center"/>
    </xf>
    <xf numFmtId="0" fontId="20" fillId="0" borderId="10" xfId="0" applyFont="1" applyBorder="1" applyAlignment="1">
      <alignment horizontal="center" vertical="center"/>
    </xf>
    <xf numFmtId="0" fontId="8" fillId="0" borderId="11" xfId="0" applyFont="1" applyBorder="1">
      <alignment vertical="center"/>
    </xf>
    <xf numFmtId="0" fontId="8" fillId="0" borderId="11" xfId="0" applyFont="1" applyBorder="1" applyAlignment="1">
      <alignment horizontal="center" vertical="center"/>
    </xf>
    <xf numFmtId="0" fontId="8" fillId="0" borderId="12" xfId="0" applyFont="1" applyBorder="1">
      <alignment vertical="center"/>
    </xf>
    <xf numFmtId="0" fontId="24" fillId="0" borderId="0" xfId="0" applyFont="1" applyAlignment="1">
      <alignment horizontal="center" vertical="center"/>
    </xf>
    <xf numFmtId="172" fontId="8" fillId="0" borderId="0" xfId="0" applyNumberFormat="1" applyFont="1">
      <alignment vertical="center"/>
    </xf>
    <xf numFmtId="0" fontId="26" fillId="6" borderId="0" xfId="0" applyFont="1" applyFill="1" applyAlignment="1">
      <alignment horizontal="center" vertical="center"/>
    </xf>
    <xf numFmtId="0" fontId="20" fillId="0" borderId="0" xfId="0" applyFont="1">
      <alignment vertical="center"/>
    </xf>
    <xf numFmtId="169" fontId="8" fillId="3" borderId="2" xfId="0" applyNumberFormat="1" applyFont="1" applyFill="1" applyBorder="1" applyAlignment="1">
      <alignment horizontal="center" vertical="center"/>
    </xf>
    <xf numFmtId="169" fontId="8" fillId="0" borderId="0" xfId="0" applyNumberFormat="1" applyFont="1">
      <alignment vertical="center"/>
    </xf>
    <xf numFmtId="0" fontId="27" fillId="0" borderId="1" xfId="0" applyFont="1" applyBorder="1" applyAlignment="1">
      <alignment horizontal="right" vertical="center"/>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15" xfId="0" applyFont="1" applyBorder="1" applyAlignment="1">
      <alignment vertical="center" wrapText="1"/>
    </xf>
    <xf numFmtId="0" fontId="4" fillId="0" borderId="16" xfId="0" applyFont="1" applyBorder="1" applyAlignment="1">
      <alignment vertical="center" wrapText="1"/>
    </xf>
    <xf numFmtId="0" fontId="8" fillId="0" borderId="17" xfId="0" applyFont="1" applyBorder="1" applyAlignment="1">
      <alignment vertical="center" wrapText="1"/>
    </xf>
    <xf numFmtId="0" fontId="8" fillId="0" borderId="18" xfId="0" applyFont="1" applyBorder="1" applyAlignment="1">
      <alignment vertical="center" wrapText="1"/>
    </xf>
    <xf numFmtId="0" fontId="8" fillId="0" borderId="19" xfId="0" applyFont="1" applyBorder="1" applyAlignment="1">
      <alignment vertical="center" wrapText="1"/>
    </xf>
    <xf numFmtId="0" fontId="8" fillId="0" borderId="20" xfId="0" applyFont="1" applyBorder="1" applyAlignment="1">
      <alignment vertical="center" wrapText="1"/>
    </xf>
    <xf numFmtId="49" fontId="5" fillId="0" borderId="0" xfId="0" applyNumberFormat="1" applyFont="1">
      <alignment vertical="center"/>
    </xf>
    <xf numFmtId="49" fontId="5" fillId="0" borderId="0" xfId="0" applyNumberFormat="1" applyFont="1" applyAlignment="1">
      <alignment horizontal="center" vertical="center"/>
    </xf>
    <xf numFmtId="49" fontId="4" fillId="0" borderId="0" xfId="0" applyNumberFormat="1" applyFont="1">
      <alignment vertical="center"/>
    </xf>
    <xf numFmtId="49" fontId="4" fillId="0" borderId="0" xfId="0" applyNumberFormat="1" applyFont="1" applyAlignment="1">
      <alignment horizontal="center" vertical="center"/>
    </xf>
    <xf numFmtId="1" fontId="4" fillId="0" borderId="0" xfId="0" applyNumberFormat="1" applyFont="1">
      <alignment vertical="center"/>
    </xf>
    <xf numFmtId="3" fontId="4" fillId="0" borderId="0" xfId="0" applyNumberFormat="1" applyFont="1">
      <alignment vertical="center"/>
    </xf>
    <xf numFmtId="168" fontId="4" fillId="0" borderId="0" xfId="0" applyNumberFormat="1" applyFont="1">
      <alignment vertical="center"/>
    </xf>
    <xf numFmtId="2" fontId="4" fillId="0" borderId="0" xfId="0" applyNumberFormat="1" applyFont="1">
      <alignment vertical="center"/>
    </xf>
    <xf numFmtId="173" fontId="5" fillId="0" borderId="0" xfId="0" applyNumberFormat="1" applyFont="1">
      <alignment vertical="center"/>
    </xf>
    <xf numFmtId="3" fontId="8" fillId="3" borderId="2" xfId="0" quotePrefix="1" applyNumberFormat="1" applyFont="1" applyFill="1" applyBorder="1">
      <alignment vertical="center"/>
    </xf>
    <xf numFmtId="164" fontId="8" fillId="3" borderId="2" xfId="0" quotePrefix="1" applyNumberFormat="1" applyFont="1" applyFill="1" applyBorder="1" applyAlignment="1">
      <alignment horizontal="center" vertical="center"/>
    </xf>
    <xf numFmtId="164" fontId="8" fillId="3" borderId="2" xfId="0" quotePrefix="1" applyNumberFormat="1" applyFont="1" applyFill="1" applyBorder="1">
      <alignment vertical="center"/>
    </xf>
    <xf numFmtId="0" fontId="5" fillId="0" borderId="0" xfId="0" applyFont="1" applyAlignment="1">
      <alignment vertical="center" wrapText="1"/>
    </xf>
    <xf numFmtId="1" fontId="5" fillId="0" borderId="0" xfId="0" applyNumberFormat="1" applyFont="1" applyAlignment="1">
      <alignment horizontal="center" vertical="center"/>
    </xf>
    <xf numFmtId="1" fontId="4" fillId="0" borderId="0" xfId="0" applyNumberFormat="1" applyFont="1" applyAlignment="1">
      <alignment horizontal="center" vertical="center"/>
    </xf>
    <xf numFmtId="0" fontId="15" fillId="4" borderId="2" xfId="0" applyFont="1" applyFill="1" applyBorder="1" applyAlignment="1">
      <alignment vertical="center" wrapText="1"/>
    </xf>
    <xf numFmtId="0" fontId="15" fillId="4" borderId="2" xfId="0" applyFont="1" applyFill="1" applyBorder="1" applyAlignment="1">
      <alignment horizontal="center" vertical="center" wrapText="1"/>
    </xf>
    <xf numFmtId="0" fontId="15" fillId="4" borderId="2" xfId="0" applyFont="1" applyFill="1" applyBorder="1" applyAlignment="1">
      <alignment horizontal="left" vertical="center" wrapText="1"/>
    </xf>
    <xf numFmtId="0" fontId="14" fillId="0" borderId="0" xfId="0" applyFont="1" applyAlignment="1">
      <alignment vertical="center" wrapText="1"/>
    </xf>
    <xf numFmtId="49" fontId="8" fillId="0" borderId="0" xfId="0" applyNumberFormat="1" applyFont="1">
      <alignment vertical="center"/>
    </xf>
    <xf numFmtId="49" fontId="8" fillId="5" borderId="2" xfId="0" applyNumberFormat="1" applyFont="1" applyFill="1" applyBorder="1">
      <alignment vertical="center"/>
    </xf>
  </cellXfs>
  <cellStyles count="1">
    <cellStyle name="Normal" xfId="0" builtinId="0"/>
  </cellStyles>
  <dxfs count="20">
    <dxf>
      <font>
        <color rgb="FF9C0006"/>
      </font>
      <fill>
        <patternFill>
          <bgColor rgb="FFFFC7CE"/>
        </patternFill>
      </fill>
    </dxf>
    <dxf>
      <font>
        <color rgb="FF375623"/>
      </font>
      <fill>
        <patternFill>
          <bgColor rgb="FFE2EFDA"/>
        </patternFill>
      </fill>
    </dxf>
    <dxf>
      <font>
        <color rgb="FF9C0006"/>
      </font>
      <fill>
        <patternFill>
          <bgColor rgb="FFFFC7CE"/>
        </patternFill>
      </fill>
    </dxf>
    <dxf>
      <font>
        <color rgb="FF375623"/>
      </font>
      <fill>
        <patternFill>
          <bgColor rgb="FFE2EFDA"/>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375623"/>
      </font>
      <fill>
        <patternFill>
          <bgColor rgb="FFE2EFDA"/>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color rgb="FF375623"/>
      </font>
    </dxf>
    <dxf>
      <font>
        <b/>
        <color rgb="FF9C0006"/>
      </font>
    </dxf>
    <dxf>
      <font>
        <b val="0"/>
        <color theme="1"/>
      </font>
    </dxf>
    <dxf>
      <font>
        <b/>
        <color rgb="FFC00000"/>
      </font>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1" Type="http://schemas.openxmlformats.org/officeDocument/2006/relationships/worksheet" Target="worksheets/sheet17.xml"/><Relationship Id="rId22" Type="http://schemas.openxmlformats.org/officeDocument/2006/relationships/worksheet" Target="worksheets/sheet18.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0</xdr:colOff>
          <xdr:row>2</xdr:row>
          <xdr:rowOff>66675</xdr:rowOff>
        </xdr:from>
        <xdr:to>
          <xdr:col>8</xdr:col>
          <xdr:colOff>419100</xdr:colOff>
          <xdr:row>2</xdr:row>
          <xdr:rowOff>314325</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it-IT" sz="1100" b="0" i="0" u="none" strike="noStrike" baseline="0">
                  <a:solidFill>
                    <a:srgbClr val="000000"/>
                  </a:solidFill>
                  <a:latin typeface="Aptos"/>
                </a:rPr>
                <a:t>Run SA-CCR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514350</xdr:colOff>
          <xdr:row>2</xdr:row>
          <xdr:rowOff>66675</xdr:rowOff>
        </xdr:from>
        <xdr:to>
          <xdr:col>10</xdr:col>
          <xdr:colOff>228600</xdr:colOff>
          <xdr:row>2</xdr:row>
          <xdr:rowOff>314325</xdr:rowOff>
        </xdr:to>
        <xdr:sp macro="" textlink="">
          <xdr:nvSpPr>
            <xdr:cNvPr id="2050" name="Button 2" hidden="1">
              <a:extLst>
                <a:ext uri="{63B3BB69-23CF-44E3-9099-C40C66FF867C}">
                  <a14:compatExt spid="_x0000_s2050"/>
                </a:ext>
                <a:ext uri="{FF2B5EF4-FFF2-40B4-BE49-F238E27FC236}">
                  <a16:creationId xmlns:a16="http://schemas.microsoft.com/office/drawing/2014/main" id="{00000000-0008-0000-0300-0000020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it-IT" sz="1100" b="0" i="0" u="none" strike="noStrike" baseline="0">
                  <a:solidFill>
                    <a:srgbClr val="000000"/>
                  </a:solidFill>
                  <a:latin typeface="Aptos"/>
                </a:rPr>
                <a:t>Validate inputs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323850</xdr:colOff>
          <xdr:row>2</xdr:row>
          <xdr:rowOff>66675</xdr:rowOff>
        </xdr:from>
        <xdr:to>
          <xdr:col>11</xdr:col>
          <xdr:colOff>742950</xdr:colOff>
          <xdr:row>2</xdr:row>
          <xdr:rowOff>314325</xdr:rowOff>
        </xdr:to>
        <xdr:sp macro="" textlink="">
          <xdr:nvSpPr>
            <xdr:cNvPr id="2051" name="Button 3" hidden="1">
              <a:extLst>
                <a:ext uri="{63B3BB69-23CF-44E3-9099-C40C66FF867C}">
                  <a14:compatExt spid="_x0000_s2051"/>
                </a:ext>
                <a:ext uri="{FF2B5EF4-FFF2-40B4-BE49-F238E27FC236}">
                  <a16:creationId xmlns:a16="http://schemas.microsoft.com/office/drawing/2014/main" id="{00000000-0008-0000-0300-0000030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it-IT" sz="1100" b="0" i="0" u="none" strike="noStrike" baseline="0">
                  <a:solidFill>
                    <a:srgbClr val="000000"/>
                  </a:solidFill>
                  <a:latin typeface="Aptos"/>
                </a:rPr>
                <a:t>Clear outputs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11</xdr:col>
          <xdr:colOff>838200</xdr:colOff>
          <xdr:row>1</xdr:row>
          <xdr:rowOff>38100</xdr:rowOff>
        </xdr:from>
        <xdr:to>
          <xdr:col>13</xdr:col>
          <xdr:colOff>133350</xdr:colOff>
          <xdr:row>1</xdr:row>
          <xdr:rowOff>285750</xdr:rowOff>
        </xdr:to>
        <xdr:sp macro="" textlink="">
          <xdr:nvSpPr>
            <xdr:cNvPr id="2052" name="Button 4" hidden="1">
              <a:extLst>
                <a:ext uri="{63B3BB69-23CF-44E3-9099-C40C66FF867C}">
                  <a14:compatExt spid="_x0000_s2052"/>
                </a:ext>
                <a:ext uri="{FF2B5EF4-FFF2-40B4-BE49-F238E27FC236}">
                  <a16:creationId xmlns:a16="http://schemas.microsoft.com/office/drawing/2014/main" id="{00000000-0008-0000-0300-0000040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Aptos"/>
                </a:rPr>
                <a:t>Export CSV template</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0</xdr:colOff>
          <xdr:row>2</xdr:row>
          <xdr:rowOff>38100</xdr:rowOff>
        </xdr:from>
        <xdr:to>
          <xdr:col>8</xdr:col>
          <xdr:colOff>28575</xdr:colOff>
          <xdr:row>2</xdr:row>
          <xdr:rowOff>285750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400-0000010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it-IT" sz="1100" b="0" i="0" u="none" strike="noStrike" baseline="0">
                  <a:solidFill>
                    <a:srgbClr val="000000"/>
                  </a:solidFill>
                  <a:latin typeface="Aptos"/>
                </a:rPr>
                <a:t>Run SA-CCR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123825</xdr:colOff>
          <xdr:row>2</xdr:row>
          <xdr:rowOff>38100</xdr:rowOff>
        </xdr:from>
        <xdr:to>
          <xdr:col>9</xdr:col>
          <xdr:colOff>200025</xdr:colOff>
          <xdr:row>2</xdr:row>
          <xdr:rowOff>285750</xdr:rowOff>
        </xdr:to>
        <xdr:sp macro="" textlink="">
          <xdr:nvSpPr>
            <xdr:cNvPr id="3074" name="Button 2" hidden="1">
              <a:extLst>
                <a:ext uri="{63B3BB69-23CF-44E3-9099-C40C66FF867C}">
                  <a14:compatExt spid="_x0000_s3074"/>
                </a:ext>
                <a:ext uri="{FF2B5EF4-FFF2-40B4-BE49-F238E27FC236}">
                  <a16:creationId xmlns:a16="http://schemas.microsoft.com/office/drawing/2014/main" id="{00000000-0008-0000-0400-0000020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it-IT" sz="1100" b="0" i="0" u="none" strike="noStrike" baseline="0">
                  <a:solidFill>
                    <a:srgbClr val="000000"/>
                  </a:solidFill>
                  <a:latin typeface="Aptos"/>
                </a:rPr>
                <a:t>Validate inputs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295275</xdr:colOff>
          <xdr:row>2</xdr:row>
          <xdr:rowOff>38100</xdr:rowOff>
        </xdr:from>
        <xdr:to>
          <xdr:col>10</xdr:col>
          <xdr:colOff>371475</xdr:colOff>
          <xdr:row>2</xdr:row>
          <xdr:rowOff>285750</xdr:rowOff>
        </xdr:to>
        <xdr:sp macro="" textlink="">
          <xdr:nvSpPr>
            <xdr:cNvPr id="3075" name="Button 3" hidden="1">
              <a:extLst>
                <a:ext uri="{63B3BB69-23CF-44E3-9099-C40C66FF867C}">
                  <a14:compatExt spid="_x0000_s3075"/>
                </a:ext>
                <a:ext uri="{FF2B5EF4-FFF2-40B4-BE49-F238E27FC236}">
                  <a16:creationId xmlns:a16="http://schemas.microsoft.com/office/drawing/2014/main" id="{00000000-0008-0000-0400-0000030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it-IT" sz="1100" b="0" i="0" u="none" strike="noStrike" baseline="0">
                  <a:solidFill>
                    <a:srgbClr val="000000"/>
                  </a:solidFill>
                  <a:latin typeface="Aptos"/>
                </a:rPr>
                <a:t>Clear outputs</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0</xdr:colOff>
          <xdr:row>2</xdr:row>
          <xdr:rowOff>38100</xdr:rowOff>
        </xdr:from>
        <xdr:to>
          <xdr:col>6</xdr:col>
          <xdr:colOff>1285875</xdr:colOff>
          <xdr:row>2</xdr:row>
          <xdr:rowOff>285750</xdr:rowOff>
        </xdr:to>
        <xdr:sp macro="" textlink="">
          <xdr:nvSpPr>
            <xdr:cNvPr id="5121" name="Button 1" hidden="1">
              <a:extLst>
                <a:ext uri="{63B3BB69-23CF-44E3-9099-C40C66FF867C}">
                  <a14:compatExt spid="_x0000_s5121"/>
                </a:ext>
                <a:ext uri="{FF2B5EF4-FFF2-40B4-BE49-F238E27FC236}">
                  <a16:creationId xmlns:a16="http://schemas.microsoft.com/office/drawing/2014/main" id="{00000000-0008-0000-0A00-0000011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it-IT" sz="1100" b="0" i="0" u="none" strike="noStrike" baseline="0">
                  <a:solidFill>
                    <a:srgbClr val="000000"/>
                  </a:solidFill>
                  <a:latin typeface="Aptos"/>
                </a:rPr>
                <a:t>Export evidence</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0</xdr:colOff>
          <xdr:row>2</xdr:row>
          <xdr:rowOff>38100</xdr:rowOff>
        </xdr:from>
        <xdr:to>
          <xdr:col>9</xdr:col>
          <xdr:colOff>409575</xdr:colOff>
          <xdr:row>2</xdr:row>
          <xdr:rowOff>285750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D00-0000011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it-IT" sz="1100" b="0" i="0" u="none" strike="noStrike" baseline="0">
                  <a:solidFill>
                    <a:srgbClr val="000000"/>
                  </a:solidFill>
                  <a:latin typeface="Aptos"/>
                </a:rPr>
                <a:t>Run SA-CCR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504825</xdr:colOff>
          <xdr:row>2</xdr:row>
          <xdr:rowOff>38100</xdr:rowOff>
        </xdr:from>
        <xdr:to>
          <xdr:col>10</xdr:col>
          <xdr:colOff>647700</xdr:colOff>
          <xdr:row>2</xdr:row>
          <xdr:rowOff>285750</xdr:rowOff>
        </xdr:to>
        <xdr:sp macro="" textlink="">
          <xdr:nvSpPr>
            <xdr:cNvPr id="4098" name="Button 2" hidden="1">
              <a:extLst>
                <a:ext uri="{63B3BB69-23CF-44E3-9099-C40C66FF867C}">
                  <a14:compatExt spid="_x0000_s4098"/>
                </a:ext>
                <a:ext uri="{FF2B5EF4-FFF2-40B4-BE49-F238E27FC236}">
                  <a16:creationId xmlns:a16="http://schemas.microsoft.com/office/drawing/2014/main" id="{00000000-0008-0000-0D00-0000021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it-IT" sz="1100" b="0" i="0" u="none" strike="noStrike" baseline="0">
                  <a:solidFill>
                    <a:srgbClr val="000000"/>
                  </a:solidFill>
                  <a:latin typeface="Aptos"/>
                </a:rPr>
                <a:t>Validate inputs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742950</xdr:colOff>
          <xdr:row>2</xdr:row>
          <xdr:rowOff>38100</xdr:rowOff>
        </xdr:from>
        <xdr:to>
          <xdr:col>11</xdr:col>
          <xdr:colOff>485775</xdr:colOff>
          <xdr:row>2</xdr:row>
          <xdr:rowOff>285750</xdr:rowOff>
        </xdr:to>
        <xdr:sp macro="" textlink="">
          <xdr:nvSpPr>
            <xdr:cNvPr id="4099" name="Button 3" hidden="1">
              <a:extLst>
                <a:ext uri="{63B3BB69-23CF-44E3-9099-C40C66FF867C}">
                  <a14:compatExt spid="_x0000_s4099"/>
                </a:ext>
                <a:ext uri="{FF2B5EF4-FFF2-40B4-BE49-F238E27FC236}">
                  <a16:creationId xmlns:a16="http://schemas.microsoft.com/office/drawing/2014/main" id="{00000000-0008-0000-0D00-0000031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it-IT" sz="1100" b="0" i="0" u="none" strike="noStrike" baseline="0">
                  <a:solidFill>
                    <a:srgbClr val="000000"/>
                  </a:solidFill>
                  <a:latin typeface="Aptos"/>
                </a:rPr>
                <a:t>Clear outputs</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xmlns:r="http://schemas.openxmlformats.org/officeDocument/2006/relationships">
  <xdr:oneCellAnchor>
    <xdr:from>
      <xdr:col>2</xdr:col>
      <xdr:colOff>0</xdr:colOff>
      <xdr:row>78</xdr:row>
      <xdr:rowOff>95250</xdr:rowOff>
    </xdr:from>
    <xdr:ext cx="15621000" cy="12534900"/>
    <xdr:pic>
      <xdr:nvPicPr>
        <xdr:cNvPr id="2" name="Reference card" descr="K-SACCR one-page reference card: SA-CCR formulas and supervisory parameters under Basel CRE52 and the EU CRR"/>
        <xdr:cNvPicPr>
          <a:picLocks noChangeAspect="1"/>
        </xdr:cNvPicPr>
      </xdr:nvPicPr>
      <xdr:blipFill>
        <a:blip r:embed="rId1"/>
        <a:stretch>
          <a:fillRect/>
        </a:stretch>
      </xdr:blipFill>
      <xdr:spPr>
        <a:xfrm>
          <a:off x="0" y="0"/>
          <a:ext cx="15621000" cy="12534900"/>
        </a:xfrm>
        <a:prstGeom prst="rect">
          <a:avLst/>
        </a:prstGeom>
      </xdr:spPr>
    </xdr:pic>
    <xdr:clientData fLocksWithSheet="1"/>
  </xdr:one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19050</xdr:colOff>
          <xdr:row>1</xdr:row>
          <xdr:rowOff>38100</xdr:rowOff>
        </xdr:from>
        <xdr:to>
          <xdr:col>11</xdr:col>
          <xdr:colOff>781050</xdr:colOff>
          <xdr:row>1</xdr:row>
          <xdr:rowOff>285750</xdr:rowOff>
        </xdr:to>
        <xdr:sp macro="" textlink="">
          <xdr:nvSpPr>
            <xdr:cNvPr id="6145" name="Button 1" hidden="1">
              <a:extLst>
                <a:ext uri="{63B3BB69-23CF-44E3-9099-C40C66FF867C}">
                  <a14:compatExt spid="_x0000_s6145"/>
                </a:ext>
                <a:ext uri="{FF2B5EF4-FFF2-40B4-BE49-F238E27FC236}">
                  <a16:creationId xmlns:a16="http://schemas.microsoft.com/office/drawing/2014/main" id="{00000000-0008-0000-0200-0000011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Aptos"/>
                </a:rPr>
                <a:t>Export CSV template</a:t>
              </a:r>
            </a:p>
          </xdr:txBody>
        </xdr:sp>
        <xdr:clientData fPrintsWithSheet="0"/>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2.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trlProp" Target="../ctrlProps/ctrlProp3.xml"/><Relationship Id="rId4" Type="http://schemas.openxmlformats.org/officeDocument/2006/relationships/ctrlProp" Target="../ctrlProps/ctrlProp2.xml"/><Relationship Id="rId6" Type="http://schemas.openxmlformats.org/officeDocument/2006/relationships/ctrlProp" Target="../ctrlProps/ctrlProp11.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2.vml"/><Relationship Id="rId1" Type="http://schemas.openxmlformats.org/officeDocument/2006/relationships/drawing" Target="../drawings/drawing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11.xml.rels><?xml version="1.0" encoding="UTF-8" standalone="yes"?>
<Relationships xmlns="http://schemas.openxmlformats.org/package/2006/relationships"><Relationship Id="rId3" Type="http://schemas.openxmlformats.org/officeDocument/2006/relationships/ctrlProp" Target="../ctrlProps/ctrlProp7.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4.vml"/><Relationship Id="rId1" Type="http://schemas.openxmlformats.org/officeDocument/2006/relationships/drawing" Target="../drawings/drawing4.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Readme">
    <tabColor rgb="FF1F3864"/>
    <outlinePr summaryBelow="0"/>
    <pageSetUpPr fitToPage="1"/>
  </sheetPr>
  <dimension ref="A1:X78"/>
  <sheetViews>
    <sheetView showGridLines="0" zoomScaleNormal="100" workbookViewId="0">
      <pane ySplit="3" topLeftCell="A4" activePane="bottomLeft" state="frozen"/>
      <selection pane="bottomLeft" activeCell="C8" sqref="C8"/>
    </sheetView>
  </sheetViews>
  <sheetFormatPr defaultColWidth="0" defaultRowHeight="15" outlineLevelRow="1" x14ac:dyDescent="0.25"/>
  <cols>
    <col min="1" max="2" width="4" customWidth="1"/>
    <col min="3" max="3" width="55" customWidth="1"/>
    <col min="4" max="4" width="150" customWidth="1"/>
    <col min="5" max="5" width="4.75" customWidth="1"/>
    <col min="6" max="24" width="0" hidden="1" customWidth="1"/>
    <col min="25" max="16384" width="9.125" hidden="1"/>
  </cols>
  <sheetData>
    <row r="1" spans="2:19" ht="24" customHeight="1" x14ac:dyDescent="0.25">
      <c r="B1" s="24" t="s">
        <v>0</v>
      </c>
      <c r="C1" s="25"/>
      <c r="D1" s="26"/>
      <c r="S1" s="27"/>
    </row>
    <row r="2" spans="2:19" ht="26.1" customHeight="1" x14ac:dyDescent="0.25">
      <c r="B2" s="28" t="s">
        <v>797</v>
      </c>
      <c r="C2" s="29"/>
      <c r="D2" s="30"/>
      <c r="S2" s="27"/>
    </row>
    <row r="3" spans="2:19" ht="33.950000000000003" customHeight="1" x14ac:dyDescent="0.25">
      <c r="C3" s="2" t="s">
        <v>1</v>
      </c>
    </row>
    <row r="4" spans="2:19" ht="9.9499999999999993" customHeight="1" x14ac:dyDescent="0.25"/>
    <row r="5" spans="2:19" ht="30" customHeight="1" x14ac:dyDescent="0.25">
      <c r="C5" s="31" t="s">
        <v>2</v>
      </c>
      <c r="D5" s="3"/>
    </row>
    <row r="6" spans="2:19" ht="30" customHeight="1" outlineLevel="1" x14ac:dyDescent="0.25">
      <c r="C6" s="104" t="s">
        <v>3</v>
      </c>
      <c r="D6" s="108" t="s">
        <v>4</v>
      </c>
    </row>
    <row r="7" spans="2:19" ht="30" customHeight="1" outlineLevel="1" x14ac:dyDescent="0.25">
      <c r="C7" s="105" t="s">
        <v>5</v>
      </c>
      <c r="D7" s="109" t="s">
        <v>6</v>
      </c>
    </row>
    <row r="8" spans="2:19" ht="33.950000000000003" customHeight="1" outlineLevel="1" x14ac:dyDescent="0.25">
      <c r="C8" s="105" t="s">
        <v>7</v>
      </c>
      <c r="D8" s="109" t="s">
        <v>856</v>
      </c>
    </row>
    <row r="9" spans="2:19" ht="33.950000000000003" customHeight="1" outlineLevel="1" x14ac:dyDescent="0.25">
      <c r="C9" s="105" t="s">
        <v>8</v>
      </c>
      <c r="D9" s="109" t="s">
        <v>857</v>
      </c>
    </row>
    <row r="10" spans="2:19" ht="45.950000000000003" customHeight="1" outlineLevel="1" x14ac:dyDescent="0.25">
      <c r="C10" s="105" t="s">
        <v>9</v>
      </c>
      <c r="D10" s="109" t="s">
        <v>858</v>
      </c>
    </row>
    <row r="11" spans="2:19" ht="30" customHeight="1" outlineLevel="1" x14ac:dyDescent="0.25">
      <c r="C11" s="105" t="s">
        <v>10</v>
      </c>
      <c r="D11" s="109" t="s">
        <v>11</v>
      </c>
    </row>
    <row r="12" spans="2:19" ht="30" customHeight="1" outlineLevel="1" x14ac:dyDescent="0.25">
      <c r="C12" s="106" t="s">
        <v>12</v>
      </c>
      <c r="D12" s="110" t="s">
        <v>13</v>
      </c>
    </row>
    <row r="13" spans="2:19" ht="9.9499999999999993" customHeight="1" x14ac:dyDescent="0.25">
      <c r="C13" s="33"/>
      <c r="D13" s="34"/>
    </row>
    <row r="14" spans="2:19" ht="30" customHeight="1" x14ac:dyDescent="0.25">
      <c r="C14" s="31" t="s">
        <v>14</v>
      </c>
      <c r="D14" s="35"/>
    </row>
    <row r="15" spans="2:19" ht="30" customHeight="1" outlineLevel="1" x14ac:dyDescent="0.25">
      <c r="C15" s="104" t="s">
        <v>15</v>
      </c>
      <c r="D15" s="108" t="s">
        <v>16</v>
      </c>
    </row>
    <row r="16" spans="2:19" ht="30" customHeight="1" outlineLevel="1" x14ac:dyDescent="0.25">
      <c r="C16" s="105" t="s">
        <v>17</v>
      </c>
      <c r="D16" s="109" t="s">
        <v>18</v>
      </c>
    </row>
    <row r="17" spans="3:4" ht="40.5" customHeight="1" outlineLevel="1" x14ac:dyDescent="0.25">
      <c r="C17" s="105" t="s">
        <v>19</v>
      </c>
      <c r="D17" s="109" t="s">
        <v>763</v>
      </c>
    </row>
    <row r="18" spans="3:4" ht="33.950000000000003" customHeight="1" outlineLevel="1" x14ac:dyDescent="0.25">
      <c r="C18" s="105" t="s">
        <v>20</v>
      </c>
      <c r="D18" s="109" t="s">
        <v>859</v>
      </c>
    </row>
    <row r="19" spans="3:4" ht="60" customHeight="1" outlineLevel="1" x14ac:dyDescent="0.25">
      <c r="C19" s="105" t="s">
        <v>21</v>
      </c>
      <c r="D19" s="109" t="s">
        <v>956</v>
      </c>
    </row>
    <row r="20" spans="3:4" ht="30" customHeight="1" outlineLevel="1" x14ac:dyDescent="0.25">
      <c r="C20" s="105" t="s">
        <v>23</v>
      </c>
      <c r="D20" s="109" t="s">
        <v>24</v>
      </c>
    </row>
    <row r="21" spans="3:4" ht="30" customHeight="1" outlineLevel="1" x14ac:dyDescent="0.25">
      <c r="C21" s="106" t="s">
        <v>25</v>
      </c>
      <c r="D21" s="110" t="s">
        <v>26</v>
      </c>
    </row>
    <row r="22" spans="3:4" ht="9.9499999999999993" customHeight="1" x14ac:dyDescent="0.25">
      <c r="C22" s="33"/>
      <c r="D22" s="34"/>
    </row>
    <row r="23" spans="3:4" ht="30" customHeight="1" x14ac:dyDescent="0.25">
      <c r="C23" s="31" t="s">
        <v>27</v>
      </c>
      <c r="D23" s="103" t="str">
        <f>HYPERLINK("#README!C116","One-page reference card: all formulas and parameters (below, on this sheet)")</f>
        <v>One-page reference card: all formulas and parameters (below, on this sheet)</v>
      </c>
    </row>
    <row r="24" spans="3:4" ht="30" customHeight="1" outlineLevel="1" x14ac:dyDescent="0.25">
      <c r="C24" s="104" t="s">
        <v>28</v>
      </c>
      <c r="D24" s="108" t="s">
        <v>775</v>
      </c>
    </row>
    <row r="25" spans="3:4" ht="30" customHeight="1" outlineLevel="1" x14ac:dyDescent="0.25">
      <c r="C25" s="105" t="s">
        <v>29</v>
      </c>
      <c r="D25" s="109" t="s">
        <v>860</v>
      </c>
    </row>
    <row r="26" spans="3:4" ht="30" customHeight="1" outlineLevel="1" x14ac:dyDescent="0.25">
      <c r="C26" s="105" t="s">
        <v>30</v>
      </c>
      <c r="D26" s="109" t="s">
        <v>31</v>
      </c>
    </row>
    <row r="27" spans="3:4" ht="30" customHeight="1" outlineLevel="1" x14ac:dyDescent="0.25">
      <c r="C27" s="105" t="s">
        <v>32</v>
      </c>
      <c r="D27" s="109" t="s">
        <v>33</v>
      </c>
    </row>
    <row r="28" spans="3:4" ht="30" customHeight="1" outlineLevel="1" x14ac:dyDescent="0.25">
      <c r="C28" s="105" t="s">
        <v>34</v>
      </c>
      <c r="D28" s="109" t="s">
        <v>35</v>
      </c>
    </row>
    <row r="29" spans="3:4" ht="45.95" customHeight="1" outlineLevel="1" x14ac:dyDescent="0.25">
      <c r="C29" s="105" t="s">
        <v>36</v>
      </c>
      <c r="D29" s="109" t="s">
        <v>861</v>
      </c>
    </row>
    <row r="30" spans="3:4" ht="33.950000000000003" customHeight="1" outlineLevel="1" x14ac:dyDescent="0.25">
      <c r="C30" s="105" t="s">
        <v>37</v>
      </c>
      <c r="D30" s="109" t="s">
        <v>862</v>
      </c>
    </row>
    <row r="31" spans="3:4" ht="30" customHeight="1" outlineLevel="1" x14ac:dyDescent="0.25">
      <c r="C31" s="105" t="s">
        <v>38</v>
      </c>
      <c r="D31" s="109" t="s">
        <v>39</v>
      </c>
    </row>
    <row r="32" spans="3:4" ht="30" customHeight="1" outlineLevel="1" x14ac:dyDescent="0.25">
      <c r="C32" s="105" t="s">
        <v>40</v>
      </c>
      <c r="D32" s="109" t="s">
        <v>41</v>
      </c>
    </row>
    <row r="33" spans="3:4" ht="30" customHeight="1" outlineLevel="1" x14ac:dyDescent="0.25">
      <c r="C33" s="105" t="s">
        <v>42</v>
      </c>
      <c r="D33" s="109" t="s">
        <v>43</v>
      </c>
    </row>
    <row r="34" spans="3:4" ht="30" customHeight="1" outlineLevel="1" x14ac:dyDescent="0.25">
      <c r="C34" s="106" t="s">
        <v>44</v>
      </c>
      <c r="D34" s="110" t="s">
        <v>863</v>
      </c>
    </row>
    <row r="35" spans="3:4" ht="9.9499999999999993" customHeight="1" x14ac:dyDescent="0.25">
      <c r="C35" s="33"/>
      <c r="D35" s="34"/>
    </row>
    <row r="36" spans="3:4" ht="30" customHeight="1" x14ac:dyDescent="0.25">
      <c r="C36" s="31" t="s">
        <v>45</v>
      </c>
      <c r="D36" s="35"/>
    </row>
    <row r="37" spans="3:4" ht="30" customHeight="1" outlineLevel="1" x14ac:dyDescent="0.25">
      <c r="C37" s="104" t="s">
        <v>46</v>
      </c>
      <c r="D37" s="108" t="s">
        <v>47</v>
      </c>
    </row>
    <row r="38" spans="3:4" ht="30" customHeight="1" outlineLevel="1" x14ac:dyDescent="0.25">
      <c r="C38" s="105" t="s">
        <v>48</v>
      </c>
      <c r="D38" s="109" t="s">
        <v>49</v>
      </c>
    </row>
    <row r="39" spans="3:4" ht="30" customHeight="1" outlineLevel="1" x14ac:dyDescent="0.25">
      <c r="C39" s="105" t="s">
        <v>50</v>
      </c>
      <c r="D39" s="109" t="s">
        <v>51</v>
      </c>
    </row>
    <row r="40" spans="3:4" ht="30" customHeight="1" outlineLevel="1" x14ac:dyDescent="0.25">
      <c r="C40" s="105" t="s">
        <v>959</v>
      </c>
      <c r="D40" s="109" t="s">
        <v>960</v>
      </c>
    </row>
    <row r="41" spans="3:4" ht="30" customHeight="1" outlineLevel="1" x14ac:dyDescent="0.25">
      <c r="C41" s="105" t="s">
        <v>961</v>
      </c>
      <c r="D41" s="109" t="s">
        <v>962</v>
      </c>
    </row>
    <row r="42" spans="3:4" ht="30" customHeight="1" outlineLevel="1" x14ac:dyDescent="0.25">
      <c r="C42" s="105" t="s">
        <v>52</v>
      </c>
      <c r="D42" s="109" t="s">
        <v>864</v>
      </c>
    </row>
    <row r="43" spans="3:4" ht="30" customHeight="1" outlineLevel="1" x14ac:dyDescent="0.25">
      <c r="C43" s="105" t="s">
        <v>53</v>
      </c>
      <c r="D43" s="109" t="s">
        <v>54</v>
      </c>
    </row>
    <row r="44" spans="3:4" ht="30" customHeight="1" outlineLevel="1" x14ac:dyDescent="0.25">
      <c r="C44" s="105" t="s">
        <v>55</v>
      </c>
      <c r="D44" s="109" t="s">
        <v>56</v>
      </c>
    </row>
    <row r="45" spans="3:4" ht="30" customHeight="1" outlineLevel="1" x14ac:dyDescent="0.25">
      <c r="C45" s="105" t="s">
        <v>57</v>
      </c>
      <c r="D45" s="109" t="s">
        <v>58</v>
      </c>
    </row>
    <row r="46" spans="3:4" ht="30" customHeight="1" outlineLevel="1" x14ac:dyDescent="0.25">
      <c r="C46" s="105" t="s">
        <v>59</v>
      </c>
      <c r="D46" s="109" t="s">
        <v>60</v>
      </c>
    </row>
    <row r="47" spans="3:4" ht="30" customHeight="1" outlineLevel="1" x14ac:dyDescent="0.25">
      <c r="C47" s="105" t="s">
        <v>892</v>
      </c>
      <c r="D47" s="109" t="s">
        <v>893</v>
      </c>
    </row>
    <row r="48" spans="3:4" ht="30" customHeight="1" outlineLevel="1" x14ac:dyDescent="0.25">
      <c r="C48" s="105" t="s">
        <v>882</v>
      </c>
      <c r="D48" s="109" t="s">
        <v>894</v>
      </c>
    </row>
    <row r="49" spans="3:4" ht="30" customHeight="1" outlineLevel="1" x14ac:dyDescent="0.25">
      <c r="C49" s="105" t="s">
        <v>900</v>
      </c>
      <c r="D49" s="109" t="s">
        <v>901</v>
      </c>
    </row>
    <row r="50" spans="3:4" ht="30" customHeight="1" outlineLevel="1" x14ac:dyDescent="0.25">
      <c r="C50" s="105" t="s">
        <v>902</v>
      </c>
      <c r="D50" s="109" t="s">
        <v>903</v>
      </c>
    </row>
    <row r="51" spans="3:4" ht="30" customHeight="1" outlineLevel="1" x14ac:dyDescent="0.25">
      <c r="C51" s="105" t="s">
        <v>61</v>
      </c>
      <c r="D51" s="109" t="s">
        <v>62</v>
      </c>
    </row>
    <row r="52" spans="3:4" ht="30" customHeight="1" outlineLevel="1" x14ac:dyDescent="0.25">
      <c r="C52" s="105" t="s">
        <v>853</v>
      </c>
      <c r="D52" s="109" t="s">
        <v>64</v>
      </c>
    </row>
    <row r="53" spans="3:4" ht="30" customHeight="1" outlineLevel="1" x14ac:dyDescent="0.25">
      <c r="C53" s="106" t="s">
        <v>65</v>
      </c>
      <c r="D53" s="110" t="s">
        <v>66</v>
      </c>
    </row>
    <row r="54" spans="3:4" ht="9.9499999999999993" customHeight="1" x14ac:dyDescent="0.25">
      <c r="C54" s="33"/>
      <c r="D54" s="34"/>
    </row>
    <row r="55" spans="3:4" ht="30" customHeight="1" x14ac:dyDescent="0.25">
      <c r="C55" s="31" t="s">
        <v>67</v>
      </c>
      <c r="D55" s="35"/>
    </row>
    <row r="56" spans="3:4" ht="30" customHeight="1" outlineLevel="1" x14ac:dyDescent="0.25">
      <c r="C56" s="104" t="s">
        <v>865</v>
      </c>
      <c r="D56" s="108" t="s">
        <v>68</v>
      </c>
    </row>
    <row r="57" spans="3:4" ht="30" customHeight="1" outlineLevel="1" x14ac:dyDescent="0.25">
      <c r="C57" s="105" t="s">
        <v>866</v>
      </c>
      <c r="D57" s="109" t="s">
        <v>34</v>
      </c>
    </row>
    <row r="58" spans="3:4" ht="30" customHeight="1" outlineLevel="1" x14ac:dyDescent="0.25">
      <c r="C58" s="105" t="s">
        <v>69</v>
      </c>
      <c r="D58" s="109" t="s">
        <v>70</v>
      </c>
    </row>
    <row r="59" spans="3:4" ht="30" customHeight="1" outlineLevel="1" x14ac:dyDescent="0.25">
      <c r="C59" s="105" t="s">
        <v>71</v>
      </c>
      <c r="D59" s="109" t="s">
        <v>72</v>
      </c>
    </row>
    <row r="60" spans="3:4" ht="30" customHeight="1" outlineLevel="1" x14ac:dyDescent="0.25">
      <c r="C60" s="105" t="s">
        <v>73</v>
      </c>
      <c r="D60" s="109" t="s">
        <v>74</v>
      </c>
    </row>
    <row r="61" spans="3:4" ht="30" customHeight="1" outlineLevel="1" x14ac:dyDescent="0.25">
      <c r="C61" s="105" t="s">
        <v>867</v>
      </c>
      <c r="D61" s="109" t="s">
        <v>75</v>
      </c>
    </row>
    <row r="62" spans="3:4" ht="30" customHeight="1" outlineLevel="1" x14ac:dyDescent="0.25">
      <c r="C62" s="105" t="s">
        <v>76</v>
      </c>
      <c r="D62" s="109" t="s">
        <v>77</v>
      </c>
    </row>
    <row r="63" spans="3:4" ht="30" customHeight="1" outlineLevel="1" x14ac:dyDescent="0.25">
      <c r="C63" s="105" t="s">
        <v>868</v>
      </c>
      <c r="D63" s="109" t="s">
        <v>78</v>
      </c>
    </row>
    <row r="64" spans="3:4" ht="30" customHeight="1" outlineLevel="1" x14ac:dyDescent="0.25">
      <c r="C64" s="105" t="s">
        <v>79</v>
      </c>
      <c r="D64" s="109" t="s">
        <v>80</v>
      </c>
    </row>
    <row r="65" spans="3:4" ht="30" customHeight="1" outlineLevel="1" x14ac:dyDescent="0.25">
      <c r="C65" s="106" t="s">
        <v>81</v>
      </c>
      <c r="D65" s="110" t="s">
        <v>82</v>
      </c>
    </row>
    <row r="66" spans="3:4" ht="9.9499999999999993" customHeight="1" x14ac:dyDescent="0.25">
      <c r="C66" s="33"/>
      <c r="D66" s="34"/>
    </row>
    <row r="67" spans="3:4" ht="30" customHeight="1" x14ac:dyDescent="0.25">
      <c r="C67" s="31" t="s">
        <v>83</v>
      </c>
      <c r="D67" s="35"/>
    </row>
    <row r="68" spans="3:4" ht="60" customHeight="1" outlineLevel="1" x14ac:dyDescent="0.25">
      <c r="C68" s="104" t="s">
        <v>84</v>
      </c>
      <c r="D68" s="108" t="s">
        <v>869</v>
      </c>
    </row>
    <row r="69" spans="3:4" ht="30" customHeight="1" outlineLevel="1" x14ac:dyDescent="0.25">
      <c r="C69" s="105" t="s">
        <v>765</v>
      </c>
      <c r="D69" s="109" t="s">
        <v>764</v>
      </c>
    </row>
    <row r="70" spans="3:4" ht="30" customHeight="1" outlineLevel="1" x14ac:dyDescent="0.25">
      <c r="C70" s="105" t="s">
        <v>85</v>
      </c>
      <c r="D70" s="109" t="s">
        <v>776</v>
      </c>
    </row>
    <row r="71" spans="3:4" ht="30" customHeight="1" outlineLevel="1" x14ac:dyDescent="0.25">
      <c r="C71" s="105" t="s">
        <v>86</v>
      </c>
      <c r="D71" s="109" t="s">
        <v>870</v>
      </c>
    </row>
    <row r="72" spans="3:4" ht="30" customHeight="1" outlineLevel="1" x14ac:dyDescent="0.25">
      <c r="C72" s="105" t="s">
        <v>87</v>
      </c>
      <c r="D72" s="109" t="s">
        <v>88</v>
      </c>
    </row>
    <row r="73" spans="3:4" ht="33.950000000000003" customHeight="1" outlineLevel="1" x14ac:dyDescent="0.25">
      <c r="C73" s="106" t="s">
        <v>89</v>
      </c>
      <c r="D73" s="110" t="s">
        <v>871</v>
      </c>
    </row>
    <row r="74" spans="3:4" ht="9.9499999999999993" customHeight="1" x14ac:dyDescent="0.25">
      <c r="C74" s="33"/>
      <c r="D74" s="34"/>
    </row>
    <row r="75" spans="3:4" ht="30" customHeight="1" x14ac:dyDescent="0.25">
      <c r="C75" s="31" t="s">
        <v>90</v>
      </c>
      <c r="D75" s="35"/>
    </row>
    <row r="76" spans="3:4" ht="45.950000000000003" customHeight="1" outlineLevel="1" x14ac:dyDescent="0.25">
      <c r="C76" s="107" t="s">
        <v>91</v>
      </c>
      <c r="D76" s="111" t="s">
        <v>872</v>
      </c>
    </row>
    <row r="77" spans="3:4" ht="9.9499999999999993" customHeight="1" x14ac:dyDescent="0.25">
      <c r="C77" s="33"/>
      <c r="D77" s="34"/>
    </row>
    <row r="78" spans="3:4" ht="30" customHeight="1" x14ac:dyDescent="0.25">
      <c r="C78" s="31" t="s">
        <v>932</v>
      </c>
      <c r="D78" s="35"/>
    </row>
  </sheetData>
  <pageMargins left="0.4" right="0.4" top="0.5" bottom="0.5" header="0.3" footer="0.3"/>
  <pageSetup paperSize="9"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Params">
    <tabColor rgb="FFBF9000"/>
    <pageSetUpPr fitToPage="1"/>
  </sheetPr>
  <dimension ref="A1:AA64"/>
  <sheetViews>
    <sheetView showGridLines="0" zoomScaleNormal="100" workbookViewId="0">
      <pane ySplit="3" topLeftCell="A30" activePane="bottomLeft" state="frozen"/>
      <selection pane="bottomLeft" activeCell="H16" sqref="H16"/>
    </sheetView>
  </sheetViews>
  <sheetFormatPr defaultColWidth="0" defaultRowHeight="15" x14ac:dyDescent="0.25"/>
  <cols>
    <col min="1" max="2" width="4" customWidth="1"/>
    <col min="3" max="3" width="25.625" customWidth="1"/>
    <col min="4" max="4" width="50.625" customWidth="1"/>
    <col min="5" max="10" width="15.625" customWidth="1"/>
    <col min="11" max="11" width="40.625" customWidth="1"/>
    <col min="12" max="12" width="9" customWidth="1"/>
    <col min="13" max="27" width="0" hidden="1" customWidth="1"/>
    <col min="28" max="16384" width="9" hidden="1"/>
  </cols>
  <sheetData>
    <row r="1" spans="2:19" ht="24" customHeight="1" x14ac:dyDescent="0.25">
      <c r="B1" s="24" t="s">
        <v>0</v>
      </c>
      <c r="C1" s="25"/>
      <c r="D1" s="26"/>
      <c r="E1" s="26"/>
      <c r="F1" s="26"/>
      <c r="G1" s="26"/>
      <c r="H1" s="26"/>
      <c r="I1" s="26"/>
      <c r="J1" s="26"/>
      <c r="K1" s="26"/>
      <c r="S1" s="27"/>
    </row>
    <row r="2" spans="2:19" ht="26.1" customHeight="1" x14ac:dyDescent="0.25">
      <c r="B2" s="28" t="s">
        <v>92</v>
      </c>
      <c r="C2" s="29"/>
      <c r="D2" s="30"/>
      <c r="E2" s="30"/>
      <c r="F2" s="30"/>
      <c r="G2" s="30"/>
      <c r="H2" s="30"/>
      <c r="I2" s="30"/>
      <c r="J2" s="30"/>
      <c r="K2" s="30"/>
      <c r="S2" s="27"/>
    </row>
    <row r="3" spans="2:19" ht="30" customHeight="1" x14ac:dyDescent="0.25">
      <c r="C3" s="2" t="s">
        <v>93</v>
      </c>
    </row>
    <row r="4" spans="2:19" ht="9.9499999999999993" customHeight="1" x14ac:dyDescent="0.25"/>
    <row r="5" spans="2:19" ht="30" customHeight="1" x14ac:dyDescent="0.25">
      <c r="C5" s="36" t="s">
        <v>90</v>
      </c>
      <c r="D5" s="36" t="s">
        <v>94</v>
      </c>
      <c r="E5" s="37" t="s">
        <v>95</v>
      </c>
      <c r="F5" s="38" t="s">
        <v>96</v>
      </c>
      <c r="G5" s="39"/>
      <c r="H5" s="39"/>
      <c r="I5" s="39"/>
      <c r="J5" s="39"/>
      <c r="K5" s="39"/>
    </row>
    <row r="6" spans="2:19" ht="20.100000000000001" customHeight="1" x14ac:dyDescent="0.25">
      <c r="C6" s="4" t="s">
        <v>97</v>
      </c>
      <c r="D6" s="34" t="s">
        <v>98</v>
      </c>
      <c r="E6" s="123">
        <v>46295</v>
      </c>
      <c r="F6" s="40"/>
      <c r="G6" s="34"/>
      <c r="H6" s="34"/>
      <c r="I6" s="34"/>
      <c r="J6" s="34"/>
    </row>
    <row r="7" spans="2:19" ht="20.100000000000001" customHeight="1" x14ac:dyDescent="0.25">
      <c r="C7" s="4" t="s">
        <v>99</v>
      </c>
      <c r="D7" s="34" t="s">
        <v>100</v>
      </c>
      <c r="E7" s="41" t="s">
        <v>101</v>
      </c>
      <c r="F7" s="40"/>
      <c r="G7" s="34"/>
      <c r="H7" s="34"/>
      <c r="I7" s="34"/>
      <c r="J7" s="34"/>
    </row>
    <row r="8" spans="2:19" ht="20.100000000000001" customHeight="1" x14ac:dyDescent="0.25">
      <c r="C8" s="4" t="s">
        <v>102</v>
      </c>
      <c r="D8" s="34" t="s">
        <v>103</v>
      </c>
      <c r="E8" s="42">
        <v>1.4</v>
      </c>
      <c r="F8" s="40" t="s">
        <v>104</v>
      </c>
      <c r="G8" s="34"/>
      <c r="H8" s="34"/>
      <c r="I8" s="34"/>
      <c r="J8" s="34"/>
    </row>
    <row r="9" spans="2:19" ht="20.100000000000001" customHeight="1" x14ac:dyDescent="0.25">
      <c r="C9" s="4" t="s">
        <v>105</v>
      </c>
      <c r="D9" s="34" t="s">
        <v>106</v>
      </c>
      <c r="E9" s="43">
        <v>0.05</v>
      </c>
      <c r="F9" s="40" t="s">
        <v>107</v>
      </c>
      <c r="G9" s="34"/>
      <c r="H9" s="34"/>
      <c r="I9" s="34"/>
      <c r="J9" s="34"/>
    </row>
    <row r="10" spans="2:19" ht="20.100000000000001" customHeight="1" x14ac:dyDescent="0.25">
      <c r="C10" s="4" t="s">
        <v>108</v>
      </c>
      <c r="D10" s="34" t="s">
        <v>109</v>
      </c>
      <c r="E10" s="42">
        <v>365</v>
      </c>
      <c r="F10" s="40"/>
      <c r="G10" s="34"/>
      <c r="H10" s="34"/>
      <c r="I10" s="34"/>
      <c r="J10" s="34"/>
    </row>
    <row r="11" spans="2:19" ht="20.100000000000001" customHeight="1" x14ac:dyDescent="0.25">
      <c r="C11" s="4" t="s">
        <v>110</v>
      </c>
      <c r="D11" s="34" t="s">
        <v>111</v>
      </c>
      <c r="E11" s="42">
        <v>250</v>
      </c>
      <c r="F11" s="40" t="s">
        <v>112</v>
      </c>
      <c r="G11" s="34"/>
      <c r="H11" s="34"/>
      <c r="I11" s="34"/>
      <c r="J11" s="34"/>
    </row>
    <row r="12" spans="2:19" ht="20.100000000000001" customHeight="1" x14ac:dyDescent="0.25">
      <c r="C12" s="4" t="s">
        <v>113</v>
      </c>
      <c r="D12" s="34" t="s">
        <v>114</v>
      </c>
      <c r="E12" s="42">
        <v>10</v>
      </c>
      <c r="F12" s="40" t="s">
        <v>115</v>
      </c>
      <c r="G12" s="34"/>
      <c r="H12" s="34"/>
      <c r="I12" s="34"/>
      <c r="J12" s="34"/>
    </row>
    <row r="13" spans="2:19" ht="20.100000000000001" customHeight="1" x14ac:dyDescent="0.25">
      <c r="C13" s="4" t="s">
        <v>116</v>
      </c>
      <c r="D13" s="34" t="s">
        <v>117</v>
      </c>
      <c r="E13" s="42">
        <v>10</v>
      </c>
      <c r="F13" s="40" t="s">
        <v>118</v>
      </c>
      <c r="G13" s="34"/>
      <c r="H13" s="34"/>
      <c r="I13" s="34"/>
      <c r="J13" s="34"/>
    </row>
    <row r="14" spans="2:19" ht="20.100000000000001" customHeight="1" x14ac:dyDescent="0.25">
      <c r="C14" s="4" t="s">
        <v>119</v>
      </c>
      <c r="D14" s="34" t="s">
        <v>120</v>
      </c>
      <c r="E14" s="42">
        <v>10</v>
      </c>
      <c r="F14" s="40" t="s">
        <v>121</v>
      </c>
      <c r="G14" s="34"/>
      <c r="H14" s="34"/>
      <c r="I14" s="34"/>
      <c r="J14" s="34"/>
    </row>
    <row r="15" spans="2:19" ht="20.100000000000001" customHeight="1" x14ac:dyDescent="0.25">
      <c r="C15" s="4" t="s">
        <v>122</v>
      </c>
      <c r="D15" s="34" t="s">
        <v>777</v>
      </c>
      <c r="E15" s="42">
        <v>5</v>
      </c>
      <c r="F15" s="40" t="s">
        <v>123</v>
      </c>
      <c r="G15" s="34"/>
      <c r="H15" s="34"/>
      <c r="I15" s="34"/>
      <c r="J15" s="34"/>
    </row>
    <row r="16" spans="2:19" ht="20.100000000000001" customHeight="1" x14ac:dyDescent="0.25">
      <c r="C16" s="4" t="s">
        <v>124</v>
      </c>
      <c r="D16" s="34" t="s">
        <v>125</v>
      </c>
      <c r="E16" s="42">
        <v>20</v>
      </c>
      <c r="F16" s="40" t="s">
        <v>908</v>
      </c>
      <c r="G16" s="34"/>
      <c r="H16" s="34"/>
      <c r="I16" s="34"/>
      <c r="J16" s="34"/>
    </row>
    <row r="17" spans="3:11" ht="20.100000000000001" customHeight="1" x14ac:dyDescent="0.25">
      <c r="C17" s="4" t="s">
        <v>126</v>
      </c>
      <c r="D17" s="34" t="s">
        <v>127</v>
      </c>
      <c r="E17" s="42">
        <v>0.5</v>
      </c>
      <c r="F17" s="40" t="s">
        <v>128</v>
      </c>
      <c r="G17" s="34"/>
      <c r="H17" s="34"/>
      <c r="I17" s="34"/>
      <c r="J17" s="34"/>
    </row>
    <row r="18" spans="3:11" ht="20.100000000000001" customHeight="1" x14ac:dyDescent="0.25">
      <c r="C18" s="4" t="s">
        <v>129</v>
      </c>
      <c r="D18" s="34" t="s">
        <v>130</v>
      </c>
      <c r="E18" s="42">
        <v>5</v>
      </c>
      <c r="F18" s="40" t="s">
        <v>131</v>
      </c>
      <c r="G18" s="34"/>
      <c r="H18" s="34"/>
      <c r="I18" s="34"/>
      <c r="J18" s="34"/>
    </row>
    <row r="19" spans="3:11" ht="20.100000000000001" customHeight="1" x14ac:dyDescent="0.25">
      <c r="C19" s="4" t="s">
        <v>132</v>
      </c>
      <c r="D19" s="34" t="s">
        <v>133</v>
      </c>
      <c r="E19" s="42">
        <v>0.7</v>
      </c>
      <c r="F19" s="40" t="s">
        <v>134</v>
      </c>
      <c r="G19" s="34"/>
      <c r="H19" s="34"/>
      <c r="I19" s="34"/>
      <c r="J19" s="34"/>
    </row>
    <row r="20" spans="3:11" ht="20.100000000000001" customHeight="1" x14ac:dyDescent="0.25">
      <c r="C20" s="4" t="s">
        <v>135</v>
      </c>
      <c r="D20" s="34" t="s">
        <v>136</v>
      </c>
      <c r="E20" s="42">
        <v>0.7</v>
      </c>
      <c r="F20" s="40" t="s">
        <v>134</v>
      </c>
      <c r="G20" s="34"/>
      <c r="H20" s="34"/>
      <c r="I20" s="34"/>
      <c r="J20" s="34"/>
    </row>
    <row r="21" spans="3:11" ht="20.100000000000001" customHeight="1" x14ac:dyDescent="0.25">
      <c r="C21" s="4" t="s">
        <v>137</v>
      </c>
      <c r="D21" s="34" t="s">
        <v>138</v>
      </c>
      <c r="E21" s="42">
        <v>0.3</v>
      </c>
      <c r="F21" s="40" t="s">
        <v>134</v>
      </c>
      <c r="G21" s="34"/>
      <c r="H21" s="34"/>
      <c r="I21" s="34"/>
      <c r="J21" s="34"/>
    </row>
    <row r="22" spans="3:11" ht="20.100000000000001" customHeight="1" x14ac:dyDescent="0.25">
      <c r="C22" s="4" t="s">
        <v>139</v>
      </c>
      <c r="D22" s="34" t="s">
        <v>140</v>
      </c>
      <c r="E22" s="44" t="b">
        <v>1</v>
      </c>
      <c r="F22" s="40" t="s">
        <v>766</v>
      </c>
      <c r="G22" s="34"/>
      <c r="H22" s="34"/>
      <c r="I22" s="34"/>
      <c r="J22" s="34"/>
    </row>
    <row r="23" spans="3:11" ht="20.100000000000001" customHeight="1" x14ac:dyDescent="0.25">
      <c r="C23" s="4" t="s">
        <v>141</v>
      </c>
      <c r="D23" s="34" t="s">
        <v>142</v>
      </c>
      <c r="E23" s="41" t="s">
        <v>143</v>
      </c>
      <c r="F23" s="40" t="s">
        <v>150</v>
      </c>
      <c r="G23" s="34"/>
      <c r="H23" s="34"/>
      <c r="I23" s="40" t="s">
        <v>144</v>
      </c>
      <c r="J23" s="34"/>
    </row>
    <row r="24" spans="3:11" ht="20.100000000000001" customHeight="1" x14ac:dyDescent="0.25">
      <c r="C24" s="4" t="s">
        <v>145</v>
      </c>
      <c r="D24" s="34" t="s">
        <v>146</v>
      </c>
      <c r="E24" s="43">
        <v>1E-3</v>
      </c>
      <c r="F24" s="40" t="s">
        <v>147</v>
      </c>
      <c r="G24" s="34"/>
      <c r="H24" s="34"/>
      <c r="I24" s="34"/>
      <c r="J24" s="34"/>
    </row>
    <row r="25" spans="3:11" ht="20.100000000000001" customHeight="1" x14ac:dyDescent="0.25">
      <c r="C25" s="4" t="s">
        <v>148</v>
      </c>
      <c r="D25" s="34" t="s">
        <v>149</v>
      </c>
      <c r="E25" s="42">
        <v>0.1</v>
      </c>
      <c r="F25" s="40" t="s">
        <v>147</v>
      </c>
      <c r="G25" s="34"/>
      <c r="H25" s="34"/>
      <c r="I25" s="34"/>
      <c r="J25" s="34"/>
    </row>
    <row r="26" spans="3:11" ht="9.9499999999999993" customHeight="1" x14ac:dyDescent="0.25"/>
    <row r="27" spans="3:11" ht="20.100000000000001" customHeight="1" x14ac:dyDescent="0.25">
      <c r="C27" s="45" t="s">
        <v>151</v>
      </c>
    </row>
    <row r="28" spans="3:11" ht="30" customHeight="1" x14ac:dyDescent="0.25">
      <c r="C28" s="36" t="s">
        <v>152</v>
      </c>
      <c r="D28" s="46" t="s">
        <v>153</v>
      </c>
      <c r="E28" s="46" t="s">
        <v>154</v>
      </c>
      <c r="F28" s="46" t="s">
        <v>155</v>
      </c>
      <c r="G28" s="46" t="s">
        <v>156</v>
      </c>
      <c r="H28" s="46" t="s">
        <v>157</v>
      </c>
      <c r="I28" s="46" t="s">
        <v>158</v>
      </c>
      <c r="J28" s="46" t="s">
        <v>159</v>
      </c>
      <c r="K28" s="36" t="s">
        <v>96</v>
      </c>
    </row>
    <row r="29" spans="3:11" ht="20.100000000000001" customHeight="1" x14ac:dyDescent="0.25">
      <c r="C29" s="4" t="s">
        <v>37</v>
      </c>
      <c r="D29" s="47" t="s">
        <v>37</v>
      </c>
      <c r="E29" s="47"/>
      <c r="F29" s="48">
        <v>5.0000000000000001E-3</v>
      </c>
      <c r="G29" s="49"/>
      <c r="H29" s="49">
        <v>0.5</v>
      </c>
      <c r="I29" s="50"/>
      <c r="J29" s="41" t="s">
        <v>160</v>
      </c>
      <c r="K29" s="40" t="s">
        <v>161</v>
      </c>
    </row>
    <row r="30" spans="3:11" ht="20.100000000000001" customHeight="1" x14ac:dyDescent="0.25">
      <c r="C30" s="4" t="s">
        <v>38</v>
      </c>
      <c r="D30" s="47" t="s">
        <v>38</v>
      </c>
      <c r="E30" s="47"/>
      <c r="F30" s="48">
        <v>0.04</v>
      </c>
      <c r="G30" s="49"/>
      <c r="H30" s="49">
        <v>0.15</v>
      </c>
      <c r="I30" s="50"/>
      <c r="J30" s="41" t="s">
        <v>160</v>
      </c>
      <c r="K30" s="40" t="s">
        <v>162</v>
      </c>
    </row>
    <row r="31" spans="3:11" ht="20.100000000000001" customHeight="1" x14ac:dyDescent="0.25">
      <c r="C31" s="4" t="s">
        <v>163</v>
      </c>
      <c r="D31" s="47" t="s">
        <v>164</v>
      </c>
      <c r="E31" s="47" t="s">
        <v>165</v>
      </c>
      <c r="F31" s="48">
        <v>3.8E-3</v>
      </c>
      <c r="G31" s="49">
        <v>0.5</v>
      </c>
      <c r="H31" s="49">
        <v>1</v>
      </c>
      <c r="I31" s="50"/>
      <c r="J31" s="41" t="s">
        <v>160</v>
      </c>
      <c r="K31" s="40" t="s">
        <v>166</v>
      </c>
    </row>
    <row r="32" spans="3:11" ht="20.100000000000001" customHeight="1" x14ac:dyDescent="0.25">
      <c r="C32" s="4" t="s">
        <v>167</v>
      </c>
      <c r="D32" s="47" t="s">
        <v>164</v>
      </c>
      <c r="E32" s="47" t="s">
        <v>168</v>
      </c>
      <c r="F32" s="48">
        <v>3.8E-3</v>
      </c>
      <c r="G32" s="49">
        <v>0.5</v>
      </c>
      <c r="H32" s="49">
        <v>1</v>
      </c>
      <c r="I32" s="50"/>
      <c r="J32" s="41" t="s">
        <v>160</v>
      </c>
      <c r="K32" s="40" t="s">
        <v>166</v>
      </c>
    </row>
    <row r="33" spans="3:11" ht="20.100000000000001" customHeight="1" x14ac:dyDescent="0.25">
      <c r="C33" s="4" t="s">
        <v>169</v>
      </c>
      <c r="D33" s="47" t="s">
        <v>164</v>
      </c>
      <c r="E33" s="47" t="s">
        <v>170</v>
      </c>
      <c r="F33" s="48">
        <v>4.1999999999999997E-3</v>
      </c>
      <c r="G33" s="49">
        <v>0.5</v>
      </c>
      <c r="H33" s="49">
        <v>1</v>
      </c>
      <c r="I33" s="50"/>
      <c r="J33" s="41" t="s">
        <v>160</v>
      </c>
      <c r="K33" s="40" t="s">
        <v>166</v>
      </c>
    </row>
    <row r="34" spans="3:11" ht="20.100000000000001" customHeight="1" x14ac:dyDescent="0.25">
      <c r="C34" s="4" t="s">
        <v>171</v>
      </c>
      <c r="D34" s="47" t="s">
        <v>164</v>
      </c>
      <c r="E34" s="47" t="s">
        <v>172</v>
      </c>
      <c r="F34" s="48">
        <v>5.4000000000000003E-3</v>
      </c>
      <c r="G34" s="49">
        <v>0.5</v>
      </c>
      <c r="H34" s="49">
        <v>1</v>
      </c>
      <c r="I34" s="50"/>
      <c r="J34" s="41" t="s">
        <v>160</v>
      </c>
      <c r="K34" s="40" t="s">
        <v>166</v>
      </c>
    </row>
    <row r="35" spans="3:11" ht="20.100000000000001" customHeight="1" x14ac:dyDescent="0.25">
      <c r="C35" s="4" t="s">
        <v>173</v>
      </c>
      <c r="D35" s="47" t="s">
        <v>164</v>
      </c>
      <c r="E35" s="47" t="s">
        <v>174</v>
      </c>
      <c r="F35" s="48">
        <v>1.06E-2</v>
      </c>
      <c r="G35" s="49">
        <v>0.5</v>
      </c>
      <c r="H35" s="49">
        <v>1</v>
      </c>
      <c r="I35" s="50"/>
      <c r="J35" s="41" t="s">
        <v>160</v>
      </c>
      <c r="K35" s="40" t="s">
        <v>166</v>
      </c>
    </row>
    <row r="36" spans="3:11" ht="20.100000000000001" customHeight="1" x14ac:dyDescent="0.25">
      <c r="C36" s="4" t="s">
        <v>175</v>
      </c>
      <c r="D36" s="47" t="s">
        <v>164</v>
      </c>
      <c r="E36" s="47" t="s">
        <v>176</v>
      </c>
      <c r="F36" s="48">
        <v>1.6E-2</v>
      </c>
      <c r="G36" s="49">
        <v>0.5</v>
      </c>
      <c r="H36" s="49">
        <v>1</v>
      </c>
      <c r="I36" s="50"/>
      <c r="J36" s="41" t="s">
        <v>160</v>
      </c>
      <c r="K36" s="40" t="s">
        <v>166</v>
      </c>
    </row>
    <row r="37" spans="3:11" ht="20.100000000000001" customHeight="1" x14ac:dyDescent="0.25">
      <c r="C37" s="4" t="s">
        <v>177</v>
      </c>
      <c r="D37" s="47" t="s">
        <v>164</v>
      </c>
      <c r="E37" s="47" t="s">
        <v>178</v>
      </c>
      <c r="F37" s="48">
        <v>0.06</v>
      </c>
      <c r="G37" s="49">
        <v>0.5</v>
      </c>
      <c r="H37" s="49">
        <v>1</v>
      </c>
      <c r="I37" s="50"/>
      <c r="J37" s="41" t="s">
        <v>160</v>
      </c>
      <c r="K37" s="40" t="s">
        <v>166</v>
      </c>
    </row>
    <row r="38" spans="3:11" ht="20.100000000000001" customHeight="1" x14ac:dyDescent="0.25">
      <c r="C38" s="4" t="s">
        <v>179</v>
      </c>
      <c r="D38" s="47" t="s">
        <v>164</v>
      </c>
      <c r="E38" s="47" t="s">
        <v>180</v>
      </c>
      <c r="F38" s="48">
        <v>3.8E-3</v>
      </c>
      <c r="G38" s="49">
        <v>0.5</v>
      </c>
      <c r="H38" s="49">
        <v>1</v>
      </c>
      <c r="I38" s="50"/>
      <c r="J38" s="41" t="s">
        <v>160</v>
      </c>
      <c r="K38" s="40" t="s">
        <v>181</v>
      </c>
    </row>
    <row r="39" spans="3:11" ht="20.100000000000001" customHeight="1" x14ac:dyDescent="0.25">
      <c r="C39" s="4" t="s">
        <v>182</v>
      </c>
      <c r="D39" s="47" t="s">
        <v>164</v>
      </c>
      <c r="E39" s="47" t="s">
        <v>183</v>
      </c>
      <c r="F39" s="48">
        <v>4.1999999999999997E-3</v>
      </c>
      <c r="G39" s="49">
        <v>0.5</v>
      </c>
      <c r="H39" s="49">
        <v>1</v>
      </c>
      <c r="I39" s="50"/>
      <c r="J39" s="41" t="s">
        <v>160</v>
      </c>
      <c r="K39" s="40" t="s">
        <v>181</v>
      </c>
    </row>
    <row r="40" spans="3:11" ht="20.100000000000001" customHeight="1" x14ac:dyDescent="0.25">
      <c r="C40" s="4" t="s">
        <v>184</v>
      </c>
      <c r="D40" s="47" t="s">
        <v>164</v>
      </c>
      <c r="E40" s="47" t="s">
        <v>185</v>
      </c>
      <c r="F40" s="48">
        <v>5.4000000000000003E-3</v>
      </c>
      <c r="G40" s="49">
        <v>0.5</v>
      </c>
      <c r="H40" s="49">
        <v>1</v>
      </c>
      <c r="I40" s="50"/>
      <c r="J40" s="41" t="s">
        <v>160</v>
      </c>
      <c r="K40" s="40" t="s">
        <v>181</v>
      </c>
    </row>
    <row r="41" spans="3:11" ht="20.100000000000001" customHeight="1" x14ac:dyDescent="0.25">
      <c r="C41" s="4" t="s">
        <v>186</v>
      </c>
      <c r="D41" s="47" t="s">
        <v>164</v>
      </c>
      <c r="E41" s="47" t="s">
        <v>187</v>
      </c>
      <c r="F41" s="48">
        <v>1.06E-2</v>
      </c>
      <c r="G41" s="49">
        <v>0.5</v>
      </c>
      <c r="H41" s="49">
        <v>1</v>
      </c>
      <c r="I41" s="50"/>
      <c r="J41" s="41" t="s">
        <v>160</v>
      </c>
      <c r="K41" s="40" t="s">
        <v>181</v>
      </c>
    </row>
    <row r="42" spans="3:11" ht="20.100000000000001" customHeight="1" x14ac:dyDescent="0.25">
      <c r="C42" s="4" t="s">
        <v>188</v>
      </c>
      <c r="D42" s="47" t="s">
        <v>164</v>
      </c>
      <c r="E42" s="47" t="s">
        <v>189</v>
      </c>
      <c r="F42" s="48">
        <v>1.6E-2</v>
      </c>
      <c r="G42" s="49">
        <v>0.5</v>
      </c>
      <c r="H42" s="49">
        <v>1</v>
      </c>
      <c r="I42" s="50"/>
      <c r="J42" s="41" t="s">
        <v>160</v>
      </c>
      <c r="K42" s="40" t="s">
        <v>181</v>
      </c>
    </row>
    <row r="43" spans="3:11" ht="20.100000000000001" customHeight="1" x14ac:dyDescent="0.25">
      <c r="C43" s="4" t="s">
        <v>190</v>
      </c>
      <c r="D43" s="47" t="s">
        <v>164</v>
      </c>
      <c r="E43" s="47" t="s">
        <v>191</v>
      </c>
      <c r="F43" s="48">
        <v>0.06</v>
      </c>
      <c r="G43" s="49">
        <v>0.5</v>
      </c>
      <c r="H43" s="49">
        <v>1</v>
      </c>
      <c r="I43" s="50"/>
      <c r="J43" s="41" t="s">
        <v>160</v>
      </c>
      <c r="K43" s="40" t="s">
        <v>181</v>
      </c>
    </row>
    <row r="44" spans="3:11" ht="20.100000000000001" customHeight="1" x14ac:dyDescent="0.25">
      <c r="C44" s="4" t="s">
        <v>192</v>
      </c>
      <c r="D44" s="47" t="s">
        <v>164</v>
      </c>
      <c r="E44" s="47" t="s">
        <v>193</v>
      </c>
      <c r="F44" s="48">
        <v>3.8E-3</v>
      </c>
      <c r="G44" s="49">
        <v>0.8</v>
      </c>
      <c r="H44" s="49">
        <v>0.8</v>
      </c>
      <c r="I44" s="50"/>
      <c r="J44" s="41" t="s">
        <v>160</v>
      </c>
      <c r="K44" s="40" t="s">
        <v>194</v>
      </c>
    </row>
    <row r="45" spans="3:11" ht="20.100000000000001" customHeight="1" x14ac:dyDescent="0.25">
      <c r="C45" s="4" t="s">
        <v>195</v>
      </c>
      <c r="D45" s="47" t="s">
        <v>164</v>
      </c>
      <c r="E45" s="47" t="s">
        <v>196</v>
      </c>
      <c r="F45" s="48">
        <v>1.06E-2</v>
      </c>
      <c r="G45" s="49">
        <v>0.8</v>
      </c>
      <c r="H45" s="49">
        <v>0.8</v>
      </c>
      <c r="I45" s="50"/>
      <c r="J45" s="41" t="s">
        <v>160</v>
      </c>
      <c r="K45" s="40" t="s">
        <v>194</v>
      </c>
    </row>
    <row r="46" spans="3:11" ht="20.100000000000001" customHeight="1" x14ac:dyDescent="0.25">
      <c r="C46" s="4" t="s">
        <v>197</v>
      </c>
      <c r="D46" s="47" t="s">
        <v>198</v>
      </c>
      <c r="E46" s="47" t="s">
        <v>199</v>
      </c>
      <c r="F46" s="48">
        <v>0.32</v>
      </c>
      <c r="G46" s="49">
        <v>0.5</v>
      </c>
      <c r="H46" s="49">
        <v>1.2</v>
      </c>
      <c r="I46" s="50"/>
      <c r="J46" s="41" t="s">
        <v>160</v>
      </c>
      <c r="K46" s="40" t="s">
        <v>200</v>
      </c>
    </row>
    <row r="47" spans="3:11" ht="20.100000000000001" customHeight="1" x14ac:dyDescent="0.25">
      <c r="C47" s="4" t="s">
        <v>201</v>
      </c>
      <c r="D47" s="47" t="s">
        <v>198</v>
      </c>
      <c r="E47" s="47" t="s">
        <v>202</v>
      </c>
      <c r="F47" s="48">
        <v>0.2</v>
      </c>
      <c r="G47" s="49">
        <v>0.8</v>
      </c>
      <c r="H47" s="49">
        <v>0.75</v>
      </c>
      <c r="I47" s="50"/>
      <c r="J47" s="41" t="s">
        <v>160</v>
      </c>
      <c r="K47" s="40" t="s">
        <v>200</v>
      </c>
    </row>
    <row r="48" spans="3:11" ht="20.100000000000001" customHeight="1" x14ac:dyDescent="0.25">
      <c r="C48" s="4" t="s">
        <v>203</v>
      </c>
      <c r="D48" s="47" t="s">
        <v>42</v>
      </c>
      <c r="E48" s="47" t="s">
        <v>204</v>
      </c>
      <c r="F48" s="48">
        <v>0.4</v>
      </c>
      <c r="G48" s="49">
        <v>0.4</v>
      </c>
      <c r="H48" s="49">
        <v>1.5</v>
      </c>
      <c r="I48" s="41" t="s">
        <v>205</v>
      </c>
      <c r="J48" s="41" t="s">
        <v>160</v>
      </c>
      <c r="K48" s="40" t="s">
        <v>909</v>
      </c>
    </row>
    <row r="49" spans="3:11" ht="20.100000000000001" customHeight="1" x14ac:dyDescent="0.25">
      <c r="C49" s="4" t="s">
        <v>206</v>
      </c>
      <c r="D49" s="47" t="s">
        <v>42</v>
      </c>
      <c r="E49" s="47" t="s">
        <v>207</v>
      </c>
      <c r="F49" s="48">
        <v>0.18</v>
      </c>
      <c r="G49" s="49">
        <v>0.4</v>
      </c>
      <c r="H49" s="49">
        <v>0.7</v>
      </c>
      <c r="I49" s="41" t="s">
        <v>205</v>
      </c>
      <c r="J49" s="41" t="s">
        <v>160</v>
      </c>
      <c r="K49" s="40" t="s">
        <v>910</v>
      </c>
    </row>
    <row r="50" spans="3:11" ht="20.100000000000001" customHeight="1" x14ac:dyDescent="0.25">
      <c r="C50" s="4" t="s">
        <v>208</v>
      </c>
      <c r="D50" s="47" t="s">
        <v>42</v>
      </c>
      <c r="E50" s="47" t="s">
        <v>209</v>
      </c>
      <c r="F50" s="48">
        <v>0.18</v>
      </c>
      <c r="G50" s="49">
        <v>0.4</v>
      </c>
      <c r="H50" s="49">
        <v>0.7</v>
      </c>
      <c r="I50" s="41" t="s">
        <v>209</v>
      </c>
      <c r="J50" s="41" t="s">
        <v>160</v>
      </c>
      <c r="K50" s="40" t="s">
        <v>911</v>
      </c>
    </row>
    <row r="51" spans="3:11" ht="20.100000000000001" customHeight="1" x14ac:dyDescent="0.25">
      <c r="C51" s="4" t="s">
        <v>210</v>
      </c>
      <c r="D51" s="47" t="s">
        <v>42</v>
      </c>
      <c r="E51" s="47" t="s">
        <v>211</v>
      </c>
      <c r="F51" s="48">
        <v>0.18</v>
      </c>
      <c r="G51" s="49">
        <v>0.4</v>
      </c>
      <c r="H51" s="49">
        <v>0.7</v>
      </c>
      <c r="I51" s="41" t="s">
        <v>211</v>
      </c>
      <c r="J51" s="41" t="s">
        <v>160</v>
      </c>
      <c r="K51" s="40" t="s">
        <v>912</v>
      </c>
    </row>
    <row r="52" spans="3:11" ht="20.100000000000001" customHeight="1" x14ac:dyDescent="0.25">
      <c r="C52" s="4" t="s">
        <v>212</v>
      </c>
      <c r="D52" s="47" t="s">
        <v>42</v>
      </c>
      <c r="E52" s="47" t="s">
        <v>213</v>
      </c>
      <c r="F52" s="48">
        <v>0.18</v>
      </c>
      <c r="G52" s="49">
        <v>0.4</v>
      </c>
      <c r="H52" s="49">
        <v>0.7</v>
      </c>
      <c r="I52" s="41" t="s">
        <v>213</v>
      </c>
      <c r="J52" s="41" t="s">
        <v>160</v>
      </c>
      <c r="K52" s="40" t="s">
        <v>913</v>
      </c>
    </row>
    <row r="53" spans="3:11" ht="20.100000000000001" customHeight="1" x14ac:dyDescent="0.25">
      <c r="C53" s="4" t="s">
        <v>214</v>
      </c>
      <c r="D53" s="47" t="s">
        <v>42</v>
      </c>
      <c r="E53" s="47" t="s">
        <v>215</v>
      </c>
      <c r="F53" s="48">
        <v>0.18</v>
      </c>
      <c r="G53" s="49">
        <v>0.4</v>
      </c>
      <c r="H53" s="49">
        <v>0.7</v>
      </c>
      <c r="I53" s="41" t="s">
        <v>215</v>
      </c>
      <c r="J53" s="41" t="s">
        <v>143</v>
      </c>
      <c r="K53" s="40" t="s">
        <v>767</v>
      </c>
    </row>
    <row r="54" spans="3:11" ht="20.100000000000001" customHeight="1" x14ac:dyDescent="0.25">
      <c r="C54" s="4" t="s">
        <v>216</v>
      </c>
      <c r="D54" s="47" t="s">
        <v>216</v>
      </c>
      <c r="E54" s="47"/>
      <c r="F54" s="48">
        <v>0.08</v>
      </c>
      <c r="G54" s="49"/>
      <c r="H54" s="49">
        <v>1.5</v>
      </c>
      <c r="I54" s="50"/>
      <c r="J54" s="41" t="s">
        <v>143</v>
      </c>
      <c r="K54" s="40" t="s">
        <v>217</v>
      </c>
    </row>
    <row r="55" spans="3:11" ht="20.100000000000001" customHeight="1" x14ac:dyDescent="0.25"/>
    <row r="56" spans="3:11" ht="20.100000000000001" customHeight="1" x14ac:dyDescent="0.25">
      <c r="C56" s="45" t="s">
        <v>218</v>
      </c>
    </row>
    <row r="57" spans="3:11" ht="30" customHeight="1" x14ac:dyDescent="0.25">
      <c r="C57" s="51" t="s">
        <v>219</v>
      </c>
      <c r="D57" s="51" t="s">
        <v>220</v>
      </c>
      <c r="E57" s="52" t="s">
        <v>221</v>
      </c>
    </row>
    <row r="58" spans="3:11" ht="20.100000000000001" customHeight="1" x14ac:dyDescent="0.25">
      <c r="C58" s="7" t="s">
        <v>101</v>
      </c>
      <c r="D58" s="34" t="s">
        <v>222</v>
      </c>
      <c r="E58" s="53">
        <v>1</v>
      </c>
    </row>
    <row r="59" spans="3:11" ht="20.100000000000001" customHeight="1" x14ac:dyDescent="0.25">
      <c r="C59" s="7" t="s">
        <v>223</v>
      </c>
      <c r="D59" s="34" t="s">
        <v>224</v>
      </c>
      <c r="E59" s="53">
        <v>0.86</v>
      </c>
    </row>
    <row r="60" spans="3:11" ht="20.100000000000001" customHeight="1" x14ac:dyDescent="0.25">
      <c r="C60" s="7" t="s">
        <v>225</v>
      </c>
      <c r="D60" s="34" t="s">
        <v>226</v>
      </c>
      <c r="E60" s="53">
        <v>1.1599999999999999</v>
      </c>
    </row>
    <row r="61" spans="3:11" ht="20.100000000000001" customHeight="1" x14ac:dyDescent="0.25">
      <c r="C61" s="7" t="s">
        <v>227</v>
      </c>
      <c r="D61" s="34" t="s">
        <v>228</v>
      </c>
      <c r="E61" s="53">
        <v>5.7999999999999996E-3</v>
      </c>
    </row>
    <row r="62" spans="3:11" ht="20.100000000000001" customHeight="1" x14ac:dyDescent="0.25">
      <c r="C62" s="7" t="s">
        <v>229</v>
      </c>
      <c r="D62" s="34" t="s">
        <v>230</v>
      </c>
      <c r="E62" s="53">
        <v>1.07</v>
      </c>
    </row>
    <row r="63" spans="3:11" ht="20.100000000000001" customHeight="1" x14ac:dyDescent="0.25">
      <c r="D63" s="54" t="s">
        <v>231</v>
      </c>
    </row>
    <row r="64" spans="3:11" ht="20.100000000000001" customHeight="1" x14ac:dyDescent="0.25"/>
  </sheetData>
  <conditionalFormatting sqref="C29:C54">
    <cfRule type="expression" dxfId="14" priority="1">
      <formula>AND(C29&lt;&gt;"",COUNTIF($C$29:$C$54,C29)&gt;1)</formula>
    </cfRule>
  </conditionalFormatting>
  <conditionalFormatting sqref="C58:C77">
    <cfRule type="expression" dxfId="13" priority="2">
      <formula>AND(C58&lt;&gt;"",COUNTIF($C$58:$C$77,C58)&gt;1)</formula>
    </cfRule>
  </conditionalFormatting>
  <dataValidations count="29">
    <dataValidation type="date" allowBlank="1" showInputMessage="1" showErrorMessage="1" errorTitle="Invalid reporting date" error="Enter a date between 2000 and 2100." promptTitle="Reporting date" prompt="Date the exposures are calculated for. Maturities and dates are measured from it." sqref="E6" xr:uid="{00000000-0002-0000-0100-000000000000}">
      <formula1>36526</formula1>
      <formula2>73415</formula2>
    </dataValidation>
    <dataValidation type="custom" allowBlank="1" showInputMessage="1" showErrorMessage="1" errorTitle="Invalid currency" error="Enter three letters A to Z, e.g. EUR." promptTitle="Reporting currency" prompt="Three-letter currency code, e.g. EUR: letters A to Z only; case and surrounding spaces are ignored. The format is checked, not ISO membership. Every amount is converted into it with the FX table below." sqref="E7" xr:uid="{00000000-0002-0000-0100-000001000000}">
      <formula1>AND(ISTEXT(ReportingCcy),LEN(TRIM(ReportingCcy))=3,ABS(CODE(MID(UPPER(TRIM(ReportingCcy)),1,1))-77.5)&lt;13,ABS(CODE(MID(UPPER(TRIM(ReportingCcy)),2,1))-77.5)&lt;13,ABS(CODE(MID(UPPER(TRIM(ReportingCcy)),3,1))-77.5)&lt;13)</formula1>
    </dataValidation>
    <dataValidation type="decimal" operator="greaterThan" allowBlank="1" showInputMessage="1" showErrorMessage="1" errorTitle="Invalid alpha" error="Alpha must be a number greater than zero. Regulatory value: 1.4." promptTitle="Alpha" prompt="Multiplier on RC + PFE. Regulatory value 1.4 (CRE52.1, CRR Art. 274(2))." sqref="E8" xr:uid="{00000000-0002-0000-0100-000002000000}">
      <formula1>0</formula1>
    </dataValidation>
    <dataValidation type="decimal" allowBlank="1" showInputMessage="1" showErrorMessage="1" errorTitle="Invalid floor" error="Enter a percentage from 0% to below 100%. Regulatory value: 5%." promptTitle="Multiplier floor" prompt="Floor of the PFE multiplier, as a percentage. Regulatory value 5% (CRE52.23)." sqref="E9" xr:uid="{00000000-0002-0000-0100-000003000000}">
      <formula1>0</formula1>
      <formula2>0.9999</formula2>
    </dataValidation>
    <dataValidation type="decimal" allowBlank="1" showInputMessage="1" showErrorMessage="1" errorTitle="Invalid day count" error="Enter a number from 360 to 366. Normally 365." promptTitle="Days per year" prompt="Calendar days per year for S, E, M and T. Normally 365." sqref="E10" xr:uid="{00000000-0002-0000-0100-000004000000}">
      <formula1>360</formula1>
      <formula2>366</formula2>
    </dataValidation>
    <dataValidation type="whole" allowBlank="1" showInputMessage="1" showErrorMessage="1" errorTitle="Invalid business days" error="Enter a whole number from 200 to 366. Regulatory value: 250." promptTitle="Business days per year" prompt="Converts MPOR and the maturity floors into years. Regulatory value 250 (CRE52.49, 52.53)." sqref="E11" xr:uid="{00000000-0002-0000-0100-000005000000}">
      <formula1>200</formula1>
      <formula2>366</formula2>
    </dataValidation>
    <dataValidation type="whole" allowBlank="1" showInputMessage="1" showErrorMessage="1" errorTitle="Invalid minimum maturity" error="Enter a whole number of business days from 0 to 250. Regulatory value: 10." promptTitle="Minimum maturity" prompt="Floor on M for the unmargined maturity factor, in business days. Regulatory value 10 (CRE52.48)." sqref="E12" xr:uid="{00000000-0002-0000-0100-000006000000}">
      <formula1>0</formula1>
      <formula2>250</formula2>
    </dataValidation>
    <dataValidation type="whole" allowBlank="1" showInputMessage="1" showErrorMessage="1" errorTitle="Invalid duration floor" error="Enter a whole number of business days from 0 to 250 (0 = no floor). Regulatory value: 10." promptTitle="Supervisory duration floor" prompt="Floor on the supervisory duration SD, in business days; 0 = no floor. Regulatory value 10 (CRE52.34, CRR Art. 279b)." sqref="E13" xr:uid="{00000000-0002-0000-0100-000007000000}">
      <formula1>0</formula1>
      <formula2>250</formula2>
    </dataValidation>
    <dataValidation type="whole" allowBlank="1" showInputMessage="1" showErrorMessage="1" errorTitle="Invalid MPOR floor" error="Enter a whole number of business days from 1 to 250." promptTitle="MPOR floor, bilateral" prompt="Minimum MPOR for a bilateral, daily-margined netting set, in business days. Regulatory value 10 (CRE52.50)." sqref="E14" xr:uid="{00000000-0002-0000-0100-000008000000}">
      <formula1>1</formula1>
      <formula2>250</formula2>
    </dataValidation>
    <dataValidation type="whole" allowBlank="1" showInputMessage="1" showErrorMessage="1" errorTitle="Invalid MPOR floor" error="Enter a whole number of business days from 1 to 250." promptTitle="MPOR floor, client clearing" prompt="Minimum MPOR for client clearing, in business days: role CM in both regimes, CLIENT under CRR only (a BCBS client keeps the bilateral floor). Regulatory value 5 (CRE54.12, CRR Art. 279c(1)(b))." sqref="E15" xr:uid="{00000000-0002-0000-0100-000009000000}">
      <formula1>1</formula1>
      <formula2>250</formula2>
    </dataValidation>
    <dataValidation type="whole" allowBlank="1" showInputMessage="1" showErrorMessage="1" errorTitle="Invalid MPOR floor" error="Enter a whole number of business days from 1 to 250." promptTitle="MPOR floor, large netting set" prompt="Minimum MPOR when the netting set is flagged large or illiquid (more than 5,000 trades, illiquid collateral or a hard-to-replace derivative), in business days. Regulatory value 20 (CRE52.51, CRR Art. 285(3))." sqref="E16" xr:uid="{00000000-0002-0000-0100-00000A000000}">
      <formula1>1</formula1>
      <formula2>250</formula2>
    </dataValidation>
    <dataValidation type="decimal" allowBlank="1" showInputMessage="1" showErrorMessage="1" errorTitle="Invalid basis factor" error="Enter a number from 0 to 1. Regulatory value: 0.5." promptTitle="Basis factor" prompt="Supervisory factor multiplier for basis transactions. Regulatory value 0.5 (CRE52.46)." sqref="E17" xr:uid="{00000000-0002-0000-0100-00000B000000}">
      <formula1>0</formula1>
      <formula2>1</formula2>
    </dataValidation>
    <dataValidation type="decimal" allowBlank="1" showInputMessage="1" showErrorMessage="1" errorTitle="Invalid volatility factor" error="Enter a number from 0 to 10. Regulatory value: 5." promptTitle="Volatility factor" prompt="Supervisory factor multiplier for volatility transactions. Regulatory value 5 (CRE52.47)." sqref="E18" xr:uid="{00000000-0002-0000-0100-00000C000000}">
      <formula1>0</formula1>
      <formula2>10</formula2>
    </dataValidation>
    <dataValidation type="custom" allowBlank="1" showInputMessage="1" showErrorMessage="1" errorTitle="Invalid IR correlation" error="Each correlation must be from 0 to 1, and the three together must form a valid correlation matrix." promptTitle="IR correlation 1-2" prompt="Correlation between maturity buckets. Regulatory values: 1-2 and 2-3 = 0.7, 1-3 = 0.3 (CRE52.57)." sqref="E19" xr:uid="{00000000-0002-0000-0100-00000D000000}">
      <formula1>AND(ISNUMBER(IRCorrBucket12),ISNUMBER(IRCorrBucket23),ISNUMBER(IRCorrBucket13),MIN(IRCorrBucket12,IRCorrBucket23,IRCorrBucket13)&gt;=0,MAX(IRCorrBucket12,IRCorrBucket23,IRCorrBucket13)&lt;=1,1-IRCorrBucket12^2-IRCorrBucket23^2-IRCorrBucket13^2+2*IRCorrBucket12*IRCorrBucket23*IRCorrBucket13&gt;=0)</formula1>
    </dataValidation>
    <dataValidation type="custom" allowBlank="1" showInputMessage="1" showErrorMessage="1" errorTitle="Invalid IR correlation" error="Each correlation must be from 0 to 1, and the three together must form a valid correlation matrix." promptTitle="IR correlation 2-3" prompt="Correlation between maturity buckets. Regulatory values: 1-2 and 2-3 = 0.7, 1-3 = 0.3 (CRE52.57)." sqref="E20" xr:uid="{00000000-0002-0000-0100-00000E000000}">
      <formula1>AND(ISNUMBER(IRCorrBucket12),ISNUMBER(IRCorrBucket23),ISNUMBER(IRCorrBucket13),MIN(IRCorrBucket12,IRCorrBucket23,IRCorrBucket13)&gt;=0,MAX(IRCorrBucket12,IRCorrBucket23,IRCorrBucket13)&lt;=1,1-IRCorrBucket12^2-IRCorrBucket23^2-IRCorrBucket13^2+2*IRCorrBucket12*IRCorrBucket23*IRCorrBucket13&gt;=0)</formula1>
    </dataValidation>
    <dataValidation type="custom" allowBlank="1" showInputMessage="1" showErrorMessage="1" errorTitle="Invalid IR correlation" error="Each correlation must be from 0 to 1, and the three together must form a valid correlation matrix." promptTitle="IR correlation 1-3" prompt="Correlation between maturity buckets. Regulatory values: 1-2 and 2-3 = 0.7, 1-3 = 0.3 (CRE52.57)." sqref="E21" xr:uid="{00000000-0002-0000-0100-00000F000000}">
      <formula1>AND(ISNUMBER(IRCorrBucket12),ISNUMBER(IRCorrBucket23),ISNUMBER(IRCorrBucket13),MIN(IRCorrBucket12,IRCorrBucket23,IRCorrBucket13)&gt;=0,MAX(IRCorrBucket12,IRCorrBucket23,IRCorrBucket13)&lt;=1,1-IRCorrBucket12^2-IRCorrBucket23^2-IRCorrBucket13^2+2*IRCorrBucket12*IRCorrBucket23*IRCorrBucket13&gt;=0)</formula1>
    </dataValidation>
    <dataValidation type="list" allowBlank="1" showInputMessage="1" showErrorMessage="1" errorTitle="Invalid choice" error="Choose TRUE or FALSE." promptTitle="IR bucket offset" prompt="TRUE = bucket formula with offsets. FALSE = sum of absolute bucket values (Basel only). Under CRR only TRUE is allowed (Art. 280a(3))." sqref="E22" xr:uid="{00000000-0002-0000-0100-000010000000}">
      <formula1>"TRUE,FALSE"</formula1>
    </dataValidation>
    <dataValidation type="list" allowBlank="1" showInputMessage="1" showErrorMessage="1" errorTitle="Invalid regime" error="Choose CRR or BCBS." promptTitle="Default regime" prompt="CRR = EU rules; BCBS = Basel CRE52. Used for every netting set without its own regime. Blank means CRR." sqref="E23" xr:uid="{00000000-0002-0000-0100-000011000000}">
      <formula1>"CRR,BCBS"</formula1>
    </dataValidation>
    <dataValidation type="decimal" allowBlank="1" showInputMessage="1" showErrorMessage="1" errorTitle="Invalid IR threshold" error="Enter a percentage from 0% to 10%. Value: 0.1%." promptTitle="Lambda threshold, IR" prompt="Threshold of the CRR lambda for IR options, as a percentage: lambda = max(threshold - min(P, K), 0). Value 0.1% (Del. Reg. 2021/931 Art. 5(2))." sqref="E24" xr:uid="{00000000-0002-0000-0100-000012000000}">
      <formula1>0</formula1>
      <formula2>0.1</formula2>
    </dataValidation>
    <dataValidation type="decimal" allowBlank="1" showInputMessage="1" showErrorMessage="1" errorTitle="Invalid commodity threshold" error="Enter a number from 0 to 1. Value: 0.10." promptTitle="Lambda threshold, commodity" prompt="Threshold of the CRR lambda for commodity options: lambda = max(-(1 + threshold) x min(P, K), 0). Value 0.10 (Del. Reg. 2021/931 Art. 5(2))." sqref="E25" xr:uid="{00000000-0002-0000-0100-000013000000}">
      <formula1>0</formula1>
      <formula2>1</formula2>
    </dataValidation>
    <dataValidation type="custom" allowBlank="1" showInputMessage="1" showErrorMessage="1" errorTitle="Invalid or duplicate key" error="Enter a text key that is not already used in this table." promptTitle="Supervisory factor key" prompt="Unique key of the row, e.g. CR_BBB. A key listed twice with different values stops the run." sqref="C29:C54" xr:uid="{00000000-0002-0000-0100-000014000000}">
      <formula1>AND(ISTEXT(C29),COUNTIF($C$29:$C$54,C29)=1)</formula1>
    </dataValidation>
    <dataValidation type="list" allowBlank="1" showInputMessage="1" showErrorMessage="1" errorTitle="Invalid asset class" error="Choose IR, FX, CR, EQ, CO or OT." promptTitle="Asset class" prompt="IR, FX, CR (credit), EQ (equity), CO (commodity) or OT (other risks, CRR Art. 280f)." sqref="D29:D54" xr:uid="{00000000-0002-0000-0100-000015000000}">
      <formula1>"IR,FX,CR,EQ,CO,OT"</formula1>
    </dataValidation>
    <dataValidation type="decimal" allowBlank="1" showInputMessage="1" showErrorMessage="1" errorTitle="Invalid supervisory factor" error="Enter a percentage from 0% to 100%." promptTitle="Supervisory factor" prompt="Supervisory factor as a percentage (CRE52.72; CRR Art. 280a to 280f)." sqref="F29:F54" xr:uid="{00000000-0002-0000-0100-000016000000}">
      <formula1>0</formula1>
      <formula2>1</formula2>
    </dataValidation>
    <dataValidation type="decimal" allowBlank="1" showInputMessage="1" showErrorMessage="1" errorTitle="Invalid correlation" error="Enter a percentage from 0% to 100%." promptTitle="Correlation" prompt="Correlation with the systematic factor, for credit, equity and commodity (CRE52.72). Leave blank for IR, FX and OT." sqref="G29:G54" xr:uid="{00000000-0002-0000-0100-000017000000}">
      <formula1>0</formula1>
      <formula2>1</formula2>
    </dataValidation>
    <dataValidation type="decimal" allowBlank="1" showInputMessage="1" showErrorMessage="1" errorTitle="Invalid volatility" error="Enter a percentage from 0% to 500%." promptTitle="Supervisory option volatility" prompt="Volatility used in the supervisory delta of options (CRE52.72)." sqref="H29:H54" xr:uid="{00000000-0002-0000-0100-000018000000}">
      <formula1>0</formula1>
      <formula2>5</formula2>
    </dataValidation>
    <dataValidation type="list" allowBlank="1" showInputMessage="1" showErrorMessage="1" errorTitle="Invalid hedging set" error="Choose ENERGY, METALS, AGRICULTURAL, OTHER or CLIMATIC." promptTitle="Commodity hedging set" prompt="Commodity rows only (CRE52.69). CLIMATIC is the CRR climatic-conditions hedging set (Art. 277a(1)(e)). Leave blank for other asset classes." sqref="I29:I54" xr:uid="{00000000-0002-0000-0100-000019000000}">
      <formula1>"ENERGY,METALS,AGRICULTURAL,OTHER,CLIMATIC"</formula1>
    </dataValidation>
    <dataValidation type="list" allowBlank="1" showInputMessage="1" showErrorMessage="1" errorTitle="Invalid regime" error="Choose BOTH, CRR or BCBS." promptTitle="Regimes" prompt="Regimes in which the row applies: BOTH, CRR only or BCBS only." sqref="J29:J54" xr:uid="{00000000-0002-0000-0100-00001A000000}">
      <formula1>"BOTH,CRR,BCBS"</formula1>
    </dataValidation>
    <dataValidation type="custom" allowBlank="1" showInputMessage="1" showErrorMessage="1" errorTitle="Invalid or duplicate currency" error="Enter a three-letter ISO code that is not already in the table." promptTitle="Currency" prompt="ISO code, e.g. USD. Add currencies directly below the last row, with no blank rows." sqref="C58:C77" xr:uid="{00000000-0002-0000-0100-00001B000000}">
      <formula1>AND(ISTEXT(C58),LEN(C58)=3,COUNTIF($C$58:$C$77,C58)=1)</formula1>
    </dataValidation>
    <dataValidation type="custom" allowBlank="1" showInputMessage="1" showErrorMessage="1" errorTitle="Invalid FX rate" error="Enter a number greater than zero; the reporting currency's rate must be 1." promptTitle="FX rate" prompt="Units of the reporting currency per 1 unit of this currency. The reporting currency itself is 1." sqref="E58:E77" xr:uid="{00000000-0002-0000-0100-00001C000000}">
      <formula1>AND(ISNUMBER(E58),E58&gt;0,OR(UPPER(C58)&lt;&gt;UPPER(ReportingCcy),E58=1))</formula1>
    </dataValidation>
  </dataValidations>
  <pageMargins left="0.4" right="0.4" top="0.5" bottom="0.5" header="0.3" footer="0.3"/>
  <pageSetup paperSize="9" fitToHeight="0"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NettingSets">
    <tabColor rgb="FFBF9000"/>
    <pageSetUpPr fitToPage="1"/>
  </sheetPr>
  <dimension ref="B1:S434"/>
  <sheetViews>
    <sheetView showGridLines="0" zoomScaleNormal="100" workbookViewId="0">
      <pane ySplit="6" topLeftCell="A7" activePane="bottomLeft" state="frozen"/>
      <selection pane="bottomLeft" activeCell="Q7" sqref="Q7"/>
    </sheetView>
  </sheetViews>
  <sheetFormatPr defaultRowHeight="15" x14ac:dyDescent="0.25"/>
  <cols>
    <col min="1" max="2" width="4" customWidth="1"/>
    <col min="3" max="3" width="20.625" style="34" customWidth="1"/>
    <col min="4" max="4" width="50.625" style="34" customWidth="1"/>
    <col min="5" max="16" width="10.625" style="34" customWidth="1"/>
    <col min="17" max="17" width="15.625" style="34" customWidth="1"/>
    <col min="18" max="18" width="10.625" style="34" customWidth="1"/>
    <col min="19" max="19" width="20.625" style="34" customWidth="1"/>
  </cols>
  <sheetData>
    <row r="1" spans="2:19" ht="24" customHeight="1" x14ac:dyDescent="0.25">
      <c r="B1" s="24" t="s">
        <v>0</v>
      </c>
      <c r="C1" s="25"/>
      <c r="D1" s="26"/>
      <c r="E1" s="26"/>
      <c r="F1" s="26"/>
      <c r="G1" s="26"/>
      <c r="H1" s="26"/>
      <c r="I1" s="26"/>
      <c r="J1" s="26"/>
      <c r="K1" s="26"/>
      <c r="L1" s="26"/>
      <c r="M1" s="26"/>
      <c r="N1" s="26"/>
      <c r="O1" s="26"/>
      <c r="P1" s="26"/>
      <c r="Q1" s="26"/>
      <c r="R1" s="26"/>
      <c r="S1" s="27"/>
    </row>
    <row r="2" spans="2:19" ht="26.1" customHeight="1" x14ac:dyDescent="0.25">
      <c r="B2" s="28" t="s">
        <v>232</v>
      </c>
      <c r="C2" s="29"/>
      <c r="D2" s="30"/>
      <c r="E2" s="30"/>
      <c r="F2" s="30"/>
      <c r="G2" s="30"/>
      <c r="H2" s="30"/>
      <c r="I2" s="30"/>
      <c r="J2" s="30"/>
      <c r="K2" s="30"/>
      <c r="L2" s="30"/>
      <c r="M2" s="30"/>
      <c r="N2" s="30"/>
      <c r="O2" s="30"/>
      <c r="P2" s="30"/>
      <c r="Q2" s="30"/>
      <c r="R2" s="30"/>
      <c r="S2" s="27"/>
    </row>
    <row r="3" spans="2:19" ht="42" customHeight="1" x14ac:dyDescent="0.25">
      <c r="C3" s="130" t="s">
        <v>798</v>
      </c>
      <c r="D3"/>
      <c r="E3"/>
      <c r="F3"/>
      <c r="G3"/>
      <c r="H3"/>
      <c r="I3"/>
      <c r="J3"/>
      <c r="K3"/>
      <c r="L3"/>
      <c r="M3"/>
      <c r="N3"/>
      <c r="O3"/>
      <c r="P3"/>
      <c r="Q3"/>
      <c r="R3"/>
      <c r="S3"/>
    </row>
    <row r="4" spans="2:19" ht="9.9499999999999993" customHeight="1" x14ac:dyDescent="0.25">
      <c r="C4" s="40"/>
      <c r="D4"/>
      <c r="E4"/>
      <c r="F4"/>
      <c r="G4"/>
      <c r="H4"/>
      <c r="I4"/>
      <c r="J4"/>
      <c r="K4"/>
      <c r="L4"/>
      <c r="M4"/>
      <c r="N4"/>
      <c r="O4"/>
      <c r="P4"/>
      <c r="Q4"/>
      <c r="R4"/>
      <c r="S4"/>
    </row>
    <row r="5" spans="2:19" ht="9.9499999999999993" customHeight="1" x14ac:dyDescent="0.25">
      <c r="C5"/>
      <c r="D5"/>
      <c r="E5"/>
      <c r="F5"/>
      <c r="G5"/>
      <c r="H5"/>
      <c r="I5"/>
      <c r="J5"/>
      <c r="K5"/>
      <c r="L5"/>
      <c r="M5"/>
      <c r="N5"/>
      <c r="O5"/>
      <c r="P5"/>
      <c r="Q5"/>
      <c r="R5"/>
      <c r="S5"/>
    </row>
    <row r="6" spans="2:19" s="34" customFormat="1" ht="50.1" customHeight="1" x14ac:dyDescent="0.25">
      <c r="C6" s="55" t="s">
        <v>233</v>
      </c>
      <c r="D6" s="55" t="s">
        <v>234</v>
      </c>
      <c r="E6" s="56" t="s">
        <v>235</v>
      </c>
      <c r="F6" s="56" t="s">
        <v>799</v>
      </c>
      <c r="G6" s="56" t="s">
        <v>236</v>
      </c>
      <c r="H6" s="56" t="s">
        <v>237</v>
      </c>
      <c r="I6" s="56" t="s">
        <v>238</v>
      </c>
      <c r="J6" s="56" t="s">
        <v>239</v>
      </c>
      <c r="K6" s="56" t="s">
        <v>240</v>
      </c>
      <c r="L6" s="56" t="s">
        <v>241</v>
      </c>
      <c r="M6" s="56" t="s">
        <v>242</v>
      </c>
      <c r="N6" s="56" t="s">
        <v>243</v>
      </c>
      <c r="O6" s="56" t="s">
        <v>244</v>
      </c>
      <c r="P6" s="56" t="s">
        <v>245</v>
      </c>
      <c r="Q6" s="56" t="s">
        <v>800</v>
      </c>
      <c r="R6" s="56" t="s">
        <v>957</v>
      </c>
      <c r="S6" s="56" t="s">
        <v>958</v>
      </c>
    </row>
    <row r="7" spans="2:19" ht="20.100000000000001" customHeight="1" x14ac:dyDescent="0.25">
      <c r="C7" s="57" t="s">
        <v>246</v>
      </c>
      <c r="D7" s="44" t="s">
        <v>247</v>
      </c>
      <c r="E7" s="41" t="s">
        <v>248</v>
      </c>
      <c r="F7" s="41" t="s">
        <v>248</v>
      </c>
      <c r="G7" s="58"/>
      <c r="H7" s="41" t="s">
        <v>248</v>
      </c>
      <c r="I7" s="41" t="s">
        <v>248</v>
      </c>
      <c r="J7" s="59"/>
      <c r="K7" s="60">
        <v>0</v>
      </c>
      <c r="L7" s="60">
        <v>0</v>
      </c>
      <c r="M7" s="60">
        <v>0</v>
      </c>
      <c r="N7" s="60">
        <v>0</v>
      </c>
      <c r="O7" s="61"/>
      <c r="P7" s="41" t="s">
        <v>249</v>
      </c>
      <c r="Q7" s="41" t="s">
        <v>904</v>
      </c>
      <c r="R7" s="41"/>
      <c r="S7" s="41"/>
    </row>
    <row r="8" spans="2:19" ht="20.100000000000001" customHeight="1" x14ac:dyDescent="0.25">
      <c r="C8" s="57" t="s">
        <v>250</v>
      </c>
      <c r="D8" s="44" t="s">
        <v>251</v>
      </c>
      <c r="E8" s="41" t="s">
        <v>248</v>
      </c>
      <c r="F8" s="41" t="s">
        <v>248</v>
      </c>
      <c r="G8" s="58"/>
      <c r="H8" s="41" t="s">
        <v>248</v>
      </c>
      <c r="I8" s="41" t="s">
        <v>248</v>
      </c>
      <c r="J8" s="59"/>
      <c r="K8" s="60">
        <v>0</v>
      </c>
      <c r="L8" s="60">
        <v>0</v>
      </c>
      <c r="M8" s="60">
        <v>0</v>
      </c>
      <c r="N8" s="60">
        <v>0</v>
      </c>
      <c r="O8" s="61"/>
      <c r="P8" s="41" t="s">
        <v>249</v>
      </c>
      <c r="Q8" s="41" t="s">
        <v>904</v>
      </c>
      <c r="R8" s="41"/>
      <c r="S8" s="41"/>
    </row>
    <row r="9" spans="2:19" ht="20.100000000000001" customHeight="1" x14ac:dyDescent="0.25">
      <c r="C9" s="57" t="s">
        <v>252</v>
      </c>
      <c r="D9" s="44" t="s">
        <v>253</v>
      </c>
      <c r="E9" s="41" t="s">
        <v>248</v>
      </c>
      <c r="F9" s="41" t="s">
        <v>248</v>
      </c>
      <c r="G9" s="58"/>
      <c r="H9" s="41" t="s">
        <v>248</v>
      </c>
      <c r="I9" s="41" t="s">
        <v>248</v>
      </c>
      <c r="J9" s="59"/>
      <c r="K9" s="60">
        <v>0</v>
      </c>
      <c r="L9" s="60">
        <v>0</v>
      </c>
      <c r="M9" s="60">
        <v>0</v>
      </c>
      <c r="N9" s="60">
        <v>0</v>
      </c>
      <c r="O9" s="61"/>
      <c r="P9" s="41" t="s">
        <v>249</v>
      </c>
      <c r="Q9" s="41" t="s">
        <v>904</v>
      </c>
      <c r="R9" s="41"/>
      <c r="S9" s="41"/>
    </row>
    <row r="10" spans="2:19" ht="20.100000000000001" customHeight="1" x14ac:dyDescent="0.25">
      <c r="C10" s="57" t="s">
        <v>254</v>
      </c>
      <c r="D10" s="44" t="s">
        <v>255</v>
      </c>
      <c r="E10" s="41" t="s">
        <v>248</v>
      </c>
      <c r="F10" s="41" t="s">
        <v>248</v>
      </c>
      <c r="G10" s="58"/>
      <c r="H10" s="41" t="s">
        <v>248</v>
      </c>
      <c r="I10" s="41" t="s">
        <v>248</v>
      </c>
      <c r="J10" s="59"/>
      <c r="K10" s="60">
        <v>0</v>
      </c>
      <c r="L10" s="60">
        <v>0</v>
      </c>
      <c r="M10" s="60">
        <v>0</v>
      </c>
      <c r="N10" s="60">
        <v>0</v>
      </c>
      <c r="O10" s="61"/>
      <c r="P10" s="41" t="s">
        <v>249</v>
      </c>
      <c r="Q10" s="41" t="s">
        <v>904</v>
      </c>
      <c r="R10" s="41"/>
      <c r="S10" s="41"/>
    </row>
    <row r="11" spans="2:19" ht="20.100000000000001" customHeight="1" x14ac:dyDescent="0.25">
      <c r="C11" s="57" t="s">
        <v>256</v>
      </c>
      <c r="D11" s="44" t="s">
        <v>257</v>
      </c>
      <c r="E11" s="41" t="s">
        <v>258</v>
      </c>
      <c r="F11" s="41" t="s">
        <v>248</v>
      </c>
      <c r="G11" s="58">
        <v>5</v>
      </c>
      <c r="H11" s="41" t="s">
        <v>248</v>
      </c>
      <c r="I11" s="41" t="s">
        <v>248</v>
      </c>
      <c r="J11" s="59"/>
      <c r="K11" s="60">
        <v>50</v>
      </c>
      <c r="L11" s="60">
        <v>150</v>
      </c>
      <c r="M11" s="60">
        <v>0</v>
      </c>
      <c r="N11" s="60">
        <v>5</v>
      </c>
      <c r="O11" s="61"/>
      <c r="P11" s="41" t="s">
        <v>249</v>
      </c>
      <c r="Q11" s="41" t="s">
        <v>904</v>
      </c>
      <c r="R11" s="41"/>
      <c r="S11" s="41"/>
    </row>
    <row r="12" spans="2:19" ht="20.100000000000001" customHeight="1" x14ac:dyDescent="0.25">
      <c r="C12" s="57" t="s">
        <v>259</v>
      </c>
      <c r="D12" s="44" t="s">
        <v>260</v>
      </c>
      <c r="E12" s="41" t="s">
        <v>258</v>
      </c>
      <c r="F12" s="41" t="s">
        <v>248</v>
      </c>
      <c r="G12" s="58">
        <v>5</v>
      </c>
      <c r="H12" s="41" t="s">
        <v>248</v>
      </c>
      <c r="I12" s="41" t="s">
        <v>248</v>
      </c>
      <c r="J12" s="59"/>
      <c r="K12" s="60">
        <v>50</v>
      </c>
      <c r="L12" s="60">
        <v>150</v>
      </c>
      <c r="M12" s="60">
        <v>0</v>
      </c>
      <c r="N12" s="60">
        <v>5</v>
      </c>
      <c r="O12" s="61"/>
      <c r="P12" s="41" t="s">
        <v>143</v>
      </c>
      <c r="Q12" s="41" t="s">
        <v>904</v>
      </c>
      <c r="R12" s="41"/>
      <c r="S12" s="41"/>
    </row>
    <row r="13" spans="2:19" ht="20.100000000000001" customHeight="1" x14ac:dyDescent="0.25">
      <c r="C13" s="57" t="s">
        <v>261</v>
      </c>
      <c r="D13" s="44" t="s">
        <v>262</v>
      </c>
      <c r="E13" s="41" t="s">
        <v>258</v>
      </c>
      <c r="F13" s="41" t="s">
        <v>248</v>
      </c>
      <c r="G13" s="58">
        <v>1</v>
      </c>
      <c r="H13" s="41" t="s">
        <v>248</v>
      </c>
      <c r="I13" s="41" t="s">
        <v>248</v>
      </c>
      <c r="J13" s="59"/>
      <c r="K13" s="60">
        <v>-1300000000</v>
      </c>
      <c r="L13" s="60">
        <v>0</v>
      </c>
      <c r="M13" s="60">
        <v>0</v>
      </c>
      <c r="N13" s="60">
        <v>0</v>
      </c>
      <c r="O13" s="61"/>
      <c r="P13" s="41" t="s">
        <v>249</v>
      </c>
      <c r="Q13" s="41" t="s">
        <v>904</v>
      </c>
      <c r="R13" s="41"/>
      <c r="S13" s="41"/>
    </row>
    <row r="14" spans="2:19" ht="20.100000000000001" customHeight="1" x14ac:dyDescent="0.25">
      <c r="C14" s="57" t="s">
        <v>263</v>
      </c>
      <c r="D14" s="44" t="s">
        <v>264</v>
      </c>
      <c r="E14" s="41" t="s">
        <v>258</v>
      </c>
      <c r="F14" s="41" t="s">
        <v>248</v>
      </c>
      <c r="G14" s="58">
        <v>1</v>
      </c>
      <c r="H14" s="41" t="s">
        <v>248</v>
      </c>
      <c r="I14" s="41" t="s">
        <v>248</v>
      </c>
      <c r="J14" s="59"/>
      <c r="K14" s="60">
        <v>-1300000000</v>
      </c>
      <c r="L14" s="60">
        <v>0</v>
      </c>
      <c r="M14" s="60">
        <v>0</v>
      </c>
      <c r="N14" s="60">
        <v>0</v>
      </c>
      <c r="O14" s="61"/>
      <c r="P14" s="41" t="s">
        <v>143</v>
      </c>
      <c r="Q14" s="41" t="s">
        <v>904</v>
      </c>
      <c r="R14" s="41"/>
      <c r="S14" s="41"/>
    </row>
    <row r="15" spans="2:19" ht="20.100000000000001" customHeight="1" x14ac:dyDescent="0.25">
      <c r="C15" s="57" t="s">
        <v>265</v>
      </c>
      <c r="D15" s="44" t="s">
        <v>266</v>
      </c>
      <c r="E15" s="41" t="s">
        <v>248</v>
      </c>
      <c r="F15" s="41" t="s">
        <v>248</v>
      </c>
      <c r="G15" s="58"/>
      <c r="H15" s="41" t="s">
        <v>248</v>
      </c>
      <c r="I15" s="41" t="s">
        <v>248</v>
      </c>
      <c r="J15" s="59"/>
      <c r="K15" s="60">
        <v>0</v>
      </c>
      <c r="L15" s="60">
        <v>0</v>
      </c>
      <c r="M15" s="60">
        <v>0</v>
      </c>
      <c r="N15" s="60">
        <v>0</v>
      </c>
      <c r="O15" s="61"/>
      <c r="P15" s="41" t="s">
        <v>143</v>
      </c>
      <c r="Q15" s="41" t="s">
        <v>904</v>
      </c>
      <c r="R15" s="41"/>
      <c r="S15" s="41"/>
    </row>
    <row r="16" spans="2:19" ht="20.100000000000001" customHeight="1" x14ac:dyDescent="0.25">
      <c r="C16" s="57" t="s">
        <v>267</v>
      </c>
      <c r="D16" s="44" t="s">
        <v>268</v>
      </c>
      <c r="E16" s="41" t="s">
        <v>248</v>
      </c>
      <c r="F16" s="41" t="s">
        <v>248</v>
      </c>
      <c r="G16" s="58"/>
      <c r="H16" s="41" t="s">
        <v>248</v>
      </c>
      <c r="I16" s="41" t="s">
        <v>248</v>
      </c>
      <c r="J16" s="59"/>
      <c r="K16" s="60">
        <v>0</v>
      </c>
      <c r="L16" s="60">
        <v>0</v>
      </c>
      <c r="M16" s="60">
        <v>0</v>
      </c>
      <c r="N16" s="60">
        <v>0</v>
      </c>
      <c r="O16" s="61"/>
      <c r="P16" s="41" t="s">
        <v>143</v>
      </c>
      <c r="Q16" s="41" t="s">
        <v>904</v>
      </c>
      <c r="R16" s="41"/>
      <c r="S16" s="41"/>
    </row>
    <row r="17" spans="3:17" ht="20.100000000000001" customHeight="1" x14ac:dyDescent="0.25">
      <c r="C17" s="57" t="s">
        <v>269</v>
      </c>
      <c r="D17" s="44" t="s">
        <v>270</v>
      </c>
      <c r="E17" s="41" t="s">
        <v>248</v>
      </c>
      <c r="F17" s="41" t="s">
        <v>248</v>
      </c>
      <c r="G17" s="58"/>
      <c r="H17" s="41" t="s">
        <v>248</v>
      </c>
      <c r="I17" s="41" t="s">
        <v>248</v>
      </c>
      <c r="J17" s="59"/>
      <c r="K17" s="60">
        <v>0</v>
      </c>
      <c r="L17" s="60">
        <v>0</v>
      </c>
      <c r="M17" s="60">
        <v>0</v>
      </c>
      <c r="N17" s="60">
        <v>0</v>
      </c>
      <c r="O17" s="61"/>
      <c r="P17" s="41" t="s">
        <v>249</v>
      </c>
      <c r="Q17" s="41" t="s">
        <v>904</v>
      </c>
      <c r="R17" s="41"/>
      <c r="S17" s="41"/>
    </row>
    <row r="18" spans="3:17" ht="20.100000000000001" customHeight="1" x14ac:dyDescent="0.25">
      <c r="C18" s="57" t="s">
        <v>271</v>
      </c>
      <c r="D18" s="44" t="s">
        <v>272</v>
      </c>
      <c r="E18" s="41" t="s">
        <v>248</v>
      </c>
      <c r="F18" s="41" t="s">
        <v>248</v>
      </c>
      <c r="G18" s="58"/>
      <c r="H18" s="41" t="s">
        <v>248</v>
      </c>
      <c r="I18" s="41" t="s">
        <v>248</v>
      </c>
      <c r="J18" s="59"/>
      <c r="K18" s="60">
        <v>0</v>
      </c>
      <c r="L18" s="60">
        <v>0</v>
      </c>
      <c r="M18" s="60">
        <v>0</v>
      </c>
      <c r="N18" s="60">
        <v>0</v>
      </c>
      <c r="O18" s="61"/>
      <c r="P18" s="41" t="s">
        <v>143</v>
      </c>
      <c r="Q18" s="41" t="s">
        <v>904</v>
      </c>
      <c r="R18" s="41"/>
      <c r="S18" s="41"/>
    </row>
    <row r="19" spans="3:17" ht="20.100000000000001" customHeight="1" x14ac:dyDescent="0.25">
      <c r="C19" s="57" t="s">
        <v>273</v>
      </c>
      <c r="D19" s="44" t="s">
        <v>274</v>
      </c>
      <c r="E19" s="41" t="s">
        <v>248</v>
      </c>
      <c r="F19" s="41" t="s">
        <v>248</v>
      </c>
      <c r="G19" s="58"/>
      <c r="H19" s="41" t="s">
        <v>248</v>
      </c>
      <c r="I19" s="41" t="s">
        <v>248</v>
      </c>
      <c r="J19" s="59"/>
      <c r="K19" s="60">
        <v>0</v>
      </c>
      <c r="L19" s="60">
        <v>0</v>
      </c>
      <c r="M19" s="60">
        <v>0</v>
      </c>
      <c r="N19" s="60">
        <v>0</v>
      </c>
      <c r="O19" s="61"/>
      <c r="P19" s="41" t="s">
        <v>143</v>
      </c>
      <c r="Q19" s="41" t="s">
        <v>904</v>
      </c>
      <c r="R19" s="41"/>
      <c r="S19" s="41"/>
    </row>
    <row r="20" spans="3:17" ht="20.100000000000001" customHeight="1" x14ac:dyDescent="0.25">
      <c r="C20" s="57" t="s">
        <v>275</v>
      </c>
      <c r="D20" s="44" t="s">
        <v>276</v>
      </c>
      <c r="E20" s="41" t="s">
        <v>248</v>
      </c>
      <c r="F20" s="41" t="s">
        <v>248</v>
      </c>
      <c r="G20" s="58"/>
      <c r="H20" s="41" t="s">
        <v>248</v>
      </c>
      <c r="I20" s="41" t="s">
        <v>248</v>
      </c>
      <c r="J20" s="59"/>
      <c r="K20" s="60">
        <v>0</v>
      </c>
      <c r="L20" s="60">
        <v>0</v>
      </c>
      <c r="M20" s="60">
        <v>0</v>
      </c>
      <c r="N20" s="60">
        <v>0</v>
      </c>
      <c r="O20" s="61"/>
      <c r="P20" s="41" t="s">
        <v>143</v>
      </c>
      <c r="Q20" s="41" t="s">
        <v>904</v>
      </c>
      <c r="R20" s="41"/>
      <c r="S20" s="41"/>
    </row>
    <row r="21" spans="3:17" ht="20.100000000000001" customHeight="1" x14ac:dyDescent="0.25">
      <c r="C21" s="57" t="s">
        <v>277</v>
      </c>
      <c r="D21" s="44" t="s">
        <v>278</v>
      </c>
      <c r="E21" s="41" t="s">
        <v>248</v>
      </c>
      <c r="F21" s="41" t="s">
        <v>248</v>
      </c>
      <c r="G21" s="58"/>
      <c r="H21" s="41" t="s">
        <v>248</v>
      </c>
      <c r="I21" s="41" t="s">
        <v>248</v>
      </c>
      <c r="J21" s="59"/>
      <c r="K21" s="60">
        <v>0</v>
      </c>
      <c r="L21" s="60">
        <v>0</v>
      </c>
      <c r="M21" s="60">
        <v>0</v>
      </c>
      <c r="N21" s="60">
        <v>0</v>
      </c>
      <c r="O21" s="61"/>
      <c r="P21" s="41" t="s">
        <v>904</v>
      </c>
      <c r="Q21" s="41" t="s">
        <v>904</v>
      </c>
      <c r="R21" s="41"/>
      <c r="S21" s="41"/>
    </row>
    <row r="22" spans="3:17" ht="20.100000000000001" customHeight="1" x14ac:dyDescent="0.25">
      <c r="C22" s="57" t="s">
        <v>279</v>
      </c>
      <c r="D22" s="44" t="s">
        <v>280</v>
      </c>
      <c r="E22" s="41" t="s">
        <v>258</v>
      </c>
      <c r="F22" s="41" t="s">
        <v>248</v>
      </c>
      <c r="G22" s="58">
        <v>1</v>
      </c>
      <c r="H22" s="41" t="s">
        <v>248</v>
      </c>
      <c r="I22" s="41" t="s">
        <v>248</v>
      </c>
      <c r="J22" s="59"/>
      <c r="K22" s="60">
        <v>1500000</v>
      </c>
      <c r="L22" s="60">
        <v>2000000</v>
      </c>
      <c r="M22" s="60">
        <v>0</v>
      </c>
      <c r="N22" s="60">
        <v>250000</v>
      </c>
      <c r="O22" s="61"/>
      <c r="P22" s="41" t="s">
        <v>904</v>
      </c>
      <c r="Q22" s="41" t="s">
        <v>904</v>
      </c>
      <c r="R22" s="41"/>
      <c r="S22" s="41"/>
    </row>
    <row r="23" spans="3:17" ht="20.100000000000001" customHeight="1" x14ac:dyDescent="0.25">
      <c r="C23" s="57" t="s">
        <v>801</v>
      </c>
      <c r="D23" s="44" t="s">
        <v>802</v>
      </c>
      <c r="E23" s="41" t="s">
        <v>248</v>
      </c>
      <c r="F23" s="41" t="s">
        <v>248</v>
      </c>
      <c r="G23" s="58"/>
      <c r="H23" s="41" t="s">
        <v>248</v>
      </c>
      <c r="I23" s="41" t="s">
        <v>248</v>
      </c>
      <c r="J23" s="59"/>
      <c r="K23" s="60">
        <v>0</v>
      </c>
      <c r="L23" s="60">
        <v>0</v>
      </c>
      <c r="M23" s="60">
        <v>0</v>
      </c>
      <c r="N23" s="60">
        <v>0</v>
      </c>
      <c r="O23" s="61"/>
      <c r="P23" s="41" t="s">
        <v>249</v>
      </c>
      <c r="Q23" s="41" t="s">
        <v>904</v>
      </c>
      <c r="R23" s="41"/>
      <c r="S23" s="41"/>
    </row>
    <row r="24" spans="3:17" ht="20.100000000000001" customHeight="1" x14ac:dyDescent="0.25">
      <c r="C24" s="57" t="s">
        <v>904</v>
      </c>
      <c r="D24" s="44"/>
      <c r="E24" s="41" t="s">
        <v>904</v>
      </c>
      <c r="F24" s="41" t="s">
        <v>904</v>
      </c>
      <c r="G24" s="58"/>
      <c r="H24" s="41" t="s">
        <v>904</v>
      </c>
      <c r="I24" s="41" t="s">
        <v>904</v>
      </c>
      <c r="J24" s="59"/>
      <c r="K24" s="60"/>
      <c r="L24" s="60"/>
      <c r="M24" s="60"/>
      <c r="N24" s="60"/>
      <c r="O24" s="61"/>
      <c r="P24" s="41" t="s">
        <v>904</v>
      </c>
      <c r="Q24" s="41" t="s">
        <v>904</v>
      </c>
      <c r="R24" s="41"/>
      <c r="S24" s="41"/>
    </row>
    <row r="25" spans="3:17" ht="20.100000000000001" customHeight="1" x14ac:dyDescent="0.25">
      <c r="C25" s="57" t="s">
        <v>904</v>
      </c>
      <c r="D25" s="44"/>
      <c r="E25" s="41" t="s">
        <v>904</v>
      </c>
      <c r="F25" s="41" t="s">
        <v>904</v>
      </c>
      <c r="G25" s="58"/>
      <c r="H25" s="41" t="s">
        <v>904</v>
      </c>
      <c r="I25" s="41" t="s">
        <v>904</v>
      </c>
      <c r="J25" s="59"/>
      <c r="K25" s="60"/>
      <c r="L25" s="60"/>
      <c r="M25" s="60"/>
      <c r="N25" s="60"/>
      <c r="O25" s="61"/>
      <c r="P25" s="41" t="s">
        <v>904</v>
      </c>
      <c r="Q25" s="41" t="s">
        <v>904</v>
      </c>
      <c r="R25" s="41"/>
      <c r="S25" s="41"/>
    </row>
    <row r="26" spans="3:17" ht="20.100000000000001" customHeight="1" x14ac:dyDescent="0.25">
      <c r="C26" s="57" t="s">
        <v>904</v>
      </c>
      <c r="D26" s="44"/>
      <c r="E26" s="41" t="s">
        <v>904</v>
      </c>
      <c r="F26" s="41" t="s">
        <v>904</v>
      </c>
      <c r="G26" s="58"/>
      <c r="H26" s="41" t="s">
        <v>904</v>
      </c>
      <c r="I26" s="41" t="s">
        <v>904</v>
      </c>
      <c r="J26" s="59"/>
      <c r="K26" s="60"/>
      <c r="L26" s="60"/>
      <c r="M26" s="60"/>
      <c r="N26" s="60"/>
      <c r="O26" s="61"/>
      <c r="P26" s="41" t="s">
        <v>904</v>
      </c>
      <c r="Q26" s="41" t="s">
        <v>904</v>
      </c>
      <c r="R26" s="41"/>
      <c r="S26" s="41"/>
    </row>
    <row r="27" spans="3:17" ht="20.100000000000001" customHeight="1" x14ac:dyDescent="0.25">
      <c r="C27" s="57" t="s">
        <v>904</v>
      </c>
      <c r="D27" s="44"/>
      <c r="E27" s="41" t="s">
        <v>904</v>
      </c>
      <c r="F27" s="41" t="s">
        <v>904</v>
      </c>
      <c r="G27" s="58"/>
      <c r="H27" s="41" t="s">
        <v>904</v>
      </c>
      <c r="I27" s="41" t="s">
        <v>904</v>
      </c>
      <c r="J27" s="59"/>
      <c r="K27" s="60"/>
      <c r="L27" s="60"/>
      <c r="M27" s="60"/>
      <c r="N27" s="60"/>
      <c r="O27" s="61"/>
      <c r="P27" s="41" t="s">
        <v>904</v>
      </c>
      <c r="Q27" s="41" t="s">
        <v>904</v>
      </c>
      <c r="R27" s="41"/>
      <c r="S27" s="41"/>
    </row>
    <row r="28" spans="3:17" ht="20.100000000000001" customHeight="1" x14ac:dyDescent="0.25">
      <c r="C28" s="57" t="s">
        <v>904</v>
      </c>
      <c r="D28" s="44"/>
      <c r="E28" s="41" t="s">
        <v>904</v>
      </c>
      <c r="F28" s="41" t="s">
        <v>904</v>
      </c>
      <c r="G28" s="58"/>
      <c r="H28" s="41" t="s">
        <v>904</v>
      </c>
      <c r="I28" s="41" t="s">
        <v>904</v>
      </c>
      <c r="J28" s="59"/>
      <c r="K28" s="60"/>
      <c r="L28" s="60"/>
      <c r="M28" s="60"/>
      <c r="N28" s="60"/>
      <c r="O28" s="61"/>
      <c r="P28" s="41" t="s">
        <v>904</v>
      </c>
      <c r="Q28" s="41" t="s">
        <v>904</v>
      </c>
      <c r="R28" s="41"/>
      <c r="S28" s="41"/>
    </row>
    <row r="29" spans="3:17" ht="20.100000000000001" customHeight="1" x14ac:dyDescent="0.25">
      <c r="C29" s="57" t="s">
        <v>904</v>
      </c>
      <c r="D29" s="44"/>
      <c r="E29" s="41" t="s">
        <v>904</v>
      </c>
      <c r="F29" s="41" t="s">
        <v>904</v>
      </c>
      <c r="G29" s="58"/>
      <c r="H29" s="41" t="s">
        <v>904</v>
      </c>
      <c r="I29" s="41" t="s">
        <v>904</v>
      </c>
      <c r="J29" s="59"/>
      <c r="K29" s="60"/>
      <c r="L29" s="60"/>
      <c r="M29" s="60"/>
      <c r="N29" s="60"/>
      <c r="O29" s="61"/>
      <c r="P29" s="41" t="s">
        <v>904</v>
      </c>
      <c r="Q29" s="41" t="s">
        <v>904</v>
      </c>
      <c r="R29" s="41"/>
      <c r="S29" s="41"/>
    </row>
    <row r="30" spans="3:17" ht="20.100000000000001" customHeight="1" x14ac:dyDescent="0.25">
      <c r="C30" s="57" t="s">
        <v>904</v>
      </c>
      <c r="D30" s="44"/>
      <c r="E30" s="41" t="s">
        <v>904</v>
      </c>
      <c r="F30" s="41" t="s">
        <v>904</v>
      </c>
      <c r="G30" s="58"/>
      <c r="H30" s="41" t="s">
        <v>904</v>
      </c>
      <c r="I30" s="41" t="s">
        <v>904</v>
      </c>
      <c r="J30" s="59"/>
      <c r="K30" s="60"/>
      <c r="L30" s="60"/>
      <c r="M30" s="60"/>
      <c r="N30" s="60"/>
      <c r="O30" s="61"/>
      <c r="P30" s="41" t="s">
        <v>904</v>
      </c>
      <c r="Q30" s="41" t="s">
        <v>904</v>
      </c>
      <c r="R30" s="41"/>
      <c r="S30" s="41"/>
    </row>
    <row r="31" spans="3:17" ht="20.100000000000001" customHeight="1" x14ac:dyDescent="0.25">
      <c r="C31" s="57" t="s">
        <v>904</v>
      </c>
      <c r="D31" s="44"/>
      <c r="E31" s="41" t="s">
        <v>904</v>
      </c>
      <c r="F31" s="41" t="s">
        <v>904</v>
      </c>
      <c r="G31" s="58"/>
      <c r="H31" s="41" t="s">
        <v>904</v>
      </c>
      <c r="I31" s="41" t="s">
        <v>904</v>
      </c>
      <c r="J31" s="59"/>
      <c r="K31" s="60"/>
      <c r="L31" s="60"/>
      <c r="M31" s="60"/>
      <c r="N31" s="60"/>
      <c r="O31" s="61"/>
      <c r="P31" s="41" t="s">
        <v>904</v>
      </c>
      <c r="Q31" s="41" t="s">
        <v>904</v>
      </c>
      <c r="R31" s="41"/>
      <c r="S31" s="41"/>
    </row>
    <row r="32" spans="3:17" ht="20.100000000000001" customHeight="1" x14ac:dyDescent="0.25">
      <c r="C32" s="57" t="s">
        <v>904</v>
      </c>
      <c r="D32" s="44"/>
      <c r="E32" s="41" t="s">
        <v>904</v>
      </c>
      <c r="F32" s="41" t="s">
        <v>904</v>
      </c>
      <c r="G32" s="58"/>
      <c r="H32" s="41" t="s">
        <v>904</v>
      </c>
      <c r="I32" s="41" t="s">
        <v>904</v>
      </c>
      <c r="J32" s="59"/>
      <c r="K32" s="60"/>
      <c r="L32" s="60"/>
      <c r="M32" s="60"/>
      <c r="N32" s="60"/>
      <c r="O32" s="61"/>
      <c r="P32" s="41" t="s">
        <v>904</v>
      </c>
      <c r="Q32" s="41" t="s">
        <v>904</v>
      </c>
      <c r="R32" s="41"/>
      <c r="S32" s="41"/>
    </row>
    <row r="33" spans="3:17" ht="20.100000000000001" customHeight="1" x14ac:dyDescent="0.25">
      <c r="C33" s="57" t="s">
        <v>904</v>
      </c>
      <c r="D33" s="44"/>
      <c r="E33" s="41" t="s">
        <v>904</v>
      </c>
      <c r="F33" s="41" t="s">
        <v>904</v>
      </c>
      <c r="G33" s="58"/>
      <c r="H33" s="41" t="s">
        <v>904</v>
      </c>
      <c r="I33" s="41" t="s">
        <v>904</v>
      </c>
      <c r="J33" s="59"/>
      <c r="K33" s="60"/>
      <c r="L33" s="60"/>
      <c r="M33" s="60"/>
      <c r="N33" s="60"/>
      <c r="O33" s="61"/>
      <c r="P33" s="41" t="s">
        <v>904</v>
      </c>
      <c r="Q33" s="41" t="s">
        <v>904</v>
      </c>
      <c r="R33" s="41"/>
      <c r="S33" s="41"/>
    </row>
    <row r="34" spans="3:17" ht="20.100000000000001" customHeight="1" x14ac:dyDescent="0.25">
      <c r="C34" s="57" t="s">
        <v>904</v>
      </c>
      <c r="D34" s="44"/>
      <c r="E34" s="41" t="s">
        <v>904</v>
      </c>
      <c r="F34" s="41" t="s">
        <v>904</v>
      </c>
      <c r="G34" s="58"/>
      <c r="H34" s="41" t="s">
        <v>904</v>
      </c>
      <c r="I34" s="41" t="s">
        <v>904</v>
      </c>
      <c r="J34" s="59"/>
      <c r="K34" s="60"/>
      <c r="L34" s="60"/>
      <c r="M34" s="60"/>
      <c r="N34" s="60"/>
      <c r="O34" s="61"/>
      <c r="P34" s="41" t="s">
        <v>904</v>
      </c>
      <c r="Q34" s="41" t="s">
        <v>904</v>
      </c>
      <c r="R34" s="41"/>
      <c r="S34" s="41"/>
    </row>
    <row r="35" spans="3:17" ht="20.100000000000001" customHeight="1" x14ac:dyDescent="0.25">
      <c r="C35" s="57" t="s">
        <v>904</v>
      </c>
      <c r="D35" s="44"/>
      <c r="E35" s="41" t="s">
        <v>904</v>
      </c>
      <c r="F35" s="41" t="s">
        <v>904</v>
      </c>
      <c r="G35" s="58"/>
      <c r="H35" s="41" t="s">
        <v>904</v>
      </c>
      <c r="I35" s="41" t="s">
        <v>904</v>
      </c>
      <c r="J35" s="59"/>
      <c r="K35" s="60"/>
      <c r="L35" s="60"/>
      <c r="M35" s="60"/>
      <c r="N35" s="60"/>
      <c r="O35" s="61"/>
      <c r="P35" s="41" t="s">
        <v>904</v>
      </c>
      <c r="Q35" s="41" t="s">
        <v>904</v>
      </c>
      <c r="R35" s="41"/>
      <c r="S35" s="41"/>
    </row>
    <row r="36" spans="3:17" ht="20.100000000000001" customHeight="1" x14ac:dyDescent="0.25">
      <c r="C36" s="57" t="s">
        <v>904</v>
      </c>
      <c r="D36" s="44"/>
      <c r="E36" s="41" t="s">
        <v>904</v>
      </c>
      <c r="F36" s="41" t="s">
        <v>904</v>
      </c>
      <c r="G36" s="58"/>
      <c r="H36" s="41" t="s">
        <v>904</v>
      </c>
      <c r="I36" s="41" t="s">
        <v>904</v>
      </c>
      <c r="J36" s="59"/>
      <c r="K36" s="60"/>
      <c r="L36" s="60"/>
      <c r="M36" s="60"/>
      <c r="N36" s="60"/>
      <c r="O36" s="61"/>
      <c r="P36" s="41" t="s">
        <v>904</v>
      </c>
      <c r="Q36" s="41" t="s">
        <v>904</v>
      </c>
      <c r="R36" s="41"/>
      <c r="S36" s="41"/>
    </row>
    <row r="37" spans="3:17" ht="20.100000000000001" customHeight="1" x14ac:dyDescent="0.25">
      <c r="C37" s="57" t="s">
        <v>904</v>
      </c>
      <c r="D37" s="44"/>
      <c r="E37" s="41" t="s">
        <v>904</v>
      </c>
      <c r="F37" s="41" t="s">
        <v>904</v>
      </c>
      <c r="G37" s="58"/>
      <c r="H37" s="41" t="s">
        <v>904</v>
      </c>
      <c r="I37" s="41" t="s">
        <v>904</v>
      </c>
      <c r="J37" s="59"/>
      <c r="K37" s="60"/>
      <c r="L37" s="60"/>
      <c r="M37" s="60"/>
      <c r="N37" s="60"/>
      <c r="O37" s="61"/>
      <c r="P37" s="41" t="s">
        <v>904</v>
      </c>
      <c r="Q37" s="41" t="s">
        <v>904</v>
      </c>
      <c r="R37" s="41"/>
      <c r="S37" s="41"/>
    </row>
    <row r="38" spans="3:17" ht="20.100000000000001" customHeight="1" x14ac:dyDescent="0.25">
      <c r="C38" s="57" t="s">
        <v>904</v>
      </c>
      <c r="D38" s="44"/>
      <c r="E38" s="41" t="s">
        <v>904</v>
      </c>
      <c r="F38" s="41" t="s">
        <v>904</v>
      </c>
      <c r="G38" s="58"/>
      <c r="H38" s="41" t="s">
        <v>904</v>
      </c>
      <c r="I38" s="41" t="s">
        <v>904</v>
      </c>
      <c r="J38" s="59"/>
      <c r="K38" s="60"/>
      <c r="L38" s="60"/>
      <c r="M38" s="60"/>
      <c r="N38" s="60"/>
      <c r="O38" s="61"/>
      <c r="P38" s="41" t="s">
        <v>904</v>
      </c>
      <c r="Q38" s="41" t="s">
        <v>904</v>
      </c>
      <c r="R38" s="41"/>
      <c r="S38" s="41"/>
    </row>
    <row r="39" spans="3:17" ht="20.100000000000001" customHeight="1" x14ac:dyDescent="0.25">
      <c r="C39" s="57" t="s">
        <v>904</v>
      </c>
      <c r="D39" s="44"/>
      <c r="E39" s="41" t="s">
        <v>904</v>
      </c>
      <c r="F39" s="41" t="s">
        <v>904</v>
      </c>
      <c r="G39" s="58"/>
      <c r="H39" s="41" t="s">
        <v>904</v>
      </c>
      <c r="I39" s="41" t="s">
        <v>904</v>
      </c>
      <c r="J39" s="59"/>
      <c r="K39" s="60"/>
      <c r="L39" s="60"/>
      <c r="M39" s="60"/>
      <c r="N39" s="60"/>
      <c r="O39" s="61"/>
      <c r="P39" s="41" t="s">
        <v>904</v>
      </c>
      <c r="Q39" s="41" t="s">
        <v>904</v>
      </c>
      <c r="R39" s="41"/>
      <c r="S39" s="41"/>
    </row>
    <row r="40" spans="3:17" ht="20.100000000000001" customHeight="1" x14ac:dyDescent="0.25">
      <c r="C40" s="57" t="s">
        <v>904</v>
      </c>
      <c r="D40" s="44"/>
      <c r="E40" s="41" t="s">
        <v>904</v>
      </c>
      <c r="F40" s="41" t="s">
        <v>904</v>
      </c>
      <c r="G40" s="58"/>
      <c r="H40" s="41" t="s">
        <v>904</v>
      </c>
      <c r="I40" s="41" t="s">
        <v>904</v>
      </c>
      <c r="J40" s="59"/>
      <c r="K40" s="60"/>
      <c r="L40" s="60"/>
      <c r="M40" s="60"/>
      <c r="N40" s="60"/>
      <c r="O40" s="61"/>
      <c r="P40" s="41" t="s">
        <v>904</v>
      </c>
      <c r="Q40" s="41" t="s">
        <v>904</v>
      </c>
      <c r="R40" s="41"/>
      <c r="S40" s="41"/>
    </row>
    <row r="41" spans="3:17" ht="20.100000000000001" customHeight="1" x14ac:dyDescent="0.25">
      <c r="C41" s="57" t="s">
        <v>904</v>
      </c>
      <c r="D41" s="44"/>
      <c r="E41" s="41" t="s">
        <v>904</v>
      </c>
      <c r="F41" s="41" t="s">
        <v>904</v>
      </c>
      <c r="G41" s="58"/>
      <c r="H41" s="41" t="s">
        <v>904</v>
      </c>
      <c r="I41" s="41" t="s">
        <v>904</v>
      </c>
      <c r="J41" s="59"/>
      <c r="K41" s="60"/>
      <c r="L41" s="60"/>
      <c r="M41" s="60"/>
      <c r="N41" s="60"/>
      <c r="O41" s="61"/>
      <c r="P41" s="41" t="s">
        <v>904</v>
      </c>
      <c r="Q41" s="41" t="s">
        <v>904</v>
      </c>
      <c r="R41" s="41"/>
      <c r="S41" s="41"/>
    </row>
    <row r="42" spans="3:17" ht="20.100000000000001" customHeight="1" x14ac:dyDescent="0.25">
      <c r="C42" s="57" t="s">
        <v>904</v>
      </c>
      <c r="D42" s="44"/>
      <c r="E42" s="41" t="s">
        <v>904</v>
      </c>
      <c r="F42" s="41" t="s">
        <v>904</v>
      </c>
      <c r="G42" s="58"/>
      <c r="H42" s="41" t="s">
        <v>904</v>
      </c>
      <c r="I42" s="41" t="s">
        <v>904</v>
      </c>
      <c r="J42" s="59"/>
      <c r="K42" s="60"/>
      <c r="L42" s="60"/>
      <c r="M42" s="60"/>
      <c r="N42" s="60"/>
      <c r="O42" s="61"/>
      <c r="P42" s="41" t="s">
        <v>904</v>
      </c>
      <c r="Q42" s="41" t="s">
        <v>904</v>
      </c>
      <c r="R42" s="41"/>
      <c r="S42" s="41"/>
    </row>
    <row r="43" spans="3:17" ht="20.100000000000001" customHeight="1" x14ac:dyDescent="0.25">
      <c r="C43" s="57" t="s">
        <v>904</v>
      </c>
      <c r="D43" s="44"/>
      <c r="E43" s="41" t="s">
        <v>904</v>
      </c>
      <c r="F43" s="41" t="s">
        <v>904</v>
      </c>
      <c r="G43" s="58"/>
      <c r="H43" s="41" t="s">
        <v>904</v>
      </c>
      <c r="I43" s="41" t="s">
        <v>904</v>
      </c>
      <c r="J43" s="59"/>
      <c r="K43" s="60"/>
      <c r="L43" s="60"/>
      <c r="M43" s="60"/>
      <c r="N43" s="60"/>
      <c r="O43" s="61"/>
      <c r="P43" s="41" t="s">
        <v>904</v>
      </c>
      <c r="Q43" s="41" t="s">
        <v>904</v>
      </c>
      <c r="R43" s="41"/>
      <c r="S43" s="41"/>
    </row>
    <row r="44" spans="3:17" ht="20.100000000000001" customHeight="1" x14ac:dyDescent="0.25">
      <c r="C44" s="57" t="s">
        <v>904</v>
      </c>
      <c r="D44" s="44"/>
      <c r="E44" s="41" t="s">
        <v>904</v>
      </c>
      <c r="F44" s="41" t="s">
        <v>904</v>
      </c>
      <c r="G44" s="58"/>
      <c r="H44" s="41" t="s">
        <v>904</v>
      </c>
      <c r="I44" s="41" t="s">
        <v>904</v>
      </c>
      <c r="J44" s="59"/>
      <c r="K44" s="60"/>
      <c r="L44" s="60"/>
      <c r="M44" s="60"/>
      <c r="N44" s="60"/>
      <c r="O44" s="61"/>
      <c r="P44" s="41" t="s">
        <v>904</v>
      </c>
      <c r="Q44" s="41" t="s">
        <v>904</v>
      </c>
      <c r="R44" s="41"/>
      <c r="S44" s="41"/>
    </row>
    <row r="45" spans="3:17" ht="20.100000000000001" customHeight="1" x14ac:dyDescent="0.25">
      <c r="C45" s="57" t="s">
        <v>904</v>
      </c>
      <c r="D45" s="44"/>
      <c r="E45" s="41" t="s">
        <v>904</v>
      </c>
      <c r="F45" s="41" t="s">
        <v>904</v>
      </c>
      <c r="G45" s="58"/>
      <c r="H45" s="41" t="s">
        <v>904</v>
      </c>
      <c r="I45" s="41" t="s">
        <v>904</v>
      </c>
      <c r="J45" s="59"/>
      <c r="K45" s="60"/>
      <c r="L45" s="60"/>
      <c r="M45" s="60"/>
      <c r="N45" s="60"/>
      <c r="O45" s="61"/>
      <c r="P45" s="41" t="s">
        <v>904</v>
      </c>
      <c r="Q45" s="41" t="s">
        <v>904</v>
      </c>
      <c r="R45" s="41"/>
      <c r="S45" s="41"/>
    </row>
    <row r="46" spans="3:17" ht="20.100000000000001" customHeight="1" x14ac:dyDescent="0.25">
      <c r="C46" s="57" t="s">
        <v>904</v>
      </c>
      <c r="D46" s="44"/>
      <c r="E46" s="41" t="s">
        <v>904</v>
      </c>
      <c r="F46" s="41" t="s">
        <v>904</v>
      </c>
      <c r="G46" s="58"/>
      <c r="H46" s="41" t="s">
        <v>904</v>
      </c>
      <c r="I46" s="41" t="s">
        <v>904</v>
      </c>
      <c r="J46" s="59"/>
      <c r="K46" s="60"/>
      <c r="L46" s="60"/>
      <c r="M46" s="60"/>
      <c r="N46" s="60"/>
      <c r="O46" s="61"/>
      <c r="P46" s="41" t="s">
        <v>904</v>
      </c>
      <c r="Q46" s="41" t="s">
        <v>904</v>
      </c>
      <c r="R46" s="41"/>
      <c r="S46" s="41"/>
    </row>
    <row r="47" spans="3:17" ht="20.100000000000001" customHeight="1" x14ac:dyDescent="0.25">
      <c r="C47" s="57" t="s">
        <v>904</v>
      </c>
      <c r="D47" s="44"/>
      <c r="E47" s="41" t="s">
        <v>904</v>
      </c>
      <c r="F47" s="41" t="s">
        <v>904</v>
      </c>
      <c r="G47" s="58"/>
      <c r="H47" s="41" t="s">
        <v>904</v>
      </c>
      <c r="I47" s="41" t="s">
        <v>904</v>
      </c>
      <c r="J47" s="59"/>
      <c r="K47" s="60"/>
      <c r="L47" s="60"/>
      <c r="M47" s="60"/>
      <c r="N47" s="60"/>
      <c r="O47" s="61"/>
      <c r="P47" s="41" t="s">
        <v>904</v>
      </c>
      <c r="Q47" s="41" t="s">
        <v>904</v>
      </c>
      <c r="R47" s="41"/>
      <c r="S47" s="41"/>
    </row>
    <row r="48" spans="3:17" ht="20.100000000000001" customHeight="1" x14ac:dyDescent="0.25">
      <c r="C48" s="57" t="s">
        <v>904</v>
      </c>
      <c r="D48" s="44"/>
      <c r="E48" s="41" t="s">
        <v>904</v>
      </c>
      <c r="F48" s="41" t="s">
        <v>904</v>
      </c>
      <c r="G48" s="58"/>
      <c r="H48" s="41" t="s">
        <v>904</v>
      </c>
      <c r="I48" s="41" t="s">
        <v>904</v>
      </c>
      <c r="J48" s="59"/>
      <c r="K48" s="60"/>
      <c r="L48" s="60"/>
      <c r="M48" s="60"/>
      <c r="N48" s="60"/>
      <c r="O48" s="61"/>
      <c r="P48" s="41" t="s">
        <v>904</v>
      </c>
      <c r="Q48" s="41" t="s">
        <v>904</v>
      </c>
      <c r="R48" s="41"/>
      <c r="S48" s="41"/>
    </row>
    <row r="49" spans="3:17" ht="20.100000000000001" customHeight="1" x14ac:dyDescent="0.25">
      <c r="C49" s="57" t="s">
        <v>904</v>
      </c>
      <c r="D49" s="44"/>
      <c r="E49" s="41" t="s">
        <v>904</v>
      </c>
      <c r="F49" s="41" t="s">
        <v>904</v>
      </c>
      <c r="G49" s="58"/>
      <c r="H49" s="41" t="s">
        <v>904</v>
      </c>
      <c r="I49" s="41" t="s">
        <v>904</v>
      </c>
      <c r="J49" s="59"/>
      <c r="K49" s="60"/>
      <c r="L49" s="60"/>
      <c r="M49" s="60"/>
      <c r="N49" s="60"/>
      <c r="O49" s="61"/>
      <c r="P49" s="41" t="s">
        <v>904</v>
      </c>
      <c r="Q49" s="41" t="s">
        <v>904</v>
      </c>
      <c r="R49" s="41"/>
      <c r="S49" s="41"/>
    </row>
    <row r="50" spans="3:17" ht="20.100000000000001" customHeight="1" x14ac:dyDescent="0.25">
      <c r="C50" s="57" t="s">
        <v>904</v>
      </c>
      <c r="D50" s="44"/>
      <c r="E50" s="41" t="s">
        <v>904</v>
      </c>
      <c r="F50" s="41" t="s">
        <v>904</v>
      </c>
      <c r="G50" s="58"/>
      <c r="H50" s="41" t="s">
        <v>904</v>
      </c>
      <c r="I50" s="41" t="s">
        <v>904</v>
      </c>
      <c r="J50" s="59"/>
      <c r="K50" s="60"/>
      <c r="L50" s="60"/>
      <c r="M50" s="60"/>
      <c r="N50" s="60"/>
      <c r="O50" s="61"/>
      <c r="P50" s="41" t="s">
        <v>904</v>
      </c>
      <c r="Q50" s="41" t="s">
        <v>904</v>
      </c>
      <c r="R50" s="41"/>
      <c r="S50" s="41"/>
    </row>
    <row r="51" spans="3:17" ht="20.100000000000001" customHeight="1" x14ac:dyDescent="0.25">
      <c r="C51" s="57" t="s">
        <v>904</v>
      </c>
      <c r="D51" s="44"/>
      <c r="E51" s="41" t="s">
        <v>904</v>
      </c>
      <c r="F51" s="41" t="s">
        <v>904</v>
      </c>
      <c r="G51" s="58"/>
      <c r="H51" s="41" t="s">
        <v>904</v>
      </c>
      <c r="I51" s="41" t="s">
        <v>904</v>
      </c>
      <c r="J51" s="59"/>
      <c r="K51" s="60"/>
      <c r="L51" s="60"/>
      <c r="M51" s="60"/>
      <c r="N51" s="60"/>
      <c r="O51" s="61"/>
      <c r="P51" s="41" t="s">
        <v>904</v>
      </c>
      <c r="Q51" s="41" t="s">
        <v>904</v>
      </c>
      <c r="R51" s="41"/>
      <c r="S51" s="41"/>
    </row>
    <row r="52" spans="3:17" ht="20.100000000000001" customHeight="1" x14ac:dyDescent="0.25">
      <c r="C52" s="57" t="s">
        <v>904</v>
      </c>
      <c r="D52" s="44"/>
      <c r="E52" s="41" t="s">
        <v>904</v>
      </c>
      <c r="F52" s="41" t="s">
        <v>904</v>
      </c>
      <c r="G52" s="58"/>
      <c r="H52" s="41" t="s">
        <v>904</v>
      </c>
      <c r="I52" s="41" t="s">
        <v>904</v>
      </c>
      <c r="J52" s="59"/>
      <c r="K52" s="60"/>
      <c r="L52" s="60"/>
      <c r="M52" s="60"/>
      <c r="N52" s="60"/>
      <c r="O52" s="61"/>
      <c r="P52" s="41" t="s">
        <v>904</v>
      </c>
      <c r="Q52" s="41" t="s">
        <v>904</v>
      </c>
      <c r="R52" s="41"/>
      <c r="S52" s="41"/>
    </row>
    <row r="53" spans="3:17" ht="20.100000000000001" customHeight="1" x14ac:dyDescent="0.25">
      <c r="C53" s="57" t="s">
        <v>904</v>
      </c>
      <c r="D53" s="44"/>
      <c r="E53" s="41" t="s">
        <v>904</v>
      </c>
      <c r="F53" s="41" t="s">
        <v>904</v>
      </c>
      <c r="G53" s="58"/>
      <c r="H53" s="41" t="s">
        <v>904</v>
      </c>
      <c r="I53" s="41" t="s">
        <v>904</v>
      </c>
      <c r="J53" s="59"/>
      <c r="K53" s="60"/>
      <c r="L53" s="60"/>
      <c r="M53" s="60"/>
      <c r="N53" s="60"/>
      <c r="O53" s="61"/>
      <c r="P53" s="41" t="s">
        <v>904</v>
      </c>
      <c r="Q53" s="41" t="s">
        <v>904</v>
      </c>
      <c r="R53" s="41"/>
      <c r="S53" s="41"/>
    </row>
    <row r="54" spans="3:17" ht="20.100000000000001" customHeight="1" x14ac:dyDescent="0.25">
      <c r="C54" s="57" t="s">
        <v>904</v>
      </c>
      <c r="D54" s="44"/>
      <c r="E54" s="41" t="s">
        <v>904</v>
      </c>
      <c r="F54" s="41" t="s">
        <v>904</v>
      </c>
      <c r="G54" s="58"/>
      <c r="H54" s="41" t="s">
        <v>904</v>
      </c>
      <c r="I54" s="41" t="s">
        <v>904</v>
      </c>
      <c r="J54" s="59"/>
      <c r="K54" s="60"/>
      <c r="L54" s="60"/>
      <c r="M54" s="60"/>
      <c r="N54" s="60"/>
      <c r="O54" s="61"/>
      <c r="P54" s="41" t="s">
        <v>904</v>
      </c>
      <c r="Q54" s="41" t="s">
        <v>904</v>
      </c>
      <c r="R54" s="41"/>
      <c r="S54" s="41"/>
    </row>
    <row r="55" spans="3:17" ht="20.100000000000001" customHeight="1" x14ac:dyDescent="0.25">
      <c r="C55" s="57" t="s">
        <v>904</v>
      </c>
      <c r="D55" s="44"/>
      <c r="E55" s="41" t="s">
        <v>904</v>
      </c>
      <c r="F55" s="41" t="s">
        <v>904</v>
      </c>
      <c r="G55" s="58"/>
      <c r="H55" s="41" t="s">
        <v>904</v>
      </c>
      <c r="I55" s="41" t="s">
        <v>904</v>
      </c>
      <c r="J55" s="59"/>
      <c r="K55" s="60"/>
      <c r="L55" s="60"/>
      <c r="M55" s="60"/>
      <c r="N55" s="60"/>
      <c r="O55" s="61"/>
      <c r="P55" s="41" t="s">
        <v>904</v>
      </c>
      <c r="Q55" s="41" t="s">
        <v>904</v>
      </c>
      <c r="R55" s="41"/>
      <c r="S55" s="41"/>
    </row>
    <row r="56" spans="3:17" ht="20.100000000000001" customHeight="1" x14ac:dyDescent="0.25">
      <c r="C56" s="57" t="s">
        <v>904</v>
      </c>
      <c r="D56" s="44"/>
      <c r="E56" s="41" t="s">
        <v>904</v>
      </c>
      <c r="F56" s="41" t="s">
        <v>904</v>
      </c>
      <c r="G56" s="58"/>
      <c r="H56" s="41" t="s">
        <v>904</v>
      </c>
      <c r="I56" s="41" t="s">
        <v>904</v>
      </c>
      <c r="J56" s="59"/>
      <c r="K56" s="60"/>
      <c r="L56" s="60"/>
      <c r="M56" s="60"/>
      <c r="N56" s="60"/>
      <c r="O56" s="61"/>
      <c r="P56" s="41" t="s">
        <v>904</v>
      </c>
      <c r="Q56" s="41" t="s">
        <v>904</v>
      </c>
      <c r="R56" s="41"/>
      <c r="S56" s="41"/>
    </row>
    <row r="57" spans="3:17" ht="20.100000000000001" customHeight="1" x14ac:dyDescent="0.25">
      <c r="C57" s="57" t="s">
        <v>904</v>
      </c>
      <c r="D57" s="44"/>
      <c r="E57" s="41" t="s">
        <v>904</v>
      </c>
      <c r="F57" s="41" t="s">
        <v>904</v>
      </c>
      <c r="G57" s="58"/>
      <c r="H57" s="41" t="s">
        <v>904</v>
      </c>
      <c r="I57" s="41" t="s">
        <v>904</v>
      </c>
      <c r="J57" s="59"/>
      <c r="K57" s="60"/>
      <c r="L57" s="60"/>
      <c r="M57" s="60"/>
      <c r="N57" s="60"/>
      <c r="O57" s="61"/>
      <c r="P57" s="41" t="s">
        <v>904</v>
      </c>
      <c r="Q57" s="41" t="s">
        <v>904</v>
      </c>
      <c r="R57" s="41"/>
      <c r="S57" s="41"/>
    </row>
    <row r="58" spans="3:17" ht="20.100000000000001" customHeight="1" x14ac:dyDescent="0.25">
      <c r="C58" s="57" t="s">
        <v>904</v>
      </c>
      <c r="D58" s="44"/>
      <c r="E58" s="41" t="s">
        <v>904</v>
      </c>
      <c r="F58" s="41" t="s">
        <v>904</v>
      </c>
      <c r="G58" s="58"/>
      <c r="H58" s="41" t="s">
        <v>904</v>
      </c>
      <c r="I58" s="41" t="s">
        <v>904</v>
      </c>
      <c r="J58" s="59"/>
      <c r="K58" s="60"/>
      <c r="L58" s="60"/>
      <c r="M58" s="60"/>
      <c r="N58" s="60"/>
      <c r="O58" s="61"/>
      <c r="P58" s="41" t="s">
        <v>904</v>
      </c>
      <c r="Q58" s="41" t="s">
        <v>904</v>
      </c>
      <c r="R58" s="41"/>
      <c r="S58" s="41"/>
    </row>
    <row r="59" spans="3:17" ht="20.100000000000001" customHeight="1" x14ac:dyDescent="0.25">
      <c r="C59" s="57" t="s">
        <v>904</v>
      </c>
      <c r="D59" s="44"/>
      <c r="E59" s="41" t="s">
        <v>904</v>
      </c>
      <c r="F59" s="41" t="s">
        <v>904</v>
      </c>
      <c r="G59" s="58"/>
      <c r="H59" s="41" t="s">
        <v>904</v>
      </c>
      <c r="I59" s="41" t="s">
        <v>904</v>
      </c>
      <c r="J59" s="59"/>
      <c r="K59" s="60"/>
      <c r="L59" s="60"/>
      <c r="M59" s="60"/>
      <c r="N59" s="60"/>
      <c r="O59" s="61"/>
      <c r="P59" s="41" t="s">
        <v>904</v>
      </c>
      <c r="Q59" s="41" t="s">
        <v>904</v>
      </c>
      <c r="R59" s="41"/>
      <c r="S59" s="41"/>
    </row>
    <row r="60" spans="3:17" ht="20.100000000000001" customHeight="1" x14ac:dyDescent="0.25">
      <c r="C60" s="57" t="s">
        <v>904</v>
      </c>
      <c r="D60" s="44"/>
      <c r="E60" s="41" t="s">
        <v>904</v>
      </c>
      <c r="F60" s="41" t="s">
        <v>904</v>
      </c>
      <c r="G60" s="58"/>
      <c r="H60" s="41" t="s">
        <v>904</v>
      </c>
      <c r="I60" s="41" t="s">
        <v>904</v>
      </c>
      <c r="J60" s="59"/>
      <c r="K60" s="60"/>
      <c r="L60" s="60"/>
      <c r="M60" s="60"/>
      <c r="N60" s="60"/>
      <c r="O60" s="61"/>
      <c r="P60" s="41" t="s">
        <v>904</v>
      </c>
      <c r="Q60" s="41" t="s">
        <v>904</v>
      </c>
      <c r="R60" s="41"/>
      <c r="S60" s="41"/>
    </row>
    <row r="61" spans="3:17" ht="20.100000000000001" customHeight="1" x14ac:dyDescent="0.25">
      <c r="C61" s="57" t="s">
        <v>904</v>
      </c>
      <c r="D61" s="44"/>
      <c r="E61" s="41" t="s">
        <v>904</v>
      </c>
      <c r="F61" s="41" t="s">
        <v>904</v>
      </c>
      <c r="G61" s="58"/>
      <c r="H61" s="41" t="s">
        <v>904</v>
      </c>
      <c r="I61" s="41" t="s">
        <v>904</v>
      </c>
      <c r="J61" s="59"/>
      <c r="K61" s="60"/>
      <c r="L61" s="60"/>
      <c r="M61" s="60"/>
      <c r="N61" s="60"/>
      <c r="O61" s="61"/>
      <c r="P61" s="41" t="s">
        <v>904</v>
      </c>
      <c r="Q61" s="41" t="s">
        <v>904</v>
      </c>
      <c r="R61" s="41"/>
      <c r="S61" s="41"/>
    </row>
    <row r="62" spans="3:17" ht="20.100000000000001" customHeight="1" x14ac:dyDescent="0.25">
      <c r="C62" s="57" t="s">
        <v>904</v>
      </c>
      <c r="D62" s="44"/>
      <c r="E62" s="41" t="s">
        <v>904</v>
      </c>
      <c r="F62" s="41" t="s">
        <v>904</v>
      </c>
      <c r="G62" s="58"/>
      <c r="H62" s="41" t="s">
        <v>904</v>
      </c>
      <c r="I62" s="41" t="s">
        <v>904</v>
      </c>
      <c r="J62" s="59"/>
      <c r="K62" s="60"/>
      <c r="L62" s="60"/>
      <c r="M62" s="60"/>
      <c r="N62" s="60"/>
      <c r="O62" s="61"/>
      <c r="P62" s="41" t="s">
        <v>904</v>
      </c>
      <c r="Q62" s="41" t="s">
        <v>904</v>
      </c>
      <c r="R62" s="41"/>
      <c r="S62" s="41"/>
    </row>
    <row r="63" spans="3:17" ht="20.100000000000001" customHeight="1" x14ac:dyDescent="0.25">
      <c r="C63" s="57" t="s">
        <v>904</v>
      </c>
      <c r="D63" s="44"/>
      <c r="E63" s="41" t="s">
        <v>904</v>
      </c>
      <c r="F63" s="41" t="s">
        <v>904</v>
      </c>
      <c r="G63" s="58"/>
      <c r="H63" s="41" t="s">
        <v>904</v>
      </c>
      <c r="I63" s="41" t="s">
        <v>904</v>
      </c>
      <c r="J63" s="59"/>
      <c r="K63" s="60"/>
      <c r="L63" s="60"/>
      <c r="M63" s="60"/>
      <c r="N63" s="60"/>
      <c r="O63" s="61"/>
      <c r="P63" s="41" t="s">
        <v>904</v>
      </c>
      <c r="Q63" s="41" t="s">
        <v>904</v>
      </c>
      <c r="R63" s="41"/>
      <c r="S63" s="41"/>
    </row>
    <row r="64" spans="3:17" ht="20.100000000000001" customHeight="1" x14ac:dyDescent="0.25">
      <c r="C64" s="57" t="s">
        <v>904</v>
      </c>
      <c r="D64" s="44"/>
      <c r="E64" s="41" t="s">
        <v>904</v>
      </c>
      <c r="F64" s="41" t="s">
        <v>904</v>
      </c>
      <c r="G64" s="58"/>
      <c r="H64" s="41" t="s">
        <v>904</v>
      </c>
      <c r="I64" s="41" t="s">
        <v>904</v>
      </c>
      <c r="J64" s="59"/>
      <c r="K64" s="60"/>
      <c r="L64" s="60"/>
      <c r="M64" s="60"/>
      <c r="N64" s="60"/>
      <c r="O64" s="61"/>
      <c r="P64" s="41" t="s">
        <v>904</v>
      </c>
      <c r="Q64" s="41" t="s">
        <v>904</v>
      </c>
      <c r="R64" s="41"/>
      <c r="S64" s="41"/>
    </row>
    <row r="65" spans="3:17" ht="20.100000000000001" customHeight="1" x14ac:dyDescent="0.25">
      <c r="C65" s="57" t="s">
        <v>904</v>
      </c>
      <c r="D65" s="44"/>
      <c r="E65" s="41" t="s">
        <v>904</v>
      </c>
      <c r="F65" s="41" t="s">
        <v>904</v>
      </c>
      <c r="G65" s="58"/>
      <c r="H65" s="41" t="s">
        <v>904</v>
      </c>
      <c r="I65" s="41" t="s">
        <v>904</v>
      </c>
      <c r="J65" s="59"/>
      <c r="K65" s="60"/>
      <c r="L65" s="60"/>
      <c r="M65" s="60"/>
      <c r="N65" s="60"/>
      <c r="O65" s="61"/>
      <c r="P65" s="41" t="s">
        <v>904</v>
      </c>
      <c r="Q65" s="41" t="s">
        <v>904</v>
      </c>
      <c r="R65" s="41"/>
      <c r="S65" s="41"/>
    </row>
    <row r="66" spans="3:17" ht="20.100000000000001" customHeight="1" x14ac:dyDescent="0.25">
      <c r="C66" s="57" t="s">
        <v>904</v>
      </c>
      <c r="D66" s="44"/>
      <c r="E66" s="41" t="s">
        <v>904</v>
      </c>
      <c r="F66" s="41" t="s">
        <v>904</v>
      </c>
      <c r="G66" s="58"/>
      <c r="H66" s="41" t="s">
        <v>904</v>
      </c>
      <c r="I66" s="41" t="s">
        <v>904</v>
      </c>
      <c r="J66" s="59"/>
      <c r="K66" s="60"/>
      <c r="L66" s="60"/>
      <c r="M66" s="60"/>
      <c r="N66" s="60"/>
      <c r="O66" s="61"/>
      <c r="P66" s="41" t="s">
        <v>904</v>
      </c>
      <c r="Q66" s="41" t="s">
        <v>904</v>
      </c>
      <c r="R66" s="41"/>
      <c r="S66" s="41"/>
    </row>
    <row r="67" spans="3:17" ht="20.100000000000001" customHeight="1" x14ac:dyDescent="0.25">
      <c r="C67" s="57" t="s">
        <v>904</v>
      </c>
      <c r="D67" s="44"/>
      <c r="E67" s="41" t="s">
        <v>904</v>
      </c>
      <c r="F67" s="41" t="s">
        <v>904</v>
      </c>
      <c r="G67" s="58"/>
      <c r="H67" s="41" t="s">
        <v>904</v>
      </c>
      <c r="I67" s="41" t="s">
        <v>904</v>
      </c>
      <c r="J67" s="59"/>
      <c r="K67" s="60"/>
      <c r="L67" s="60"/>
      <c r="M67" s="60"/>
      <c r="N67" s="60"/>
      <c r="O67" s="61"/>
      <c r="P67" s="41" t="s">
        <v>904</v>
      </c>
      <c r="Q67" s="41" t="s">
        <v>904</v>
      </c>
      <c r="R67" s="41"/>
      <c r="S67" s="41"/>
    </row>
    <row r="68" spans="3:17" ht="20.100000000000001" customHeight="1" x14ac:dyDescent="0.25">
      <c r="C68" s="57" t="s">
        <v>904</v>
      </c>
      <c r="D68" s="44"/>
      <c r="E68" s="41" t="s">
        <v>904</v>
      </c>
      <c r="F68" s="41" t="s">
        <v>904</v>
      </c>
      <c r="G68" s="58"/>
      <c r="H68" s="41" t="s">
        <v>904</v>
      </c>
      <c r="I68" s="41" t="s">
        <v>904</v>
      </c>
      <c r="J68" s="59"/>
      <c r="K68" s="60"/>
      <c r="L68" s="60"/>
      <c r="M68" s="60"/>
      <c r="N68" s="60"/>
      <c r="O68" s="61"/>
      <c r="P68" s="41" t="s">
        <v>904</v>
      </c>
      <c r="Q68" s="41" t="s">
        <v>904</v>
      </c>
      <c r="R68" s="41"/>
      <c r="S68" s="41"/>
    </row>
    <row r="69" spans="3:17" ht="20.100000000000001" customHeight="1" x14ac:dyDescent="0.25">
      <c r="C69" s="57" t="s">
        <v>904</v>
      </c>
      <c r="D69" s="44"/>
      <c r="E69" s="41" t="s">
        <v>904</v>
      </c>
      <c r="F69" s="41" t="s">
        <v>904</v>
      </c>
      <c r="G69" s="58"/>
      <c r="H69" s="41" t="s">
        <v>904</v>
      </c>
      <c r="I69" s="41" t="s">
        <v>904</v>
      </c>
      <c r="J69" s="59"/>
      <c r="K69" s="60"/>
      <c r="L69" s="60"/>
      <c r="M69" s="60"/>
      <c r="N69" s="60"/>
      <c r="O69" s="61"/>
      <c r="P69" s="41" t="s">
        <v>904</v>
      </c>
      <c r="Q69" s="41" t="s">
        <v>904</v>
      </c>
      <c r="R69" s="41"/>
      <c r="S69" s="41"/>
    </row>
    <row r="70" spans="3:17" ht="20.100000000000001" customHeight="1" x14ac:dyDescent="0.25">
      <c r="C70" s="57" t="s">
        <v>904</v>
      </c>
      <c r="D70" s="44"/>
      <c r="E70" s="41" t="s">
        <v>904</v>
      </c>
      <c r="F70" s="41" t="s">
        <v>904</v>
      </c>
      <c r="G70" s="58"/>
      <c r="H70" s="41" t="s">
        <v>904</v>
      </c>
      <c r="I70" s="41" t="s">
        <v>904</v>
      </c>
      <c r="J70" s="59"/>
      <c r="K70" s="60"/>
      <c r="L70" s="60"/>
      <c r="M70" s="60"/>
      <c r="N70" s="60"/>
      <c r="O70" s="61"/>
      <c r="P70" s="41" t="s">
        <v>904</v>
      </c>
      <c r="Q70" s="41" t="s">
        <v>904</v>
      </c>
      <c r="R70" s="41"/>
      <c r="S70" s="41"/>
    </row>
    <row r="71" spans="3:17" ht="20.100000000000001" customHeight="1" x14ac:dyDescent="0.25">
      <c r="C71" s="57" t="s">
        <v>904</v>
      </c>
      <c r="D71" s="44"/>
      <c r="E71" s="41" t="s">
        <v>904</v>
      </c>
      <c r="F71" s="41" t="s">
        <v>904</v>
      </c>
      <c r="G71" s="58"/>
      <c r="H71" s="41" t="s">
        <v>904</v>
      </c>
      <c r="I71" s="41" t="s">
        <v>904</v>
      </c>
      <c r="J71" s="59"/>
      <c r="K71" s="60"/>
      <c r="L71" s="60"/>
      <c r="M71" s="60"/>
      <c r="N71" s="60"/>
      <c r="O71" s="61"/>
      <c r="P71" s="41" t="s">
        <v>904</v>
      </c>
      <c r="Q71" s="41" t="s">
        <v>904</v>
      </c>
      <c r="R71" s="41"/>
      <c r="S71" s="41"/>
    </row>
    <row r="72" spans="3:17" ht="20.100000000000001" customHeight="1" x14ac:dyDescent="0.25">
      <c r="C72" s="57" t="s">
        <v>904</v>
      </c>
      <c r="D72" s="44"/>
      <c r="E72" s="41" t="s">
        <v>904</v>
      </c>
      <c r="F72" s="41" t="s">
        <v>904</v>
      </c>
      <c r="G72" s="58"/>
      <c r="H72" s="41" t="s">
        <v>904</v>
      </c>
      <c r="I72" s="41" t="s">
        <v>904</v>
      </c>
      <c r="J72" s="59"/>
      <c r="K72" s="60"/>
      <c r="L72" s="60"/>
      <c r="M72" s="60"/>
      <c r="N72" s="60"/>
      <c r="O72" s="61"/>
      <c r="P72" s="41" t="s">
        <v>904</v>
      </c>
      <c r="Q72" s="41" t="s">
        <v>904</v>
      </c>
      <c r="R72" s="41"/>
      <c r="S72" s="41"/>
    </row>
    <row r="73" spans="3:17" ht="20.100000000000001" customHeight="1" x14ac:dyDescent="0.25">
      <c r="C73" s="57" t="s">
        <v>904</v>
      </c>
      <c r="D73" s="44"/>
      <c r="E73" s="41" t="s">
        <v>904</v>
      </c>
      <c r="F73" s="41" t="s">
        <v>904</v>
      </c>
      <c r="G73" s="58"/>
      <c r="H73" s="41" t="s">
        <v>904</v>
      </c>
      <c r="I73" s="41" t="s">
        <v>904</v>
      </c>
      <c r="J73" s="59"/>
      <c r="K73" s="60"/>
      <c r="L73" s="60"/>
      <c r="M73" s="60"/>
      <c r="N73" s="60"/>
      <c r="O73" s="61"/>
      <c r="P73" s="41" t="s">
        <v>904</v>
      </c>
      <c r="Q73" s="41" t="s">
        <v>904</v>
      </c>
      <c r="R73" s="41"/>
      <c r="S73" s="41"/>
    </row>
    <row r="74" spans="3:17" ht="20.100000000000001" customHeight="1" x14ac:dyDescent="0.25">
      <c r="C74" s="57" t="s">
        <v>904</v>
      </c>
      <c r="D74" s="44"/>
      <c r="E74" s="41" t="s">
        <v>904</v>
      </c>
      <c r="F74" s="41" t="s">
        <v>904</v>
      </c>
      <c r="G74" s="58"/>
      <c r="H74" s="41" t="s">
        <v>904</v>
      </c>
      <c r="I74" s="41" t="s">
        <v>904</v>
      </c>
      <c r="J74" s="59"/>
      <c r="K74" s="60"/>
      <c r="L74" s="60"/>
      <c r="M74" s="60"/>
      <c r="N74" s="60"/>
      <c r="O74" s="61"/>
      <c r="P74" s="41" t="s">
        <v>904</v>
      </c>
      <c r="Q74" s="41" t="s">
        <v>904</v>
      </c>
      <c r="R74" s="41"/>
      <c r="S74" s="41"/>
    </row>
    <row r="75" spans="3:17" ht="20.100000000000001" customHeight="1" x14ac:dyDescent="0.25">
      <c r="C75" s="57" t="s">
        <v>904</v>
      </c>
      <c r="D75" s="44"/>
      <c r="E75" s="41" t="s">
        <v>904</v>
      </c>
      <c r="F75" s="41" t="s">
        <v>904</v>
      </c>
      <c r="G75" s="58"/>
      <c r="H75" s="41" t="s">
        <v>904</v>
      </c>
      <c r="I75" s="41" t="s">
        <v>904</v>
      </c>
      <c r="J75" s="59"/>
      <c r="K75" s="60"/>
      <c r="L75" s="60"/>
      <c r="M75" s="60"/>
      <c r="N75" s="60"/>
      <c r="O75" s="61"/>
      <c r="P75" s="41" t="s">
        <v>904</v>
      </c>
      <c r="Q75" s="41" t="s">
        <v>904</v>
      </c>
      <c r="R75" s="41"/>
      <c r="S75" s="41"/>
    </row>
    <row r="76" spans="3:17" ht="20.100000000000001" customHeight="1" x14ac:dyDescent="0.25">
      <c r="C76" s="57" t="s">
        <v>904</v>
      </c>
      <c r="D76" s="44"/>
      <c r="E76" s="41" t="s">
        <v>904</v>
      </c>
      <c r="F76" s="41" t="s">
        <v>904</v>
      </c>
      <c r="G76" s="58"/>
      <c r="H76" s="41" t="s">
        <v>904</v>
      </c>
      <c r="I76" s="41" t="s">
        <v>904</v>
      </c>
      <c r="J76" s="59"/>
      <c r="K76" s="60"/>
      <c r="L76" s="60"/>
      <c r="M76" s="60"/>
      <c r="N76" s="60"/>
      <c r="O76" s="61"/>
      <c r="P76" s="41" t="s">
        <v>904</v>
      </c>
      <c r="Q76" s="41" t="s">
        <v>904</v>
      </c>
      <c r="R76" s="41"/>
      <c r="S76" s="41"/>
    </row>
    <row r="77" spans="3:17" ht="20.100000000000001" customHeight="1" x14ac:dyDescent="0.25">
      <c r="C77" s="57" t="s">
        <v>904</v>
      </c>
      <c r="D77" s="44"/>
      <c r="E77" s="41" t="s">
        <v>904</v>
      </c>
      <c r="F77" s="41" t="s">
        <v>904</v>
      </c>
      <c r="G77" s="58"/>
      <c r="H77" s="41" t="s">
        <v>904</v>
      </c>
      <c r="I77" s="41" t="s">
        <v>904</v>
      </c>
      <c r="J77" s="59"/>
      <c r="K77" s="60"/>
      <c r="L77" s="60"/>
      <c r="M77" s="60"/>
      <c r="N77" s="60"/>
      <c r="O77" s="61"/>
      <c r="P77" s="41" t="s">
        <v>904</v>
      </c>
      <c r="Q77" s="41" t="s">
        <v>904</v>
      </c>
      <c r="R77" s="41"/>
      <c r="S77" s="41"/>
    </row>
    <row r="78" spans="3:17" ht="20.100000000000001" customHeight="1" x14ac:dyDescent="0.25">
      <c r="C78" s="57" t="s">
        <v>904</v>
      </c>
      <c r="D78" s="44"/>
      <c r="E78" s="41" t="s">
        <v>904</v>
      </c>
      <c r="F78" s="41" t="s">
        <v>904</v>
      </c>
      <c r="G78" s="58"/>
      <c r="H78" s="41" t="s">
        <v>904</v>
      </c>
      <c r="I78" s="41" t="s">
        <v>904</v>
      </c>
      <c r="J78" s="59"/>
      <c r="K78" s="60"/>
      <c r="L78" s="60"/>
      <c r="M78" s="60"/>
      <c r="N78" s="60"/>
      <c r="O78" s="61"/>
      <c r="P78" s="41" t="s">
        <v>904</v>
      </c>
      <c r="Q78" s="41" t="s">
        <v>904</v>
      </c>
      <c r="R78" s="41"/>
      <c r="S78" s="41"/>
    </row>
    <row r="79" spans="3:17" ht="20.100000000000001" customHeight="1" x14ac:dyDescent="0.25">
      <c r="C79" s="57" t="s">
        <v>904</v>
      </c>
      <c r="D79" s="44"/>
      <c r="E79" s="41" t="s">
        <v>904</v>
      </c>
      <c r="F79" s="41" t="s">
        <v>904</v>
      </c>
      <c r="G79" s="58"/>
      <c r="H79" s="41" t="s">
        <v>904</v>
      </c>
      <c r="I79" s="41" t="s">
        <v>904</v>
      </c>
      <c r="J79" s="59"/>
      <c r="K79" s="60"/>
      <c r="L79" s="60"/>
      <c r="M79" s="60"/>
      <c r="N79" s="60"/>
      <c r="O79" s="61"/>
      <c r="P79" s="41" t="s">
        <v>904</v>
      </c>
      <c r="Q79" s="41" t="s">
        <v>904</v>
      </c>
      <c r="R79" s="41"/>
      <c r="S79" s="41"/>
    </row>
    <row r="80" spans="3:17" ht="20.100000000000001" customHeight="1" x14ac:dyDescent="0.25">
      <c r="C80" s="57" t="s">
        <v>904</v>
      </c>
      <c r="D80" s="44"/>
      <c r="E80" s="41" t="s">
        <v>904</v>
      </c>
      <c r="F80" s="41" t="s">
        <v>904</v>
      </c>
      <c r="G80" s="58"/>
      <c r="H80" s="41" t="s">
        <v>904</v>
      </c>
      <c r="I80" s="41" t="s">
        <v>904</v>
      </c>
      <c r="J80" s="59"/>
      <c r="K80" s="60"/>
      <c r="L80" s="60"/>
      <c r="M80" s="60"/>
      <c r="N80" s="60"/>
      <c r="O80" s="61"/>
      <c r="P80" s="41" t="s">
        <v>904</v>
      </c>
      <c r="Q80" s="41" t="s">
        <v>904</v>
      </c>
      <c r="R80" s="41"/>
      <c r="S80" s="41"/>
    </row>
    <row r="81" spans="3:17" ht="20.100000000000001" customHeight="1" x14ac:dyDescent="0.25">
      <c r="C81" s="57" t="s">
        <v>904</v>
      </c>
      <c r="D81" s="44"/>
      <c r="E81" s="41" t="s">
        <v>904</v>
      </c>
      <c r="F81" s="41" t="s">
        <v>904</v>
      </c>
      <c r="G81" s="58"/>
      <c r="H81" s="41" t="s">
        <v>904</v>
      </c>
      <c r="I81" s="41" t="s">
        <v>904</v>
      </c>
      <c r="J81" s="59"/>
      <c r="K81" s="60"/>
      <c r="L81" s="60"/>
      <c r="M81" s="60"/>
      <c r="N81" s="60"/>
      <c r="O81" s="61"/>
      <c r="P81" s="41" t="s">
        <v>904</v>
      </c>
      <c r="Q81" s="41" t="s">
        <v>904</v>
      </c>
      <c r="R81" s="41"/>
      <c r="S81" s="41"/>
    </row>
    <row r="82" spans="3:17" ht="20.100000000000001" customHeight="1" x14ac:dyDescent="0.25">
      <c r="C82" s="57" t="s">
        <v>904</v>
      </c>
      <c r="D82" s="44"/>
      <c r="E82" s="41" t="s">
        <v>904</v>
      </c>
      <c r="F82" s="41" t="s">
        <v>904</v>
      </c>
      <c r="G82" s="58"/>
      <c r="H82" s="41" t="s">
        <v>904</v>
      </c>
      <c r="I82" s="41" t="s">
        <v>904</v>
      </c>
      <c r="J82" s="59"/>
      <c r="K82" s="60"/>
      <c r="L82" s="60"/>
      <c r="M82" s="60"/>
      <c r="N82" s="60"/>
      <c r="O82" s="61"/>
      <c r="P82" s="41" t="s">
        <v>904</v>
      </c>
      <c r="Q82" s="41" t="s">
        <v>904</v>
      </c>
      <c r="R82" s="41"/>
      <c r="S82" s="41"/>
    </row>
    <row r="83" spans="3:17" ht="20.100000000000001" customHeight="1" x14ac:dyDescent="0.25">
      <c r="C83" s="57" t="s">
        <v>904</v>
      </c>
      <c r="D83" s="44"/>
      <c r="E83" s="41" t="s">
        <v>904</v>
      </c>
      <c r="F83" s="41" t="s">
        <v>904</v>
      </c>
      <c r="G83" s="58"/>
      <c r="H83" s="41" t="s">
        <v>904</v>
      </c>
      <c r="I83" s="41" t="s">
        <v>904</v>
      </c>
      <c r="J83" s="59"/>
      <c r="K83" s="60"/>
      <c r="L83" s="60"/>
      <c r="M83" s="60"/>
      <c r="N83" s="60"/>
      <c r="O83" s="61"/>
      <c r="P83" s="41" t="s">
        <v>904</v>
      </c>
      <c r="Q83" s="41" t="s">
        <v>904</v>
      </c>
      <c r="R83" s="41"/>
      <c r="S83" s="41"/>
    </row>
    <row r="84" spans="3:17" ht="20.100000000000001" customHeight="1" x14ac:dyDescent="0.25">
      <c r="C84" s="57" t="s">
        <v>904</v>
      </c>
      <c r="D84" s="44"/>
      <c r="E84" s="41" t="s">
        <v>904</v>
      </c>
      <c r="F84" s="41" t="s">
        <v>904</v>
      </c>
      <c r="G84" s="58"/>
      <c r="H84" s="41" t="s">
        <v>904</v>
      </c>
      <c r="I84" s="41" t="s">
        <v>904</v>
      </c>
      <c r="J84" s="59"/>
      <c r="K84" s="60"/>
      <c r="L84" s="60"/>
      <c r="M84" s="60"/>
      <c r="N84" s="60"/>
      <c r="O84" s="61"/>
      <c r="P84" s="41" t="s">
        <v>904</v>
      </c>
      <c r="Q84" s="41" t="s">
        <v>904</v>
      </c>
      <c r="R84" s="41"/>
      <c r="S84" s="41"/>
    </row>
    <row r="85" spans="3:17" ht="20.100000000000001" customHeight="1" x14ac:dyDescent="0.25">
      <c r="C85" s="57" t="s">
        <v>904</v>
      </c>
      <c r="D85" s="44"/>
      <c r="E85" s="41" t="s">
        <v>904</v>
      </c>
      <c r="F85" s="41" t="s">
        <v>904</v>
      </c>
      <c r="G85" s="58"/>
      <c r="H85" s="41" t="s">
        <v>904</v>
      </c>
      <c r="I85" s="41" t="s">
        <v>904</v>
      </c>
      <c r="J85" s="59"/>
      <c r="K85" s="60"/>
      <c r="L85" s="60"/>
      <c r="M85" s="60"/>
      <c r="N85" s="60"/>
      <c r="O85" s="61"/>
      <c r="P85" s="41" t="s">
        <v>904</v>
      </c>
      <c r="Q85" s="41" t="s">
        <v>904</v>
      </c>
      <c r="R85" s="41"/>
      <c r="S85" s="41"/>
    </row>
    <row r="86" spans="3:17" ht="20.100000000000001" customHeight="1" x14ac:dyDescent="0.25">
      <c r="C86" s="57" t="s">
        <v>904</v>
      </c>
      <c r="D86" s="44"/>
      <c r="E86" s="41" t="s">
        <v>904</v>
      </c>
      <c r="F86" s="41" t="s">
        <v>904</v>
      </c>
      <c r="G86" s="58"/>
      <c r="H86" s="41" t="s">
        <v>904</v>
      </c>
      <c r="I86" s="41" t="s">
        <v>904</v>
      </c>
      <c r="J86" s="59"/>
      <c r="K86" s="60"/>
      <c r="L86" s="60"/>
      <c r="M86" s="60"/>
      <c r="N86" s="60"/>
      <c r="O86" s="61"/>
      <c r="P86" s="41" t="s">
        <v>904</v>
      </c>
      <c r="Q86" s="41" t="s">
        <v>904</v>
      </c>
      <c r="R86" s="41"/>
      <c r="S86" s="41"/>
    </row>
    <row r="87" spans="3:17" ht="20.100000000000001" customHeight="1" x14ac:dyDescent="0.25">
      <c r="C87" s="57" t="s">
        <v>904</v>
      </c>
      <c r="D87" s="44"/>
      <c r="E87" s="41" t="s">
        <v>904</v>
      </c>
      <c r="F87" s="41" t="s">
        <v>904</v>
      </c>
      <c r="G87" s="58"/>
      <c r="H87" s="41" t="s">
        <v>904</v>
      </c>
      <c r="I87" s="41" t="s">
        <v>904</v>
      </c>
      <c r="J87" s="59"/>
      <c r="K87" s="60"/>
      <c r="L87" s="60"/>
      <c r="M87" s="60"/>
      <c r="N87" s="60"/>
      <c r="O87" s="61"/>
      <c r="P87" s="41" t="s">
        <v>904</v>
      </c>
      <c r="Q87" s="41" t="s">
        <v>904</v>
      </c>
      <c r="R87" s="41"/>
      <c r="S87" s="41"/>
    </row>
    <row r="88" spans="3:17" ht="20.100000000000001" customHeight="1" x14ac:dyDescent="0.25">
      <c r="C88" s="57" t="s">
        <v>904</v>
      </c>
      <c r="D88" s="44"/>
      <c r="E88" s="41" t="s">
        <v>904</v>
      </c>
      <c r="F88" s="41" t="s">
        <v>904</v>
      </c>
      <c r="G88" s="58"/>
      <c r="H88" s="41" t="s">
        <v>904</v>
      </c>
      <c r="I88" s="41" t="s">
        <v>904</v>
      </c>
      <c r="J88" s="59"/>
      <c r="K88" s="60"/>
      <c r="L88" s="60"/>
      <c r="M88" s="60"/>
      <c r="N88" s="60"/>
      <c r="O88" s="61"/>
      <c r="P88" s="41" t="s">
        <v>904</v>
      </c>
      <c r="Q88" s="41" t="s">
        <v>904</v>
      </c>
      <c r="R88" s="41"/>
      <c r="S88" s="41"/>
    </row>
    <row r="89" spans="3:17" ht="20.100000000000001" customHeight="1" x14ac:dyDescent="0.25">
      <c r="C89" s="57" t="s">
        <v>904</v>
      </c>
      <c r="D89" s="44"/>
      <c r="E89" s="41" t="s">
        <v>904</v>
      </c>
      <c r="F89" s="41" t="s">
        <v>904</v>
      </c>
      <c r="G89" s="58"/>
      <c r="H89" s="41" t="s">
        <v>904</v>
      </c>
      <c r="I89" s="41" t="s">
        <v>904</v>
      </c>
      <c r="J89" s="59"/>
      <c r="K89" s="60"/>
      <c r="L89" s="60"/>
      <c r="M89" s="60"/>
      <c r="N89" s="60"/>
      <c r="O89" s="61"/>
      <c r="P89" s="41" t="s">
        <v>904</v>
      </c>
      <c r="Q89" s="41" t="s">
        <v>904</v>
      </c>
      <c r="R89" s="41"/>
      <c r="S89" s="41"/>
    </row>
    <row r="90" spans="3:17" ht="20.100000000000001" customHeight="1" x14ac:dyDescent="0.25">
      <c r="C90" s="57" t="s">
        <v>904</v>
      </c>
      <c r="D90" s="44"/>
      <c r="E90" s="41" t="s">
        <v>904</v>
      </c>
      <c r="F90" s="41" t="s">
        <v>904</v>
      </c>
      <c r="G90" s="58"/>
      <c r="H90" s="41" t="s">
        <v>904</v>
      </c>
      <c r="I90" s="41" t="s">
        <v>904</v>
      </c>
      <c r="J90" s="59"/>
      <c r="K90" s="60"/>
      <c r="L90" s="60"/>
      <c r="M90" s="60"/>
      <c r="N90" s="60"/>
      <c r="O90" s="61"/>
      <c r="P90" s="41" t="s">
        <v>904</v>
      </c>
      <c r="Q90" s="41" t="s">
        <v>904</v>
      </c>
      <c r="R90" s="41"/>
      <c r="S90" s="41"/>
    </row>
    <row r="91" spans="3:17" ht="20.100000000000001" customHeight="1" x14ac:dyDescent="0.25">
      <c r="C91" s="57" t="s">
        <v>904</v>
      </c>
      <c r="D91" s="44"/>
      <c r="E91" s="41" t="s">
        <v>904</v>
      </c>
      <c r="F91" s="41" t="s">
        <v>904</v>
      </c>
      <c r="G91" s="58"/>
      <c r="H91" s="41" t="s">
        <v>904</v>
      </c>
      <c r="I91" s="41" t="s">
        <v>904</v>
      </c>
      <c r="J91" s="59"/>
      <c r="K91" s="60"/>
      <c r="L91" s="60"/>
      <c r="M91" s="60"/>
      <c r="N91" s="60"/>
      <c r="O91" s="61"/>
      <c r="P91" s="41" t="s">
        <v>904</v>
      </c>
      <c r="Q91" s="41" t="s">
        <v>904</v>
      </c>
      <c r="R91" s="41"/>
      <c r="S91" s="41"/>
    </row>
    <row r="92" spans="3:17" ht="20.100000000000001" customHeight="1" x14ac:dyDescent="0.25">
      <c r="C92" s="57" t="s">
        <v>904</v>
      </c>
      <c r="D92" s="44"/>
      <c r="E92" s="41" t="s">
        <v>904</v>
      </c>
      <c r="F92" s="41" t="s">
        <v>904</v>
      </c>
      <c r="G92" s="58"/>
      <c r="H92" s="41" t="s">
        <v>904</v>
      </c>
      <c r="I92" s="41" t="s">
        <v>904</v>
      </c>
      <c r="J92" s="59"/>
      <c r="K92" s="60"/>
      <c r="L92" s="60"/>
      <c r="M92" s="60"/>
      <c r="N92" s="60"/>
      <c r="O92" s="61"/>
      <c r="P92" s="41" t="s">
        <v>904</v>
      </c>
      <c r="Q92" s="41" t="s">
        <v>904</v>
      </c>
      <c r="R92" s="41"/>
      <c r="S92" s="41"/>
    </row>
    <row r="93" spans="3:17" ht="20.100000000000001" customHeight="1" x14ac:dyDescent="0.25">
      <c r="C93" s="57" t="s">
        <v>904</v>
      </c>
      <c r="D93" s="44"/>
      <c r="E93" s="41" t="s">
        <v>904</v>
      </c>
      <c r="F93" s="41" t="s">
        <v>904</v>
      </c>
      <c r="G93" s="58"/>
      <c r="H93" s="41" t="s">
        <v>904</v>
      </c>
      <c r="I93" s="41" t="s">
        <v>904</v>
      </c>
      <c r="J93" s="59"/>
      <c r="K93" s="60"/>
      <c r="L93" s="60"/>
      <c r="M93" s="60"/>
      <c r="N93" s="60"/>
      <c r="O93" s="61"/>
      <c r="P93" s="41" t="s">
        <v>904</v>
      </c>
      <c r="Q93" s="41" t="s">
        <v>904</v>
      </c>
      <c r="R93" s="41"/>
      <c r="S93" s="41"/>
    </row>
    <row r="94" spans="3:17" ht="20.100000000000001" customHeight="1" x14ac:dyDescent="0.25">
      <c r="C94" s="57" t="s">
        <v>904</v>
      </c>
      <c r="D94" s="44"/>
      <c r="E94" s="41" t="s">
        <v>904</v>
      </c>
      <c r="F94" s="41" t="s">
        <v>904</v>
      </c>
      <c r="G94" s="58"/>
      <c r="H94" s="41" t="s">
        <v>904</v>
      </c>
      <c r="I94" s="41" t="s">
        <v>904</v>
      </c>
      <c r="J94" s="59"/>
      <c r="K94" s="60"/>
      <c r="L94" s="60"/>
      <c r="M94" s="60"/>
      <c r="N94" s="60"/>
      <c r="O94" s="61"/>
      <c r="P94" s="41" t="s">
        <v>904</v>
      </c>
      <c r="Q94" s="41" t="s">
        <v>904</v>
      </c>
      <c r="R94" s="41"/>
      <c r="S94" s="41"/>
    </row>
    <row r="95" spans="3:17" ht="20.100000000000001" customHeight="1" x14ac:dyDescent="0.25">
      <c r="C95" s="57" t="s">
        <v>904</v>
      </c>
      <c r="D95" s="44"/>
      <c r="E95" s="41" t="s">
        <v>904</v>
      </c>
      <c r="F95" s="41" t="s">
        <v>904</v>
      </c>
      <c r="G95" s="58"/>
      <c r="H95" s="41" t="s">
        <v>904</v>
      </c>
      <c r="I95" s="41" t="s">
        <v>904</v>
      </c>
      <c r="J95" s="59"/>
      <c r="K95" s="60"/>
      <c r="L95" s="60"/>
      <c r="M95" s="60"/>
      <c r="N95" s="60"/>
      <c r="O95" s="61"/>
      <c r="P95" s="41" t="s">
        <v>904</v>
      </c>
      <c r="Q95" s="41" t="s">
        <v>904</v>
      </c>
      <c r="R95" s="41"/>
      <c r="S95" s="41"/>
    </row>
    <row r="96" spans="3:17" ht="20.100000000000001" customHeight="1" x14ac:dyDescent="0.25">
      <c r="C96" s="57" t="s">
        <v>904</v>
      </c>
      <c r="D96" s="44"/>
      <c r="E96" s="41" t="s">
        <v>904</v>
      </c>
      <c r="F96" s="41" t="s">
        <v>904</v>
      </c>
      <c r="G96" s="58"/>
      <c r="H96" s="41" t="s">
        <v>904</v>
      </c>
      <c r="I96" s="41" t="s">
        <v>904</v>
      </c>
      <c r="J96" s="59"/>
      <c r="K96" s="60"/>
      <c r="L96" s="60"/>
      <c r="M96" s="60"/>
      <c r="N96" s="60"/>
      <c r="O96" s="61"/>
      <c r="P96" s="41" t="s">
        <v>904</v>
      </c>
      <c r="Q96" s="41" t="s">
        <v>904</v>
      </c>
      <c r="R96" s="41"/>
      <c r="S96" s="41"/>
    </row>
    <row r="97" spans="3:17" ht="20.100000000000001" customHeight="1" x14ac:dyDescent="0.25">
      <c r="C97" s="57" t="s">
        <v>904</v>
      </c>
      <c r="D97" s="44"/>
      <c r="E97" s="41" t="s">
        <v>904</v>
      </c>
      <c r="F97" s="41" t="s">
        <v>904</v>
      </c>
      <c r="G97" s="58"/>
      <c r="H97" s="41" t="s">
        <v>904</v>
      </c>
      <c r="I97" s="41" t="s">
        <v>904</v>
      </c>
      <c r="J97" s="59"/>
      <c r="K97" s="60"/>
      <c r="L97" s="60"/>
      <c r="M97" s="60"/>
      <c r="N97" s="60"/>
      <c r="O97" s="61"/>
      <c r="P97" s="41" t="s">
        <v>904</v>
      </c>
      <c r="Q97" s="41" t="s">
        <v>904</v>
      </c>
      <c r="R97" s="41"/>
      <c r="S97" s="41"/>
    </row>
    <row r="98" spans="3:17" ht="20.100000000000001" customHeight="1" x14ac:dyDescent="0.25">
      <c r="C98" s="57" t="s">
        <v>904</v>
      </c>
      <c r="D98" s="44"/>
      <c r="E98" s="41" t="s">
        <v>904</v>
      </c>
      <c r="F98" s="41" t="s">
        <v>904</v>
      </c>
      <c r="G98" s="58"/>
      <c r="H98" s="41" t="s">
        <v>904</v>
      </c>
      <c r="I98" s="41" t="s">
        <v>904</v>
      </c>
      <c r="J98" s="59"/>
      <c r="K98" s="60"/>
      <c r="L98" s="60"/>
      <c r="M98" s="60"/>
      <c r="N98" s="60"/>
      <c r="O98" s="61"/>
      <c r="P98" s="41" t="s">
        <v>904</v>
      </c>
      <c r="Q98" s="41" t="s">
        <v>904</v>
      </c>
      <c r="R98" s="41"/>
      <c r="S98" s="41"/>
    </row>
    <row r="99" spans="3:17" ht="20.100000000000001" customHeight="1" x14ac:dyDescent="0.25">
      <c r="C99" s="57" t="s">
        <v>904</v>
      </c>
      <c r="D99" s="44"/>
      <c r="E99" s="41" t="s">
        <v>904</v>
      </c>
      <c r="F99" s="41" t="s">
        <v>904</v>
      </c>
      <c r="G99" s="58"/>
      <c r="H99" s="41" t="s">
        <v>904</v>
      </c>
      <c r="I99" s="41" t="s">
        <v>904</v>
      </c>
      <c r="J99" s="59"/>
      <c r="K99" s="60"/>
      <c r="L99" s="60"/>
      <c r="M99" s="60"/>
      <c r="N99" s="60"/>
      <c r="O99" s="61"/>
      <c r="P99" s="41" t="s">
        <v>904</v>
      </c>
      <c r="Q99" s="41" t="s">
        <v>904</v>
      </c>
      <c r="R99" s="41"/>
      <c r="S99" s="41"/>
    </row>
    <row r="100" spans="3:17" ht="20.100000000000001" customHeight="1" x14ac:dyDescent="0.25">
      <c r="C100" s="57" t="s">
        <v>904</v>
      </c>
      <c r="D100" s="44"/>
      <c r="E100" s="41" t="s">
        <v>904</v>
      </c>
      <c r="F100" s="41" t="s">
        <v>904</v>
      </c>
      <c r="G100" s="58"/>
      <c r="H100" s="41" t="s">
        <v>904</v>
      </c>
      <c r="I100" s="41" t="s">
        <v>904</v>
      </c>
      <c r="J100" s="59"/>
      <c r="K100" s="60"/>
      <c r="L100" s="60"/>
      <c r="M100" s="60"/>
      <c r="N100" s="60"/>
      <c r="O100" s="61"/>
      <c r="P100" s="41" t="s">
        <v>904</v>
      </c>
      <c r="Q100" s="41" t="s">
        <v>904</v>
      </c>
      <c r="R100" s="41"/>
      <c r="S100" s="41"/>
    </row>
    <row r="101" spans="3:17" ht="20.100000000000001" customHeight="1" x14ac:dyDescent="0.25">
      <c r="C101" s="57" t="s">
        <v>904</v>
      </c>
      <c r="D101" s="44"/>
      <c r="E101" s="41" t="s">
        <v>904</v>
      </c>
      <c r="F101" s="41" t="s">
        <v>904</v>
      </c>
      <c r="G101" s="58"/>
      <c r="H101" s="41" t="s">
        <v>904</v>
      </c>
      <c r="I101" s="41" t="s">
        <v>904</v>
      </c>
      <c r="J101" s="59"/>
      <c r="K101" s="60"/>
      <c r="L101" s="60"/>
      <c r="M101" s="60"/>
      <c r="N101" s="60"/>
      <c r="O101" s="61"/>
      <c r="P101" s="41" t="s">
        <v>904</v>
      </c>
      <c r="Q101" s="41" t="s">
        <v>904</v>
      </c>
      <c r="R101" s="41"/>
      <c r="S101" s="41"/>
    </row>
    <row r="102" spans="3:17" ht="20.100000000000001" customHeight="1" x14ac:dyDescent="0.25">
      <c r="C102" s="57" t="s">
        <v>904</v>
      </c>
      <c r="D102" s="44"/>
      <c r="E102" s="41" t="s">
        <v>904</v>
      </c>
      <c r="F102" s="41" t="s">
        <v>904</v>
      </c>
      <c r="G102" s="58"/>
      <c r="H102" s="41" t="s">
        <v>904</v>
      </c>
      <c r="I102" s="41" t="s">
        <v>904</v>
      </c>
      <c r="J102" s="59"/>
      <c r="K102" s="60"/>
      <c r="L102" s="60"/>
      <c r="M102" s="60"/>
      <c r="N102" s="60"/>
      <c r="O102" s="61"/>
      <c r="P102" s="41" t="s">
        <v>904</v>
      </c>
      <c r="Q102" s="41" t="s">
        <v>904</v>
      </c>
      <c r="R102" s="41"/>
      <c r="S102" s="41"/>
    </row>
    <row r="103" spans="3:17" ht="20.100000000000001" customHeight="1" x14ac:dyDescent="0.25">
      <c r="C103" s="57" t="s">
        <v>904</v>
      </c>
      <c r="D103" s="44"/>
      <c r="E103" s="41" t="s">
        <v>904</v>
      </c>
      <c r="F103" s="41" t="s">
        <v>904</v>
      </c>
      <c r="G103" s="58"/>
      <c r="H103" s="41" t="s">
        <v>904</v>
      </c>
      <c r="I103" s="41" t="s">
        <v>904</v>
      </c>
      <c r="J103" s="59"/>
      <c r="K103" s="60"/>
      <c r="L103" s="60"/>
      <c r="M103" s="60"/>
      <c r="N103" s="60"/>
      <c r="O103" s="61"/>
      <c r="P103" s="41" t="s">
        <v>904</v>
      </c>
      <c r="Q103" s="41" t="s">
        <v>904</v>
      </c>
      <c r="R103" s="41"/>
      <c r="S103" s="41"/>
    </row>
    <row r="104" spans="3:17" ht="20.100000000000001" customHeight="1" x14ac:dyDescent="0.25">
      <c r="C104" s="57" t="s">
        <v>904</v>
      </c>
      <c r="D104" s="44"/>
      <c r="E104" s="41" t="s">
        <v>904</v>
      </c>
      <c r="F104" s="41" t="s">
        <v>904</v>
      </c>
      <c r="G104" s="58"/>
      <c r="H104" s="41" t="s">
        <v>904</v>
      </c>
      <c r="I104" s="41" t="s">
        <v>904</v>
      </c>
      <c r="J104" s="59"/>
      <c r="K104" s="60"/>
      <c r="L104" s="60"/>
      <c r="M104" s="60"/>
      <c r="N104" s="60"/>
      <c r="O104" s="61"/>
      <c r="P104" s="41" t="s">
        <v>904</v>
      </c>
      <c r="Q104" s="41" t="s">
        <v>904</v>
      </c>
      <c r="R104" s="41"/>
      <c r="S104" s="41"/>
    </row>
    <row r="105" spans="3:17" ht="20.100000000000001" customHeight="1" x14ac:dyDescent="0.25">
      <c r="C105" s="57" t="s">
        <v>904</v>
      </c>
      <c r="D105" s="44"/>
      <c r="E105" s="41" t="s">
        <v>904</v>
      </c>
      <c r="F105" s="41" t="s">
        <v>904</v>
      </c>
      <c r="G105" s="58"/>
      <c r="H105" s="41" t="s">
        <v>904</v>
      </c>
      <c r="I105" s="41" t="s">
        <v>904</v>
      </c>
      <c r="J105" s="59"/>
      <c r="K105" s="60"/>
      <c r="L105" s="60"/>
      <c r="M105" s="60"/>
      <c r="N105" s="60"/>
      <c r="O105" s="61"/>
      <c r="P105" s="41" t="s">
        <v>904</v>
      </c>
      <c r="Q105" s="41" t="s">
        <v>904</v>
      </c>
      <c r="R105" s="41"/>
      <c r="S105" s="41"/>
    </row>
    <row r="106" spans="3:17" ht="20.100000000000001" customHeight="1" x14ac:dyDescent="0.25">
      <c r="C106" s="57" t="s">
        <v>904</v>
      </c>
      <c r="D106" s="44"/>
      <c r="E106" s="41" t="s">
        <v>904</v>
      </c>
      <c r="F106" s="41" t="s">
        <v>904</v>
      </c>
      <c r="G106" s="58"/>
      <c r="H106" s="41" t="s">
        <v>904</v>
      </c>
      <c r="I106" s="41" t="s">
        <v>904</v>
      </c>
      <c r="J106" s="59"/>
      <c r="K106" s="60"/>
      <c r="L106" s="60"/>
      <c r="M106" s="60"/>
      <c r="N106" s="60"/>
      <c r="O106" s="61"/>
      <c r="P106" s="41" t="s">
        <v>904</v>
      </c>
      <c r="Q106" s="41" t="s">
        <v>904</v>
      </c>
      <c r="R106" s="41"/>
      <c r="S106" s="41"/>
    </row>
    <row r="107" spans="3:17" ht="20.100000000000001" customHeight="1" x14ac:dyDescent="0.25">
      <c r="C107" s="57" t="s">
        <v>904</v>
      </c>
      <c r="D107" s="44"/>
      <c r="E107" s="41" t="s">
        <v>904</v>
      </c>
      <c r="F107" s="41" t="s">
        <v>904</v>
      </c>
      <c r="G107" s="58"/>
      <c r="H107" s="41" t="s">
        <v>904</v>
      </c>
      <c r="I107" s="41" t="s">
        <v>904</v>
      </c>
      <c r="J107" s="59"/>
      <c r="K107" s="60"/>
      <c r="L107" s="60"/>
      <c r="M107" s="60"/>
      <c r="N107" s="60"/>
      <c r="O107" s="61"/>
      <c r="P107" s="41" t="s">
        <v>904</v>
      </c>
      <c r="Q107" s="41" t="s">
        <v>904</v>
      </c>
      <c r="R107" s="41"/>
      <c r="S107" s="41"/>
    </row>
    <row r="108" spans="3:17" ht="20.100000000000001" customHeight="1" x14ac:dyDescent="0.25">
      <c r="C108" s="57" t="s">
        <v>904</v>
      </c>
      <c r="D108" s="44"/>
      <c r="E108" s="41" t="s">
        <v>904</v>
      </c>
      <c r="F108" s="41" t="s">
        <v>904</v>
      </c>
      <c r="G108" s="58"/>
      <c r="H108" s="41" t="s">
        <v>904</v>
      </c>
      <c r="I108" s="41" t="s">
        <v>904</v>
      </c>
      <c r="J108" s="59"/>
      <c r="K108" s="60"/>
      <c r="L108" s="60"/>
      <c r="M108" s="60"/>
      <c r="N108" s="60"/>
      <c r="O108" s="61"/>
      <c r="P108" s="41" t="s">
        <v>904</v>
      </c>
      <c r="Q108" s="41" t="s">
        <v>904</v>
      </c>
      <c r="R108" s="41"/>
      <c r="S108" s="41"/>
    </row>
    <row r="109" spans="3:17" ht="20.100000000000001" customHeight="1" x14ac:dyDescent="0.25">
      <c r="C109" s="57" t="s">
        <v>904</v>
      </c>
      <c r="D109" s="44"/>
      <c r="E109" s="41" t="s">
        <v>904</v>
      </c>
      <c r="F109" s="41" t="s">
        <v>904</v>
      </c>
      <c r="G109" s="58"/>
      <c r="H109" s="41" t="s">
        <v>904</v>
      </c>
      <c r="I109" s="41" t="s">
        <v>904</v>
      </c>
      <c r="J109" s="59"/>
      <c r="K109" s="60"/>
      <c r="L109" s="60"/>
      <c r="M109" s="60"/>
      <c r="N109" s="60"/>
      <c r="O109" s="61"/>
      <c r="P109" s="41" t="s">
        <v>904</v>
      </c>
      <c r="Q109" s="41" t="s">
        <v>904</v>
      </c>
      <c r="R109" s="41"/>
      <c r="S109" s="41"/>
    </row>
    <row r="110" spans="3:17" ht="20.100000000000001" customHeight="1" x14ac:dyDescent="0.25">
      <c r="C110" s="57" t="s">
        <v>904</v>
      </c>
      <c r="D110" s="44"/>
      <c r="E110" s="41" t="s">
        <v>904</v>
      </c>
      <c r="F110" s="41" t="s">
        <v>904</v>
      </c>
      <c r="G110" s="58"/>
      <c r="H110" s="41" t="s">
        <v>904</v>
      </c>
      <c r="I110" s="41" t="s">
        <v>904</v>
      </c>
      <c r="J110" s="59"/>
      <c r="K110" s="60"/>
      <c r="L110" s="60"/>
      <c r="M110" s="60"/>
      <c r="N110" s="60"/>
      <c r="O110" s="61"/>
      <c r="P110" s="41" t="s">
        <v>904</v>
      </c>
      <c r="Q110" s="41" t="s">
        <v>904</v>
      </c>
      <c r="R110" s="41"/>
      <c r="S110" s="41"/>
    </row>
    <row r="111" spans="3:17" ht="20.100000000000001" customHeight="1" x14ac:dyDescent="0.25">
      <c r="C111" s="57" t="s">
        <v>904</v>
      </c>
      <c r="D111" s="44"/>
      <c r="E111" s="41" t="s">
        <v>904</v>
      </c>
      <c r="F111" s="41" t="s">
        <v>904</v>
      </c>
      <c r="G111" s="58"/>
      <c r="H111" s="41" t="s">
        <v>904</v>
      </c>
      <c r="I111" s="41" t="s">
        <v>904</v>
      </c>
      <c r="J111" s="59"/>
      <c r="K111" s="60"/>
      <c r="L111" s="60"/>
      <c r="M111" s="60"/>
      <c r="N111" s="60"/>
      <c r="O111" s="61"/>
      <c r="P111" s="41" t="s">
        <v>904</v>
      </c>
      <c r="Q111" s="41" t="s">
        <v>904</v>
      </c>
      <c r="R111" s="41"/>
      <c r="S111" s="41"/>
    </row>
    <row r="112" spans="3:17" ht="20.100000000000001" customHeight="1" x14ac:dyDescent="0.25">
      <c r="C112" s="57" t="s">
        <v>904</v>
      </c>
      <c r="D112" s="44"/>
      <c r="E112" s="41" t="s">
        <v>904</v>
      </c>
      <c r="F112" s="41" t="s">
        <v>904</v>
      </c>
      <c r="G112" s="58"/>
      <c r="H112" s="41" t="s">
        <v>904</v>
      </c>
      <c r="I112" s="41" t="s">
        <v>904</v>
      </c>
      <c r="J112" s="59"/>
      <c r="K112" s="60"/>
      <c r="L112" s="60"/>
      <c r="M112" s="60"/>
      <c r="N112" s="60"/>
      <c r="O112" s="61"/>
      <c r="P112" s="41" t="s">
        <v>904</v>
      </c>
      <c r="Q112" s="41" t="s">
        <v>904</v>
      </c>
      <c r="R112" s="41"/>
      <c r="S112" s="41"/>
    </row>
    <row r="113" spans="3:17" ht="20.100000000000001" customHeight="1" x14ac:dyDescent="0.25">
      <c r="C113" s="57" t="s">
        <v>904</v>
      </c>
      <c r="D113" s="44"/>
      <c r="E113" s="41" t="s">
        <v>904</v>
      </c>
      <c r="F113" s="41" t="s">
        <v>904</v>
      </c>
      <c r="G113" s="58"/>
      <c r="H113" s="41" t="s">
        <v>904</v>
      </c>
      <c r="I113" s="41" t="s">
        <v>904</v>
      </c>
      <c r="J113" s="59"/>
      <c r="K113" s="60"/>
      <c r="L113" s="60"/>
      <c r="M113" s="60"/>
      <c r="N113" s="60"/>
      <c r="O113" s="61"/>
      <c r="P113" s="41" t="s">
        <v>904</v>
      </c>
      <c r="Q113" s="41" t="s">
        <v>904</v>
      </c>
      <c r="R113" s="41"/>
      <c r="S113" s="41"/>
    </row>
    <row r="114" spans="3:17" ht="20.100000000000001" customHeight="1" x14ac:dyDescent="0.25">
      <c r="C114" s="57" t="s">
        <v>904</v>
      </c>
      <c r="D114" s="44"/>
      <c r="E114" s="41" t="s">
        <v>904</v>
      </c>
      <c r="F114" s="41" t="s">
        <v>904</v>
      </c>
      <c r="G114" s="58"/>
      <c r="H114" s="41" t="s">
        <v>904</v>
      </c>
      <c r="I114" s="41" t="s">
        <v>904</v>
      </c>
      <c r="J114" s="59"/>
      <c r="K114" s="60"/>
      <c r="L114" s="60"/>
      <c r="M114" s="60"/>
      <c r="N114" s="60"/>
      <c r="O114" s="61"/>
      <c r="P114" s="41" t="s">
        <v>904</v>
      </c>
      <c r="Q114" s="41" t="s">
        <v>904</v>
      </c>
      <c r="R114" s="41"/>
      <c r="S114" s="41"/>
    </row>
    <row r="115" spans="3:17" ht="20.100000000000001" customHeight="1" x14ac:dyDescent="0.25">
      <c r="C115" s="57" t="s">
        <v>904</v>
      </c>
      <c r="D115" s="44"/>
      <c r="E115" s="41" t="s">
        <v>904</v>
      </c>
      <c r="F115" s="41" t="s">
        <v>904</v>
      </c>
      <c r="G115" s="58"/>
      <c r="H115" s="41" t="s">
        <v>904</v>
      </c>
      <c r="I115" s="41" t="s">
        <v>904</v>
      </c>
      <c r="J115" s="59"/>
      <c r="K115" s="60"/>
      <c r="L115" s="60"/>
      <c r="M115" s="60"/>
      <c r="N115" s="60"/>
      <c r="O115" s="61"/>
      <c r="P115" s="41" t="s">
        <v>904</v>
      </c>
      <c r="Q115" s="41" t="s">
        <v>904</v>
      </c>
      <c r="R115" s="41"/>
      <c r="S115" s="41"/>
    </row>
    <row r="116" spans="3:17" ht="20.100000000000001" customHeight="1" x14ac:dyDescent="0.25">
      <c r="C116" s="57" t="s">
        <v>904</v>
      </c>
      <c r="D116" s="44"/>
      <c r="E116" s="41" t="s">
        <v>904</v>
      </c>
      <c r="F116" s="41" t="s">
        <v>904</v>
      </c>
      <c r="G116" s="58"/>
      <c r="H116" s="41" t="s">
        <v>904</v>
      </c>
      <c r="I116" s="41" t="s">
        <v>904</v>
      </c>
      <c r="J116" s="59"/>
      <c r="K116" s="60"/>
      <c r="L116" s="60"/>
      <c r="M116" s="60"/>
      <c r="N116" s="60"/>
      <c r="O116" s="61"/>
      <c r="P116" s="41" t="s">
        <v>904</v>
      </c>
      <c r="Q116" s="41" t="s">
        <v>904</v>
      </c>
      <c r="R116" s="41"/>
      <c r="S116" s="41"/>
    </row>
    <row r="117" spans="3:17" ht="20.100000000000001" customHeight="1" x14ac:dyDescent="0.25">
      <c r="C117" s="57" t="s">
        <v>904</v>
      </c>
      <c r="D117" s="44"/>
      <c r="E117" s="41" t="s">
        <v>904</v>
      </c>
      <c r="F117" s="41" t="s">
        <v>904</v>
      </c>
      <c r="G117" s="58"/>
      <c r="H117" s="41" t="s">
        <v>904</v>
      </c>
      <c r="I117" s="41" t="s">
        <v>904</v>
      </c>
      <c r="J117" s="59"/>
      <c r="K117" s="60"/>
      <c r="L117" s="60"/>
      <c r="M117" s="60"/>
      <c r="N117" s="60"/>
      <c r="O117" s="61"/>
      <c r="P117" s="41" t="s">
        <v>904</v>
      </c>
      <c r="Q117" s="41" t="s">
        <v>904</v>
      </c>
      <c r="R117" s="41"/>
      <c r="S117" s="41"/>
    </row>
    <row r="118" spans="3:17" ht="20.100000000000001" customHeight="1" x14ac:dyDescent="0.25">
      <c r="C118" s="57" t="s">
        <v>904</v>
      </c>
      <c r="D118" s="44"/>
      <c r="E118" s="41" t="s">
        <v>904</v>
      </c>
      <c r="F118" s="41" t="s">
        <v>904</v>
      </c>
      <c r="G118" s="58"/>
      <c r="H118" s="41" t="s">
        <v>904</v>
      </c>
      <c r="I118" s="41" t="s">
        <v>904</v>
      </c>
      <c r="J118" s="59"/>
      <c r="K118" s="60"/>
      <c r="L118" s="60"/>
      <c r="M118" s="60"/>
      <c r="N118" s="60"/>
      <c r="O118" s="61"/>
      <c r="P118" s="41" t="s">
        <v>904</v>
      </c>
      <c r="Q118" s="41" t="s">
        <v>904</v>
      </c>
      <c r="R118" s="41"/>
      <c r="S118" s="41"/>
    </row>
    <row r="119" spans="3:17" ht="20.100000000000001" customHeight="1" x14ac:dyDescent="0.25">
      <c r="C119" s="57" t="s">
        <v>904</v>
      </c>
      <c r="D119" s="44"/>
      <c r="E119" s="41" t="s">
        <v>904</v>
      </c>
      <c r="F119" s="41" t="s">
        <v>904</v>
      </c>
      <c r="G119" s="58"/>
      <c r="H119" s="41" t="s">
        <v>904</v>
      </c>
      <c r="I119" s="41" t="s">
        <v>904</v>
      </c>
      <c r="J119" s="59"/>
      <c r="K119" s="60"/>
      <c r="L119" s="60"/>
      <c r="M119" s="60"/>
      <c r="N119" s="60"/>
      <c r="O119" s="61"/>
      <c r="P119" s="41" t="s">
        <v>904</v>
      </c>
      <c r="Q119" s="41" t="s">
        <v>904</v>
      </c>
      <c r="R119" s="41"/>
      <c r="S119" s="41"/>
    </row>
    <row r="120" spans="3:17" ht="20.100000000000001" customHeight="1" x14ac:dyDescent="0.25">
      <c r="C120" s="57" t="s">
        <v>904</v>
      </c>
      <c r="D120" s="44"/>
      <c r="E120" s="41" t="s">
        <v>904</v>
      </c>
      <c r="F120" s="41" t="s">
        <v>904</v>
      </c>
      <c r="G120" s="58"/>
      <c r="H120" s="41" t="s">
        <v>904</v>
      </c>
      <c r="I120" s="41" t="s">
        <v>904</v>
      </c>
      <c r="J120" s="59"/>
      <c r="K120" s="60"/>
      <c r="L120" s="60"/>
      <c r="M120" s="60"/>
      <c r="N120" s="60"/>
      <c r="O120" s="61"/>
      <c r="P120" s="41" t="s">
        <v>904</v>
      </c>
      <c r="Q120" s="41" t="s">
        <v>904</v>
      </c>
      <c r="R120" s="41"/>
      <c r="S120" s="41"/>
    </row>
    <row r="121" spans="3:17" ht="20.100000000000001" customHeight="1" x14ac:dyDescent="0.25">
      <c r="C121" s="57" t="s">
        <v>904</v>
      </c>
      <c r="D121" s="44"/>
      <c r="E121" s="41" t="s">
        <v>904</v>
      </c>
      <c r="F121" s="41" t="s">
        <v>904</v>
      </c>
      <c r="G121" s="58"/>
      <c r="H121" s="41" t="s">
        <v>904</v>
      </c>
      <c r="I121" s="41" t="s">
        <v>904</v>
      </c>
      <c r="J121" s="59"/>
      <c r="K121" s="60"/>
      <c r="L121" s="60"/>
      <c r="M121" s="60"/>
      <c r="N121" s="60"/>
      <c r="O121" s="61"/>
      <c r="P121" s="41" t="s">
        <v>904</v>
      </c>
      <c r="Q121" s="41" t="s">
        <v>904</v>
      </c>
      <c r="R121" s="41"/>
      <c r="S121" s="41"/>
    </row>
    <row r="122" spans="3:17" ht="20.100000000000001" customHeight="1" x14ac:dyDescent="0.25">
      <c r="C122" s="57" t="s">
        <v>904</v>
      </c>
      <c r="D122" s="44"/>
      <c r="E122" s="41" t="s">
        <v>904</v>
      </c>
      <c r="F122" s="41" t="s">
        <v>904</v>
      </c>
      <c r="G122" s="58"/>
      <c r="H122" s="41" t="s">
        <v>904</v>
      </c>
      <c r="I122" s="41" t="s">
        <v>904</v>
      </c>
      <c r="J122" s="59"/>
      <c r="K122" s="60"/>
      <c r="L122" s="60"/>
      <c r="M122" s="60"/>
      <c r="N122" s="60"/>
      <c r="O122" s="61"/>
      <c r="P122" s="41" t="s">
        <v>904</v>
      </c>
      <c r="Q122" s="41" t="s">
        <v>904</v>
      </c>
      <c r="R122" s="41"/>
      <c r="S122" s="41"/>
    </row>
    <row r="123" spans="3:17" ht="20.100000000000001" customHeight="1" x14ac:dyDescent="0.25">
      <c r="C123" s="57" t="s">
        <v>904</v>
      </c>
      <c r="D123" s="44"/>
      <c r="E123" s="41" t="s">
        <v>904</v>
      </c>
      <c r="F123" s="41" t="s">
        <v>904</v>
      </c>
      <c r="G123" s="58"/>
      <c r="H123" s="41" t="s">
        <v>904</v>
      </c>
      <c r="I123" s="41" t="s">
        <v>904</v>
      </c>
      <c r="J123" s="59"/>
      <c r="K123" s="60"/>
      <c r="L123" s="60"/>
      <c r="M123" s="60"/>
      <c r="N123" s="60"/>
      <c r="O123" s="61"/>
      <c r="P123" s="41" t="s">
        <v>904</v>
      </c>
      <c r="Q123" s="41" t="s">
        <v>904</v>
      </c>
      <c r="R123" s="41"/>
      <c r="S123" s="41"/>
    </row>
    <row r="124" spans="3:17" ht="20.100000000000001" customHeight="1" x14ac:dyDescent="0.25">
      <c r="C124" s="57" t="s">
        <v>904</v>
      </c>
      <c r="D124" s="44"/>
      <c r="E124" s="41" t="s">
        <v>904</v>
      </c>
      <c r="F124" s="41" t="s">
        <v>904</v>
      </c>
      <c r="G124" s="58"/>
      <c r="H124" s="41" t="s">
        <v>904</v>
      </c>
      <c r="I124" s="41" t="s">
        <v>904</v>
      </c>
      <c r="J124" s="59"/>
      <c r="K124" s="60"/>
      <c r="L124" s="60"/>
      <c r="M124" s="60"/>
      <c r="N124" s="60"/>
      <c r="O124" s="61"/>
      <c r="P124" s="41" t="s">
        <v>904</v>
      </c>
      <c r="Q124" s="41" t="s">
        <v>904</v>
      </c>
      <c r="R124" s="41"/>
      <c r="S124" s="41"/>
    </row>
    <row r="125" spans="3:17" ht="20.100000000000001" customHeight="1" x14ac:dyDescent="0.25">
      <c r="C125" s="57" t="s">
        <v>904</v>
      </c>
      <c r="D125" s="44"/>
      <c r="E125" s="41" t="s">
        <v>904</v>
      </c>
      <c r="F125" s="41" t="s">
        <v>904</v>
      </c>
      <c r="G125" s="58"/>
      <c r="H125" s="41" t="s">
        <v>904</v>
      </c>
      <c r="I125" s="41" t="s">
        <v>904</v>
      </c>
      <c r="J125" s="59"/>
      <c r="K125" s="60"/>
      <c r="L125" s="60"/>
      <c r="M125" s="60"/>
      <c r="N125" s="60"/>
      <c r="O125" s="61"/>
      <c r="P125" s="41" t="s">
        <v>904</v>
      </c>
      <c r="Q125" s="41" t="s">
        <v>904</v>
      </c>
      <c r="R125" s="41"/>
      <c r="S125" s="41"/>
    </row>
    <row r="126" spans="3:17" ht="20.100000000000001" customHeight="1" x14ac:dyDescent="0.25">
      <c r="C126" s="57" t="s">
        <v>904</v>
      </c>
      <c r="D126" s="44"/>
      <c r="E126" s="41" t="s">
        <v>904</v>
      </c>
      <c r="F126" s="41" t="s">
        <v>904</v>
      </c>
      <c r="G126" s="58"/>
      <c r="H126" s="41" t="s">
        <v>904</v>
      </c>
      <c r="I126" s="41" t="s">
        <v>904</v>
      </c>
      <c r="J126" s="59"/>
      <c r="K126" s="60"/>
      <c r="L126" s="60"/>
      <c r="M126" s="60"/>
      <c r="N126" s="60"/>
      <c r="O126" s="61"/>
      <c r="P126" s="41" t="s">
        <v>904</v>
      </c>
      <c r="Q126" s="41" t="s">
        <v>904</v>
      </c>
      <c r="R126" s="41"/>
      <c r="S126" s="41"/>
    </row>
    <row r="127" spans="3:17" ht="20.100000000000001" customHeight="1" x14ac:dyDescent="0.25">
      <c r="C127" s="57" t="s">
        <v>904</v>
      </c>
      <c r="D127" s="44"/>
      <c r="E127" s="41" t="s">
        <v>904</v>
      </c>
      <c r="F127" s="41" t="s">
        <v>904</v>
      </c>
      <c r="G127" s="58"/>
      <c r="H127" s="41" t="s">
        <v>904</v>
      </c>
      <c r="I127" s="41" t="s">
        <v>904</v>
      </c>
      <c r="J127" s="59"/>
      <c r="K127" s="60"/>
      <c r="L127" s="60"/>
      <c r="M127" s="60"/>
      <c r="N127" s="60"/>
      <c r="O127" s="61"/>
      <c r="P127" s="41" t="s">
        <v>904</v>
      </c>
      <c r="Q127" s="41" t="s">
        <v>904</v>
      </c>
      <c r="R127" s="41"/>
      <c r="S127" s="41"/>
    </row>
    <row r="128" spans="3:17" ht="20.100000000000001" customHeight="1" x14ac:dyDescent="0.25">
      <c r="C128" s="57" t="s">
        <v>904</v>
      </c>
      <c r="D128" s="44"/>
      <c r="E128" s="41" t="s">
        <v>904</v>
      </c>
      <c r="F128" s="41" t="s">
        <v>904</v>
      </c>
      <c r="G128" s="58"/>
      <c r="H128" s="41" t="s">
        <v>904</v>
      </c>
      <c r="I128" s="41" t="s">
        <v>904</v>
      </c>
      <c r="J128" s="59"/>
      <c r="K128" s="60"/>
      <c r="L128" s="60"/>
      <c r="M128" s="60"/>
      <c r="N128" s="60"/>
      <c r="O128" s="61"/>
      <c r="P128" s="41" t="s">
        <v>904</v>
      </c>
      <c r="Q128" s="41" t="s">
        <v>904</v>
      </c>
      <c r="R128" s="41"/>
      <c r="S128" s="41"/>
    </row>
    <row r="129" spans="3:17" ht="20.100000000000001" customHeight="1" x14ac:dyDescent="0.25">
      <c r="C129" s="57" t="s">
        <v>904</v>
      </c>
      <c r="D129" s="44"/>
      <c r="E129" s="41" t="s">
        <v>904</v>
      </c>
      <c r="F129" s="41" t="s">
        <v>904</v>
      </c>
      <c r="G129" s="58"/>
      <c r="H129" s="41" t="s">
        <v>904</v>
      </c>
      <c r="I129" s="41" t="s">
        <v>904</v>
      </c>
      <c r="J129" s="59"/>
      <c r="K129" s="60"/>
      <c r="L129" s="60"/>
      <c r="M129" s="60"/>
      <c r="N129" s="60"/>
      <c r="O129" s="61"/>
      <c r="P129" s="41" t="s">
        <v>904</v>
      </c>
      <c r="Q129" s="41" t="s">
        <v>904</v>
      </c>
      <c r="R129" s="41"/>
      <c r="S129" s="41"/>
    </row>
    <row r="130" spans="3:17" ht="20.100000000000001" customHeight="1" x14ac:dyDescent="0.25">
      <c r="C130" s="57" t="s">
        <v>904</v>
      </c>
      <c r="D130" s="44"/>
      <c r="E130" s="41" t="s">
        <v>904</v>
      </c>
      <c r="F130" s="41" t="s">
        <v>904</v>
      </c>
      <c r="G130" s="58"/>
      <c r="H130" s="41" t="s">
        <v>904</v>
      </c>
      <c r="I130" s="41" t="s">
        <v>904</v>
      </c>
      <c r="J130" s="59"/>
      <c r="K130" s="60"/>
      <c r="L130" s="60"/>
      <c r="M130" s="60"/>
      <c r="N130" s="60"/>
      <c r="O130" s="61"/>
      <c r="P130" s="41" t="s">
        <v>904</v>
      </c>
      <c r="Q130" s="41" t="s">
        <v>904</v>
      </c>
      <c r="R130" s="41"/>
      <c r="S130" s="41"/>
    </row>
    <row r="131" spans="3:17" ht="20.100000000000001" customHeight="1" x14ac:dyDescent="0.25">
      <c r="C131" s="57" t="s">
        <v>904</v>
      </c>
      <c r="D131" s="44"/>
      <c r="E131" s="41" t="s">
        <v>904</v>
      </c>
      <c r="F131" s="41" t="s">
        <v>904</v>
      </c>
      <c r="G131" s="58"/>
      <c r="H131" s="41" t="s">
        <v>904</v>
      </c>
      <c r="I131" s="41" t="s">
        <v>904</v>
      </c>
      <c r="J131" s="59"/>
      <c r="K131" s="60"/>
      <c r="L131" s="60"/>
      <c r="M131" s="60"/>
      <c r="N131" s="60"/>
      <c r="O131" s="61"/>
      <c r="P131" s="41" t="s">
        <v>904</v>
      </c>
      <c r="Q131" s="41" t="s">
        <v>904</v>
      </c>
      <c r="R131" s="41"/>
      <c r="S131" s="41"/>
    </row>
    <row r="132" spans="3:17" ht="20.100000000000001" customHeight="1" x14ac:dyDescent="0.25">
      <c r="C132" s="57" t="s">
        <v>904</v>
      </c>
      <c r="D132" s="44"/>
      <c r="E132" s="41" t="s">
        <v>904</v>
      </c>
      <c r="F132" s="41" t="s">
        <v>904</v>
      </c>
      <c r="G132" s="58"/>
      <c r="H132" s="41" t="s">
        <v>904</v>
      </c>
      <c r="I132" s="41" t="s">
        <v>904</v>
      </c>
      <c r="J132" s="59"/>
      <c r="K132" s="60"/>
      <c r="L132" s="60"/>
      <c r="M132" s="60"/>
      <c r="N132" s="60"/>
      <c r="O132" s="61"/>
      <c r="P132" s="41" t="s">
        <v>904</v>
      </c>
      <c r="Q132" s="41" t="s">
        <v>904</v>
      </c>
      <c r="R132" s="41"/>
      <c r="S132" s="41"/>
    </row>
    <row r="133" spans="3:17" ht="20.100000000000001" customHeight="1" x14ac:dyDescent="0.25">
      <c r="C133" s="57" t="s">
        <v>904</v>
      </c>
      <c r="D133" s="44"/>
      <c r="E133" s="41" t="s">
        <v>904</v>
      </c>
      <c r="F133" s="41" t="s">
        <v>904</v>
      </c>
      <c r="G133" s="58"/>
      <c r="H133" s="41" t="s">
        <v>904</v>
      </c>
      <c r="I133" s="41" t="s">
        <v>904</v>
      </c>
      <c r="J133" s="59"/>
      <c r="K133" s="60"/>
      <c r="L133" s="60"/>
      <c r="M133" s="60"/>
      <c r="N133" s="60"/>
      <c r="O133" s="61"/>
      <c r="P133" s="41" t="s">
        <v>904</v>
      </c>
      <c r="Q133" s="41" t="s">
        <v>904</v>
      </c>
      <c r="R133" s="41"/>
      <c r="S133" s="41"/>
    </row>
    <row r="134" spans="3:17" ht="20.100000000000001" customHeight="1" x14ac:dyDescent="0.25">
      <c r="C134" s="57" t="s">
        <v>904</v>
      </c>
      <c r="D134" s="44"/>
      <c r="E134" s="41" t="s">
        <v>904</v>
      </c>
      <c r="F134" s="41" t="s">
        <v>904</v>
      </c>
      <c r="G134" s="58"/>
      <c r="H134" s="41" t="s">
        <v>904</v>
      </c>
      <c r="I134" s="41" t="s">
        <v>904</v>
      </c>
      <c r="J134" s="59"/>
      <c r="K134" s="60"/>
      <c r="L134" s="60"/>
      <c r="M134" s="60"/>
      <c r="N134" s="60"/>
      <c r="O134" s="61"/>
      <c r="P134" s="41" t="s">
        <v>904</v>
      </c>
      <c r="Q134" s="41" t="s">
        <v>904</v>
      </c>
      <c r="R134" s="41"/>
      <c r="S134" s="41"/>
    </row>
    <row r="135" spans="3:17" ht="20.100000000000001" customHeight="1" x14ac:dyDescent="0.25">
      <c r="C135" s="57" t="s">
        <v>904</v>
      </c>
      <c r="D135" s="44"/>
      <c r="E135" s="41" t="s">
        <v>904</v>
      </c>
      <c r="F135" s="41" t="s">
        <v>904</v>
      </c>
      <c r="G135" s="58"/>
      <c r="H135" s="41" t="s">
        <v>904</v>
      </c>
      <c r="I135" s="41" t="s">
        <v>904</v>
      </c>
      <c r="J135" s="59"/>
      <c r="K135" s="60"/>
      <c r="L135" s="60"/>
      <c r="M135" s="60"/>
      <c r="N135" s="60"/>
      <c r="O135" s="61"/>
      <c r="P135" s="41" t="s">
        <v>904</v>
      </c>
      <c r="Q135" s="41" t="s">
        <v>904</v>
      </c>
      <c r="R135" s="41"/>
      <c r="S135" s="41"/>
    </row>
    <row r="136" spans="3:17" ht="20.100000000000001" customHeight="1" x14ac:dyDescent="0.25">
      <c r="C136" s="57" t="s">
        <v>904</v>
      </c>
      <c r="D136" s="44"/>
      <c r="E136" s="41" t="s">
        <v>904</v>
      </c>
      <c r="F136" s="41" t="s">
        <v>904</v>
      </c>
      <c r="G136" s="58"/>
      <c r="H136" s="41" t="s">
        <v>904</v>
      </c>
      <c r="I136" s="41" t="s">
        <v>904</v>
      </c>
      <c r="J136" s="59"/>
      <c r="K136" s="60"/>
      <c r="L136" s="60"/>
      <c r="M136" s="60"/>
      <c r="N136" s="60"/>
      <c r="O136" s="61"/>
      <c r="P136" s="41" t="s">
        <v>904</v>
      </c>
      <c r="Q136" s="41" t="s">
        <v>904</v>
      </c>
      <c r="R136" s="41"/>
      <c r="S136" s="41"/>
    </row>
    <row r="137" spans="3:17" ht="20.100000000000001" customHeight="1" x14ac:dyDescent="0.25">
      <c r="C137" s="57" t="s">
        <v>904</v>
      </c>
      <c r="D137" s="44"/>
      <c r="E137" s="41" t="s">
        <v>904</v>
      </c>
      <c r="F137" s="41" t="s">
        <v>904</v>
      </c>
      <c r="G137" s="58"/>
      <c r="H137" s="41" t="s">
        <v>904</v>
      </c>
      <c r="I137" s="41" t="s">
        <v>904</v>
      </c>
      <c r="J137" s="59"/>
      <c r="K137" s="60"/>
      <c r="L137" s="60"/>
      <c r="M137" s="60"/>
      <c r="N137" s="60"/>
      <c r="O137" s="61"/>
      <c r="P137" s="41" t="s">
        <v>904</v>
      </c>
      <c r="Q137" s="41" t="s">
        <v>904</v>
      </c>
      <c r="R137" s="41"/>
      <c r="S137" s="41"/>
    </row>
    <row r="138" spans="3:17" ht="20.100000000000001" customHeight="1" x14ac:dyDescent="0.25">
      <c r="C138" s="57" t="s">
        <v>904</v>
      </c>
      <c r="D138" s="44"/>
      <c r="E138" s="41" t="s">
        <v>904</v>
      </c>
      <c r="F138" s="41" t="s">
        <v>904</v>
      </c>
      <c r="G138" s="58"/>
      <c r="H138" s="41" t="s">
        <v>904</v>
      </c>
      <c r="I138" s="41" t="s">
        <v>904</v>
      </c>
      <c r="J138" s="59"/>
      <c r="K138" s="60"/>
      <c r="L138" s="60"/>
      <c r="M138" s="60"/>
      <c r="N138" s="60"/>
      <c r="O138" s="61"/>
      <c r="P138" s="41" t="s">
        <v>904</v>
      </c>
      <c r="Q138" s="41" t="s">
        <v>904</v>
      </c>
      <c r="R138" s="41"/>
      <c r="S138" s="41"/>
    </row>
    <row r="139" spans="3:17" ht="20.100000000000001" customHeight="1" x14ac:dyDescent="0.25">
      <c r="C139" s="57" t="s">
        <v>904</v>
      </c>
      <c r="D139" s="44"/>
      <c r="E139" s="41" t="s">
        <v>904</v>
      </c>
      <c r="F139" s="41" t="s">
        <v>904</v>
      </c>
      <c r="G139" s="58"/>
      <c r="H139" s="41" t="s">
        <v>904</v>
      </c>
      <c r="I139" s="41" t="s">
        <v>904</v>
      </c>
      <c r="J139" s="59"/>
      <c r="K139" s="60"/>
      <c r="L139" s="60"/>
      <c r="M139" s="60"/>
      <c r="N139" s="60"/>
      <c r="O139" s="61"/>
      <c r="P139" s="41" t="s">
        <v>904</v>
      </c>
      <c r="Q139" s="41" t="s">
        <v>904</v>
      </c>
      <c r="R139" s="41"/>
      <c r="S139" s="41"/>
    </row>
    <row r="140" spans="3:17" ht="20.100000000000001" customHeight="1" x14ac:dyDescent="0.25">
      <c r="C140" s="57" t="s">
        <v>904</v>
      </c>
      <c r="D140" s="44"/>
      <c r="E140" s="41" t="s">
        <v>904</v>
      </c>
      <c r="F140" s="41" t="s">
        <v>904</v>
      </c>
      <c r="G140" s="58"/>
      <c r="H140" s="41" t="s">
        <v>904</v>
      </c>
      <c r="I140" s="41" t="s">
        <v>904</v>
      </c>
      <c r="J140" s="59"/>
      <c r="K140" s="60"/>
      <c r="L140" s="60"/>
      <c r="M140" s="60"/>
      <c r="N140" s="60"/>
      <c r="O140" s="61"/>
      <c r="P140" s="41" t="s">
        <v>904</v>
      </c>
      <c r="Q140" s="41" t="s">
        <v>904</v>
      </c>
      <c r="R140" s="41"/>
      <c r="S140" s="41"/>
    </row>
    <row r="141" spans="3:17" ht="20.100000000000001" customHeight="1" x14ac:dyDescent="0.25">
      <c r="C141" s="57" t="s">
        <v>904</v>
      </c>
      <c r="D141" s="44"/>
      <c r="E141" s="41" t="s">
        <v>904</v>
      </c>
      <c r="F141" s="41" t="s">
        <v>904</v>
      </c>
      <c r="G141" s="58"/>
      <c r="H141" s="41" t="s">
        <v>904</v>
      </c>
      <c r="I141" s="41" t="s">
        <v>904</v>
      </c>
      <c r="J141" s="59"/>
      <c r="K141" s="60"/>
      <c r="L141" s="60"/>
      <c r="M141" s="60"/>
      <c r="N141" s="60"/>
      <c r="O141" s="61"/>
      <c r="P141" s="41" t="s">
        <v>904</v>
      </c>
      <c r="Q141" s="41" t="s">
        <v>904</v>
      </c>
      <c r="R141" s="41"/>
      <c r="S141" s="41"/>
    </row>
    <row r="142" spans="3:17" ht="20.100000000000001" customHeight="1" x14ac:dyDescent="0.25">
      <c r="C142" s="57" t="s">
        <v>904</v>
      </c>
      <c r="D142" s="44"/>
      <c r="E142" s="41" t="s">
        <v>904</v>
      </c>
      <c r="F142" s="41" t="s">
        <v>904</v>
      </c>
      <c r="G142" s="58"/>
      <c r="H142" s="41" t="s">
        <v>904</v>
      </c>
      <c r="I142" s="41" t="s">
        <v>904</v>
      </c>
      <c r="J142" s="59"/>
      <c r="K142" s="60"/>
      <c r="L142" s="60"/>
      <c r="M142" s="60"/>
      <c r="N142" s="60"/>
      <c r="O142" s="61"/>
      <c r="P142" s="41" t="s">
        <v>904</v>
      </c>
      <c r="Q142" s="41" t="s">
        <v>904</v>
      </c>
      <c r="R142" s="41"/>
      <c r="S142" s="41"/>
    </row>
    <row r="143" spans="3:17" ht="20.100000000000001" customHeight="1" x14ac:dyDescent="0.25">
      <c r="C143" s="57" t="s">
        <v>904</v>
      </c>
      <c r="D143" s="44"/>
      <c r="E143" s="41" t="s">
        <v>904</v>
      </c>
      <c r="F143" s="41" t="s">
        <v>904</v>
      </c>
      <c r="G143" s="58"/>
      <c r="H143" s="41" t="s">
        <v>904</v>
      </c>
      <c r="I143" s="41" t="s">
        <v>904</v>
      </c>
      <c r="J143" s="59"/>
      <c r="K143" s="60"/>
      <c r="L143" s="60"/>
      <c r="M143" s="60"/>
      <c r="N143" s="60"/>
      <c r="O143" s="61"/>
      <c r="P143" s="41" t="s">
        <v>904</v>
      </c>
      <c r="Q143" s="41" t="s">
        <v>904</v>
      </c>
      <c r="R143" s="41"/>
      <c r="S143" s="41"/>
    </row>
    <row r="144" spans="3:17" ht="20.100000000000001" customHeight="1" x14ac:dyDescent="0.25">
      <c r="C144" s="57" t="s">
        <v>904</v>
      </c>
      <c r="D144" s="44"/>
      <c r="E144" s="41" t="s">
        <v>904</v>
      </c>
      <c r="F144" s="41" t="s">
        <v>904</v>
      </c>
      <c r="G144" s="58"/>
      <c r="H144" s="41" t="s">
        <v>904</v>
      </c>
      <c r="I144" s="41" t="s">
        <v>904</v>
      </c>
      <c r="J144" s="59"/>
      <c r="K144" s="60"/>
      <c r="L144" s="60"/>
      <c r="M144" s="60"/>
      <c r="N144" s="60"/>
      <c r="O144" s="61"/>
      <c r="P144" s="41" t="s">
        <v>904</v>
      </c>
      <c r="Q144" s="41" t="s">
        <v>904</v>
      </c>
      <c r="R144" s="41"/>
      <c r="S144" s="41"/>
    </row>
    <row r="145" spans="3:17" ht="20.100000000000001" customHeight="1" x14ac:dyDescent="0.25">
      <c r="C145" s="57" t="s">
        <v>904</v>
      </c>
      <c r="D145" s="44"/>
      <c r="E145" s="41" t="s">
        <v>904</v>
      </c>
      <c r="F145" s="41" t="s">
        <v>904</v>
      </c>
      <c r="G145" s="58"/>
      <c r="H145" s="41" t="s">
        <v>904</v>
      </c>
      <c r="I145" s="41" t="s">
        <v>904</v>
      </c>
      <c r="J145" s="59"/>
      <c r="K145" s="60"/>
      <c r="L145" s="60"/>
      <c r="M145" s="60"/>
      <c r="N145" s="60"/>
      <c r="O145" s="61"/>
      <c r="P145" s="41" t="s">
        <v>904</v>
      </c>
      <c r="Q145" s="41" t="s">
        <v>904</v>
      </c>
      <c r="R145" s="41"/>
      <c r="S145" s="41"/>
    </row>
    <row r="146" spans="3:17" ht="20.100000000000001" customHeight="1" x14ac:dyDescent="0.25">
      <c r="C146" s="57" t="s">
        <v>904</v>
      </c>
      <c r="D146" s="44"/>
      <c r="E146" s="41" t="s">
        <v>904</v>
      </c>
      <c r="F146" s="41" t="s">
        <v>904</v>
      </c>
      <c r="G146" s="58"/>
      <c r="H146" s="41" t="s">
        <v>904</v>
      </c>
      <c r="I146" s="41" t="s">
        <v>904</v>
      </c>
      <c r="J146" s="59"/>
      <c r="K146" s="60"/>
      <c r="L146" s="60"/>
      <c r="M146" s="60"/>
      <c r="N146" s="60"/>
      <c r="O146" s="61"/>
      <c r="P146" s="41" t="s">
        <v>904</v>
      </c>
      <c r="Q146" s="41" t="s">
        <v>904</v>
      </c>
      <c r="R146" s="41"/>
      <c r="S146" s="41"/>
    </row>
    <row r="147" spans="3:17" ht="20.100000000000001" customHeight="1" x14ac:dyDescent="0.25">
      <c r="C147" s="57" t="s">
        <v>904</v>
      </c>
      <c r="D147" s="44"/>
      <c r="E147" s="41" t="s">
        <v>904</v>
      </c>
      <c r="F147" s="41" t="s">
        <v>904</v>
      </c>
      <c r="G147" s="58"/>
      <c r="H147" s="41" t="s">
        <v>904</v>
      </c>
      <c r="I147" s="41" t="s">
        <v>904</v>
      </c>
      <c r="J147" s="59"/>
      <c r="K147" s="60"/>
      <c r="L147" s="60"/>
      <c r="M147" s="60"/>
      <c r="N147" s="60"/>
      <c r="O147" s="61"/>
      <c r="P147" s="41" t="s">
        <v>904</v>
      </c>
      <c r="Q147" s="41" t="s">
        <v>904</v>
      </c>
      <c r="R147" s="41"/>
      <c r="S147" s="41"/>
    </row>
    <row r="148" spans="3:17" ht="20.100000000000001" customHeight="1" x14ac:dyDescent="0.25">
      <c r="C148" s="57" t="s">
        <v>904</v>
      </c>
      <c r="D148" s="44"/>
      <c r="E148" s="41" t="s">
        <v>904</v>
      </c>
      <c r="F148" s="41" t="s">
        <v>904</v>
      </c>
      <c r="G148" s="58"/>
      <c r="H148" s="41" t="s">
        <v>904</v>
      </c>
      <c r="I148" s="41" t="s">
        <v>904</v>
      </c>
      <c r="J148" s="59"/>
      <c r="K148" s="60"/>
      <c r="L148" s="60"/>
      <c r="M148" s="60"/>
      <c r="N148" s="60"/>
      <c r="O148" s="61"/>
      <c r="P148" s="41" t="s">
        <v>904</v>
      </c>
      <c r="Q148" s="41" t="s">
        <v>904</v>
      </c>
      <c r="R148" s="41"/>
      <c r="S148" s="41"/>
    </row>
    <row r="149" spans="3:17" ht="20.100000000000001" customHeight="1" x14ac:dyDescent="0.25">
      <c r="C149" s="57" t="s">
        <v>904</v>
      </c>
      <c r="D149" s="44"/>
      <c r="E149" s="41" t="s">
        <v>904</v>
      </c>
      <c r="F149" s="41" t="s">
        <v>904</v>
      </c>
      <c r="G149" s="58"/>
      <c r="H149" s="41" t="s">
        <v>904</v>
      </c>
      <c r="I149" s="41" t="s">
        <v>904</v>
      </c>
      <c r="J149" s="59"/>
      <c r="K149" s="60"/>
      <c r="L149" s="60"/>
      <c r="M149" s="60"/>
      <c r="N149" s="60"/>
      <c r="O149" s="61"/>
      <c r="P149" s="41" t="s">
        <v>904</v>
      </c>
      <c r="Q149" s="41" t="s">
        <v>904</v>
      </c>
      <c r="R149" s="41"/>
      <c r="S149" s="41"/>
    </row>
    <row r="150" spans="3:17" ht="20.100000000000001" customHeight="1" x14ac:dyDescent="0.25">
      <c r="C150" s="57" t="s">
        <v>904</v>
      </c>
      <c r="D150" s="44"/>
      <c r="E150" s="41" t="s">
        <v>904</v>
      </c>
      <c r="F150" s="41" t="s">
        <v>904</v>
      </c>
      <c r="G150" s="58"/>
      <c r="H150" s="41" t="s">
        <v>904</v>
      </c>
      <c r="I150" s="41" t="s">
        <v>904</v>
      </c>
      <c r="J150" s="59"/>
      <c r="K150" s="60"/>
      <c r="L150" s="60"/>
      <c r="M150" s="60"/>
      <c r="N150" s="60"/>
      <c r="O150" s="61"/>
      <c r="P150" s="41" t="s">
        <v>904</v>
      </c>
      <c r="Q150" s="41" t="s">
        <v>904</v>
      </c>
      <c r="R150" s="41"/>
      <c r="S150" s="41"/>
    </row>
    <row r="151" spans="3:17" ht="20.100000000000001" customHeight="1" x14ac:dyDescent="0.25">
      <c r="C151" s="57" t="s">
        <v>904</v>
      </c>
      <c r="D151" s="44"/>
      <c r="E151" s="41" t="s">
        <v>904</v>
      </c>
      <c r="F151" s="41" t="s">
        <v>904</v>
      </c>
      <c r="G151" s="58"/>
      <c r="H151" s="41" t="s">
        <v>904</v>
      </c>
      <c r="I151" s="41" t="s">
        <v>904</v>
      </c>
      <c r="J151" s="59"/>
      <c r="K151" s="60"/>
      <c r="L151" s="60"/>
      <c r="M151" s="60"/>
      <c r="N151" s="60"/>
      <c r="O151" s="61"/>
      <c r="P151" s="41" t="s">
        <v>904</v>
      </c>
      <c r="Q151" s="41" t="s">
        <v>904</v>
      </c>
      <c r="R151" s="41"/>
      <c r="S151" s="41"/>
    </row>
    <row r="152" spans="3:17" ht="20.100000000000001" customHeight="1" x14ac:dyDescent="0.25">
      <c r="C152" s="57" t="s">
        <v>904</v>
      </c>
      <c r="D152" s="44"/>
      <c r="E152" s="41" t="s">
        <v>904</v>
      </c>
      <c r="F152" s="41" t="s">
        <v>904</v>
      </c>
      <c r="G152" s="58"/>
      <c r="H152" s="41" t="s">
        <v>904</v>
      </c>
      <c r="I152" s="41" t="s">
        <v>904</v>
      </c>
      <c r="J152" s="59"/>
      <c r="K152" s="60"/>
      <c r="L152" s="60"/>
      <c r="M152" s="60"/>
      <c r="N152" s="60"/>
      <c r="O152" s="61"/>
      <c r="P152" s="41" t="s">
        <v>904</v>
      </c>
      <c r="Q152" s="41" t="s">
        <v>904</v>
      </c>
      <c r="R152" s="41"/>
      <c r="S152" s="41"/>
    </row>
    <row r="153" spans="3:17" ht="20.100000000000001" customHeight="1" x14ac:dyDescent="0.25">
      <c r="C153" s="57" t="s">
        <v>904</v>
      </c>
      <c r="D153" s="44"/>
      <c r="E153" s="41" t="s">
        <v>904</v>
      </c>
      <c r="F153" s="41" t="s">
        <v>904</v>
      </c>
      <c r="G153" s="58"/>
      <c r="H153" s="41" t="s">
        <v>904</v>
      </c>
      <c r="I153" s="41" t="s">
        <v>904</v>
      </c>
      <c r="J153" s="59"/>
      <c r="K153" s="60"/>
      <c r="L153" s="60"/>
      <c r="M153" s="60"/>
      <c r="N153" s="60"/>
      <c r="O153" s="61"/>
      <c r="P153" s="41" t="s">
        <v>904</v>
      </c>
      <c r="Q153" s="41" t="s">
        <v>904</v>
      </c>
      <c r="R153" s="41"/>
      <c r="S153" s="41"/>
    </row>
    <row r="154" spans="3:17" ht="20.100000000000001" customHeight="1" x14ac:dyDescent="0.25">
      <c r="C154" s="57" t="s">
        <v>904</v>
      </c>
      <c r="D154" s="44"/>
      <c r="E154" s="41" t="s">
        <v>904</v>
      </c>
      <c r="F154" s="41" t="s">
        <v>904</v>
      </c>
      <c r="G154" s="58"/>
      <c r="H154" s="41" t="s">
        <v>904</v>
      </c>
      <c r="I154" s="41" t="s">
        <v>904</v>
      </c>
      <c r="J154" s="59"/>
      <c r="K154" s="60"/>
      <c r="L154" s="60"/>
      <c r="M154" s="60"/>
      <c r="N154" s="60"/>
      <c r="O154" s="61"/>
      <c r="P154" s="41" t="s">
        <v>904</v>
      </c>
      <c r="Q154" s="41" t="s">
        <v>904</v>
      </c>
      <c r="R154" s="41"/>
      <c r="S154" s="41"/>
    </row>
    <row r="155" spans="3:17" ht="20.100000000000001" customHeight="1" x14ac:dyDescent="0.25">
      <c r="C155" s="57" t="s">
        <v>904</v>
      </c>
      <c r="D155" s="44"/>
      <c r="E155" s="41" t="s">
        <v>904</v>
      </c>
      <c r="F155" s="41" t="s">
        <v>904</v>
      </c>
      <c r="G155" s="58"/>
      <c r="H155" s="41" t="s">
        <v>904</v>
      </c>
      <c r="I155" s="41" t="s">
        <v>904</v>
      </c>
      <c r="J155" s="59"/>
      <c r="K155" s="60"/>
      <c r="L155" s="60"/>
      <c r="M155" s="60"/>
      <c r="N155" s="60"/>
      <c r="O155" s="61"/>
      <c r="P155" s="41" t="s">
        <v>904</v>
      </c>
      <c r="Q155" s="41" t="s">
        <v>904</v>
      </c>
      <c r="R155" s="41"/>
      <c r="S155" s="41"/>
    </row>
    <row r="156" spans="3:17" ht="20.100000000000001" customHeight="1" x14ac:dyDescent="0.25">
      <c r="C156" s="57" t="s">
        <v>904</v>
      </c>
      <c r="D156" s="44"/>
      <c r="E156" s="41" t="s">
        <v>904</v>
      </c>
      <c r="F156" s="41" t="s">
        <v>904</v>
      </c>
      <c r="G156" s="58"/>
      <c r="H156" s="41" t="s">
        <v>904</v>
      </c>
      <c r="I156" s="41" t="s">
        <v>904</v>
      </c>
      <c r="J156" s="59"/>
      <c r="K156" s="60"/>
      <c r="L156" s="60"/>
      <c r="M156" s="60"/>
      <c r="N156" s="60"/>
      <c r="O156" s="61"/>
      <c r="P156" s="41" t="s">
        <v>904</v>
      </c>
      <c r="Q156" s="41" t="s">
        <v>904</v>
      </c>
      <c r="R156" s="41"/>
      <c r="S156" s="41"/>
    </row>
    <row r="157" spans="3:17" ht="20.100000000000001" customHeight="1" x14ac:dyDescent="0.25">
      <c r="C157" s="57" t="s">
        <v>904</v>
      </c>
      <c r="D157" s="44"/>
      <c r="E157" s="41" t="s">
        <v>904</v>
      </c>
      <c r="F157" s="41" t="s">
        <v>904</v>
      </c>
      <c r="G157" s="58"/>
      <c r="H157" s="41" t="s">
        <v>904</v>
      </c>
      <c r="I157" s="41" t="s">
        <v>904</v>
      </c>
      <c r="J157" s="59"/>
      <c r="K157" s="60"/>
      <c r="L157" s="60"/>
      <c r="M157" s="60"/>
      <c r="N157" s="60"/>
      <c r="O157" s="61"/>
      <c r="P157" s="41" t="s">
        <v>904</v>
      </c>
      <c r="Q157" s="41" t="s">
        <v>904</v>
      </c>
      <c r="R157" s="41"/>
      <c r="S157" s="41"/>
    </row>
    <row r="158" spans="3:17" ht="20.100000000000001" customHeight="1" x14ac:dyDescent="0.25">
      <c r="C158" s="57" t="s">
        <v>904</v>
      </c>
      <c r="D158" s="44"/>
      <c r="E158" s="41" t="s">
        <v>904</v>
      </c>
      <c r="F158" s="41" t="s">
        <v>904</v>
      </c>
      <c r="G158" s="58"/>
      <c r="H158" s="41" t="s">
        <v>904</v>
      </c>
      <c r="I158" s="41" t="s">
        <v>904</v>
      </c>
      <c r="J158" s="59"/>
      <c r="K158" s="60"/>
      <c r="L158" s="60"/>
      <c r="M158" s="60"/>
      <c r="N158" s="60"/>
      <c r="O158" s="61"/>
      <c r="P158" s="41" t="s">
        <v>904</v>
      </c>
      <c r="Q158" s="41" t="s">
        <v>904</v>
      </c>
      <c r="R158" s="41"/>
      <c r="S158" s="41"/>
    </row>
    <row r="159" spans="3:17" ht="20.100000000000001" customHeight="1" x14ac:dyDescent="0.25">
      <c r="C159" s="57" t="s">
        <v>904</v>
      </c>
      <c r="D159" s="44"/>
      <c r="E159" s="41" t="s">
        <v>904</v>
      </c>
      <c r="F159" s="41" t="s">
        <v>904</v>
      </c>
      <c r="G159" s="58"/>
      <c r="H159" s="41" t="s">
        <v>904</v>
      </c>
      <c r="I159" s="41" t="s">
        <v>904</v>
      </c>
      <c r="J159" s="59"/>
      <c r="K159" s="60"/>
      <c r="L159" s="60"/>
      <c r="M159" s="60"/>
      <c r="N159" s="60"/>
      <c r="O159" s="61"/>
      <c r="P159" s="41" t="s">
        <v>904</v>
      </c>
      <c r="Q159" s="41" t="s">
        <v>904</v>
      </c>
      <c r="R159" s="41"/>
      <c r="S159" s="41"/>
    </row>
    <row r="160" spans="3:17" ht="20.100000000000001" customHeight="1" x14ac:dyDescent="0.25">
      <c r="C160" s="57" t="s">
        <v>904</v>
      </c>
      <c r="D160" s="44"/>
      <c r="E160" s="41" t="s">
        <v>904</v>
      </c>
      <c r="F160" s="41" t="s">
        <v>904</v>
      </c>
      <c r="G160" s="58"/>
      <c r="H160" s="41" t="s">
        <v>904</v>
      </c>
      <c r="I160" s="41" t="s">
        <v>904</v>
      </c>
      <c r="J160" s="59"/>
      <c r="K160" s="60"/>
      <c r="L160" s="60"/>
      <c r="M160" s="60"/>
      <c r="N160" s="60"/>
      <c r="O160" s="61"/>
      <c r="P160" s="41" t="s">
        <v>904</v>
      </c>
      <c r="Q160" s="41" t="s">
        <v>904</v>
      </c>
      <c r="R160" s="41"/>
      <c r="S160" s="41"/>
    </row>
    <row r="161" spans="3:17" ht="20.100000000000001" customHeight="1" x14ac:dyDescent="0.25">
      <c r="C161" s="57" t="s">
        <v>904</v>
      </c>
      <c r="D161" s="44"/>
      <c r="E161" s="41" t="s">
        <v>904</v>
      </c>
      <c r="F161" s="41" t="s">
        <v>904</v>
      </c>
      <c r="G161" s="58"/>
      <c r="H161" s="41" t="s">
        <v>904</v>
      </c>
      <c r="I161" s="41" t="s">
        <v>904</v>
      </c>
      <c r="J161" s="59"/>
      <c r="K161" s="60"/>
      <c r="L161" s="60"/>
      <c r="M161" s="60"/>
      <c r="N161" s="60"/>
      <c r="O161" s="61"/>
      <c r="P161" s="41" t="s">
        <v>904</v>
      </c>
      <c r="Q161" s="41" t="s">
        <v>904</v>
      </c>
      <c r="R161" s="41"/>
      <c r="S161" s="41"/>
    </row>
    <row r="162" spans="3:17" ht="20.100000000000001" customHeight="1" x14ac:dyDescent="0.25">
      <c r="C162" s="57" t="s">
        <v>904</v>
      </c>
      <c r="D162" s="44"/>
      <c r="E162" s="41" t="s">
        <v>904</v>
      </c>
      <c r="F162" s="41" t="s">
        <v>904</v>
      </c>
      <c r="G162" s="58"/>
      <c r="H162" s="41" t="s">
        <v>904</v>
      </c>
      <c r="I162" s="41" t="s">
        <v>904</v>
      </c>
      <c r="J162" s="59"/>
      <c r="K162" s="60"/>
      <c r="L162" s="60"/>
      <c r="M162" s="60"/>
      <c r="N162" s="60"/>
      <c r="O162" s="61"/>
      <c r="P162" s="41" t="s">
        <v>904</v>
      </c>
      <c r="Q162" s="41" t="s">
        <v>904</v>
      </c>
      <c r="R162" s="41"/>
      <c r="S162" s="41"/>
    </row>
    <row r="163" spans="3:17" ht="20.100000000000001" customHeight="1" x14ac:dyDescent="0.25">
      <c r="C163" s="57" t="s">
        <v>904</v>
      </c>
      <c r="D163" s="44"/>
      <c r="E163" s="41" t="s">
        <v>904</v>
      </c>
      <c r="F163" s="41" t="s">
        <v>904</v>
      </c>
      <c r="G163" s="58"/>
      <c r="H163" s="41" t="s">
        <v>904</v>
      </c>
      <c r="I163" s="41" t="s">
        <v>904</v>
      </c>
      <c r="J163" s="59"/>
      <c r="K163" s="60"/>
      <c r="L163" s="60"/>
      <c r="M163" s="60"/>
      <c r="N163" s="60"/>
      <c r="O163" s="61"/>
      <c r="P163" s="41" t="s">
        <v>904</v>
      </c>
      <c r="Q163" s="41" t="s">
        <v>904</v>
      </c>
      <c r="R163" s="41"/>
      <c r="S163" s="41"/>
    </row>
    <row r="164" spans="3:17" ht="20.100000000000001" customHeight="1" x14ac:dyDescent="0.25">
      <c r="C164" s="57" t="s">
        <v>904</v>
      </c>
      <c r="D164" s="44"/>
      <c r="E164" s="41" t="s">
        <v>904</v>
      </c>
      <c r="F164" s="41" t="s">
        <v>904</v>
      </c>
      <c r="G164" s="58"/>
      <c r="H164" s="41" t="s">
        <v>904</v>
      </c>
      <c r="I164" s="41" t="s">
        <v>904</v>
      </c>
      <c r="J164" s="59"/>
      <c r="K164" s="60"/>
      <c r="L164" s="60"/>
      <c r="M164" s="60"/>
      <c r="N164" s="60"/>
      <c r="O164" s="61"/>
      <c r="P164" s="41" t="s">
        <v>904</v>
      </c>
      <c r="Q164" s="41" t="s">
        <v>904</v>
      </c>
      <c r="R164" s="41"/>
      <c r="S164" s="41"/>
    </row>
    <row r="165" spans="3:17" ht="20.100000000000001" customHeight="1" x14ac:dyDescent="0.25">
      <c r="C165" s="57" t="s">
        <v>904</v>
      </c>
      <c r="D165" s="44"/>
      <c r="E165" s="41" t="s">
        <v>904</v>
      </c>
      <c r="F165" s="41" t="s">
        <v>904</v>
      </c>
      <c r="G165" s="58"/>
      <c r="H165" s="41" t="s">
        <v>904</v>
      </c>
      <c r="I165" s="41" t="s">
        <v>904</v>
      </c>
      <c r="J165" s="59"/>
      <c r="K165" s="60"/>
      <c r="L165" s="60"/>
      <c r="M165" s="60"/>
      <c r="N165" s="60"/>
      <c r="O165" s="61"/>
      <c r="P165" s="41" t="s">
        <v>904</v>
      </c>
      <c r="Q165" s="41" t="s">
        <v>904</v>
      </c>
      <c r="R165" s="41"/>
      <c r="S165" s="41"/>
    </row>
    <row r="166" spans="3:17" ht="20.100000000000001" customHeight="1" x14ac:dyDescent="0.25">
      <c r="C166" s="57" t="s">
        <v>904</v>
      </c>
      <c r="D166" s="44"/>
      <c r="E166" s="41" t="s">
        <v>904</v>
      </c>
      <c r="F166" s="41" t="s">
        <v>904</v>
      </c>
      <c r="G166" s="58"/>
      <c r="H166" s="41" t="s">
        <v>904</v>
      </c>
      <c r="I166" s="41" t="s">
        <v>904</v>
      </c>
      <c r="J166" s="59"/>
      <c r="K166" s="60"/>
      <c r="L166" s="60"/>
      <c r="M166" s="60"/>
      <c r="N166" s="60"/>
      <c r="O166" s="61"/>
      <c r="P166" s="41" t="s">
        <v>904</v>
      </c>
      <c r="Q166" s="41" t="s">
        <v>904</v>
      </c>
      <c r="R166" s="41"/>
      <c r="S166" s="41"/>
    </row>
    <row r="167" spans="3:17" ht="20.100000000000001" customHeight="1" x14ac:dyDescent="0.25">
      <c r="C167" s="57" t="s">
        <v>904</v>
      </c>
      <c r="D167" s="44"/>
      <c r="E167" s="41" t="s">
        <v>904</v>
      </c>
      <c r="F167" s="41" t="s">
        <v>904</v>
      </c>
      <c r="G167" s="58"/>
      <c r="H167" s="41" t="s">
        <v>904</v>
      </c>
      <c r="I167" s="41" t="s">
        <v>904</v>
      </c>
      <c r="J167" s="59"/>
      <c r="K167" s="60"/>
      <c r="L167" s="60"/>
      <c r="M167" s="60"/>
      <c r="N167" s="60"/>
      <c r="O167" s="61"/>
      <c r="P167" s="41" t="s">
        <v>904</v>
      </c>
      <c r="Q167" s="41" t="s">
        <v>904</v>
      </c>
      <c r="R167" s="41"/>
      <c r="S167" s="41"/>
    </row>
    <row r="168" spans="3:17" ht="20.100000000000001" customHeight="1" x14ac:dyDescent="0.25">
      <c r="C168" s="57" t="s">
        <v>904</v>
      </c>
      <c r="D168" s="44"/>
      <c r="E168" s="41" t="s">
        <v>904</v>
      </c>
      <c r="F168" s="41" t="s">
        <v>904</v>
      </c>
      <c r="G168" s="58"/>
      <c r="H168" s="41" t="s">
        <v>904</v>
      </c>
      <c r="I168" s="41" t="s">
        <v>904</v>
      </c>
      <c r="J168" s="59"/>
      <c r="K168" s="60"/>
      <c r="L168" s="60"/>
      <c r="M168" s="60"/>
      <c r="N168" s="60"/>
      <c r="O168" s="61"/>
      <c r="P168" s="41" t="s">
        <v>904</v>
      </c>
      <c r="Q168" s="41" t="s">
        <v>904</v>
      </c>
      <c r="R168" s="41"/>
      <c r="S168" s="41"/>
    </row>
    <row r="169" spans="3:17" ht="20.100000000000001" customHeight="1" x14ac:dyDescent="0.25">
      <c r="C169" s="57" t="s">
        <v>904</v>
      </c>
      <c r="D169" s="44"/>
      <c r="E169" s="41" t="s">
        <v>904</v>
      </c>
      <c r="F169" s="41" t="s">
        <v>904</v>
      </c>
      <c r="G169" s="58"/>
      <c r="H169" s="41" t="s">
        <v>904</v>
      </c>
      <c r="I169" s="41" t="s">
        <v>904</v>
      </c>
      <c r="J169" s="59"/>
      <c r="K169" s="60"/>
      <c r="L169" s="60"/>
      <c r="M169" s="60"/>
      <c r="N169" s="60"/>
      <c r="O169" s="61"/>
      <c r="P169" s="41" t="s">
        <v>904</v>
      </c>
      <c r="Q169" s="41" t="s">
        <v>904</v>
      </c>
      <c r="R169" s="41"/>
      <c r="S169" s="41"/>
    </row>
    <row r="170" spans="3:17" ht="20.100000000000001" customHeight="1" x14ac:dyDescent="0.25">
      <c r="C170" s="57" t="s">
        <v>904</v>
      </c>
      <c r="D170" s="44"/>
      <c r="E170" s="41" t="s">
        <v>904</v>
      </c>
      <c r="F170" s="41" t="s">
        <v>904</v>
      </c>
      <c r="G170" s="58"/>
      <c r="H170" s="41" t="s">
        <v>904</v>
      </c>
      <c r="I170" s="41" t="s">
        <v>904</v>
      </c>
      <c r="J170" s="59"/>
      <c r="K170" s="60"/>
      <c r="L170" s="60"/>
      <c r="M170" s="60"/>
      <c r="N170" s="60"/>
      <c r="O170" s="61"/>
      <c r="P170" s="41" t="s">
        <v>904</v>
      </c>
      <c r="Q170" s="41" t="s">
        <v>904</v>
      </c>
      <c r="R170" s="41"/>
      <c r="S170" s="41"/>
    </row>
    <row r="171" spans="3:17" ht="20.100000000000001" customHeight="1" x14ac:dyDescent="0.25">
      <c r="C171" s="57" t="s">
        <v>904</v>
      </c>
      <c r="D171" s="44"/>
      <c r="E171" s="41" t="s">
        <v>904</v>
      </c>
      <c r="F171" s="41" t="s">
        <v>904</v>
      </c>
      <c r="G171" s="58"/>
      <c r="H171" s="41" t="s">
        <v>904</v>
      </c>
      <c r="I171" s="41" t="s">
        <v>904</v>
      </c>
      <c r="J171" s="59"/>
      <c r="K171" s="60"/>
      <c r="L171" s="60"/>
      <c r="M171" s="60"/>
      <c r="N171" s="60"/>
      <c r="O171" s="61"/>
      <c r="P171" s="41" t="s">
        <v>904</v>
      </c>
      <c r="Q171" s="41" t="s">
        <v>904</v>
      </c>
      <c r="R171" s="41"/>
      <c r="S171" s="41"/>
    </row>
    <row r="172" spans="3:17" ht="20.100000000000001" customHeight="1" x14ac:dyDescent="0.25">
      <c r="C172" s="57" t="s">
        <v>904</v>
      </c>
      <c r="D172" s="44"/>
      <c r="E172" s="41" t="s">
        <v>904</v>
      </c>
      <c r="F172" s="41" t="s">
        <v>904</v>
      </c>
      <c r="G172" s="58"/>
      <c r="H172" s="41" t="s">
        <v>904</v>
      </c>
      <c r="I172" s="41" t="s">
        <v>904</v>
      </c>
      <c r="J172" s="59"/>
      <c r="K172" s="60"/>
      <c r="L172" s="60"/>
      <c r="M172" s="60"/>
      <c r="N172" s="60"/>
      <c r="O172" s="61"/>
      <c r="P172" s="41" t="s">
        <v>904</v>
      </c>
      <c r="Q172" s="41" t="s">
        <v>904</v>
      </c>
      <c r="R172" s="41"/>
      <c r="S172" s="41"/>
    </row>
    <row r="173" spans="3:17" ht="20.100000000000001" customHeight="1" x14ac:dyDescent="0.25">
      <c r="C173" s="57" t="s">
        <v>904</v>
      </c>
      <c r="D173" s="44"/>
      <c r="E173" s="41" t="s">
        <v>904</v>
      </c>
      <c r="F173" s="41" t="s">
        <v>904</v>
      </c>
      <c r="G173" s="58"/>
      <c r="H173" s="41" t="s">
        <v>904</v>
      </c>
      <c r="I173" s="41" t="s">
        <v>904</v>
      </c>
      <c r="J173" s="59"/>
      <c r="K173" s="60"/>
      <c r="L173" s="60"/>
      <c r="M173" s="60"/>
      <c r="N173" s="60"/>
      <c r="O173" s="61"/>
      <c r="P173" s="41" t="s">
        <v>904</v>
      </c>
      <c r="Q173" s="41" t="s">
        <v>904</v>
      </c>
      <c r="R173" s="41"/>
      <c r="S173" s="41"/>
    </row>
    <row r="174" spans="3:17" ht="20.100000000000001" customHeight="1" x14ac:dyDescent="0.25">
      <c r="C174" s="57" t="s">
        <v>904</v>
      </c>
      <c r="D174" s="44"/>
      <c r="E174" s="41" t="s">
        <v>904</v>
      </c>
      <c r="F174" s="41" t="s">
        <v>904</v>
      </c>
      <c r="G174" s="58"/>
      <c r="H174" s="41" t="s">
        <v>904</v>
      </c>
      <c r="I174" s="41" t="s">
        <v>904</v>
      </c>
      <c r="J174" s="59"/>
      <c r="K174" s="60"/>
      <c r="L174" s="60"/>
      <c r="M174" s="60"/>
      <c r="N174" s="60"/>
      <c r="O174" s="61"/>
      <c r="P174" s="41" t="s">
        <v>904</v>
      </c>
      <c r="Q174" s="41" t="s">
        <v>904</v>
      </c>
      <c r="R174" s="41"/>
      <c r="S174" s="41"/>
    </row>
    <row r="175" spans="3:17" ht="20.100000000000001" customHeight="1" x14ac:dyDescent="0.25">
      <c r="C175" s="57" t="s">
        <v>904</v>
      </c>
      <c r="D175" s="44"/>
      <c r="E175" s="41" t="s">
        <v>904</v>
      </c>
      <c r="F175" s="41" t="s">
        <v>904</v>
      </c>
      <c r="G175" s="58"/>
      <c r="H175" s="41" t="s">
        <v>904</v>
      </c>
      <c r="I175" s="41" t="s">
        <v>904</v>
      </c>
      <c r="J175" s="59"/>
      <c r="K175" s="60"/>
      <c r="L175" s="60"/>
      <c r="M175" s="60"/>
      <c r="N175" s="60"/>
      <c r="O175" s="61"/>
      <c r="P175" s="41" t="s">
        <v>904</v>
      </c>
      <c r="Q175" s="41" t="s">
        <v>904</v>
      </c>
      <c r="R175" s="41"/>
      <c r="S175" s="41"/>
    </row>
    <row r="176" spans="3:17" ht="20.100000000000001" customHeight="1" x14ac:dyDescent="0.25">
      <c r="C176" s="57" t="s">
        <v>904</v>
      </c>
      <c r="D176" s="44"/>
      <c r="E176" s="41" t="s">
        <v>904</v>
      </c>
      <c r="F176" s="41" t="s">
        <v>904</v>
      </c>
      <c r="G176" s="58"/>
      <c r="H176" s="41" t="s">
        <v>904</v>
      </c>
      <c r="I176" s="41" t="s">
        <v>904</v>
      </c>
      <c r="J176" s="59"/>
      <c r="K176" s="60"/>
      <c r="L176" s="60"/>
      <c r="M176" s="60"/>
      <c r="N176" s="60"/>
      <c r="O176" s="61"/>
      <c r="P176" s="41" t="s">
        <v>904</v>
      </c>
      <c r="Q176" s="41" t="s">
        <v>904</v>
      </c>
      <c r="R176" s="41"/>
      <c r="S176" s="41"/>
    </row>
    <row r="177" spans="3:17" ht="20.100000000000001" customHeight="1" x14ac:dyDescent="0.25">
      <c r="C177" s="57" t="s">
        <v>904</v>
      </c>
      <c r="D177" s="44"/>
      <c r="E177" s="41" t="s">
        <v>904</v>
      </c>
      <c r="F177" s="41" t="s">
        <v>904</v>
      </c>
      <c r="G177" s="58"/>
      <c r="H177" s="41" t="s">
        <v>904</v>
      </c>
      <c r="I177" s="41" t="s">
        <v>904</v>
      </c>
      <c r="J177" s="59"/>
      <c r="K177" s="60"/>
      <c r="L177" s="60"/>
      <c r="M177" s="60"/>
      <c r="N177" s="60"/>
      <c r="O177" s="61"/>
      <c r="P177" s="41" t="s">
        <v>904</v>
      </c>
      <c r="Q177" s="41" t="s">
        <v>904</v>
      </c>
      <c r="R177" s="41"/>
      <c r="S177" s="41"/>
    </row>
    <row r="178" spans="3:17" ht="20.100000000000001" customHeight="1" x14ac:dyDescent="0.25">
      <c r="C178" s="57" t="s">
        <v>904</v>
      </c>
      <c r="D178" s="44"/>
      <c r="E178" s="41" t="s">
        <v>904</v>
      </c>
      <c r="F178" s="41" t="s">
        <v>904</v>
      </c>
      <c r="G178" s="58"/>
      <c r="H178" s="41" t="s">
        <v>904</v>
      </c>
      <c r="I178" s="41" t="s">
        <v>904</v>
      </c>
      <c r="J178" s="59"/>
      <c r="K178" s="60"/>
      <c r="L178" s="60"/>
      <c r="M178" s="60"/>
      <c r="N178" s="60"/>
      <c r="O178" s="61"/>
      <c r="P178" s="41" t="s">
        <v>904</v>
      </c>
      <c r="Q178" s="41" t="s">
        <v>904</v>
      </c>
      <c r="R178" s="41"/>
      <c r="S178" s="41"/>
    </row>
    <row r="179" spans="3:17" ht="20.100000000000001" customHeight="1" x14ac:dyDescent="0.25">
      <c r="C179" s="57" t="s">
        <v>904</v>
      </c>
      <c r="D179" s="44"/>
      <c r="E179" s="41" t="s">
        <v>904</v>
      </c>
      <c r="F179" s="41" t="s">
        <v>904</v>
      </c>
      <c r="G179" s="58"/>
      <c r="H179" s="41" t="s">
        <v>904</v>
      </c>
      <c r="I179" s="41" t="s">
        <v>904</v>
      </c>
      <c r="J179" s="59"/>
      <c r="K179" s="60"/>
      <c r="L179" s="60"/>
      <c r="M179" s="60"/>
      <c r="N179" s="60"/>
      <c r="O179" s="61"/>
      <c r="P179" s="41" t="s">
        <v>904</v>
      </c>
      <c r="Q179" s="41" t="s">
        <v>904</v>
      </c>
      <c r="R179" s="41"/>
      <c r="S179" s="41"/>
    </row>
    <row r="180" spans="3:17" ht="20.100000000000001" customHeight="1" x14ac:dyDescent="0.25">
      <c r="C180" s="57" t="s">
        <v>904</v>
      </c>
      <c r="D180" s="44"/>
      <c r="E180" s="41" t="s">
        <v>904</v>
      </c>
      <c r="F180" s="41" t="s">
        <v>904</v>
      </c>
      <c r="G180" s="58"/>
      <c r="H180" s="41" t="s">
        <v>904</v>
      </c>
      <c r="I180" s="41" t="s">
        <v>904</v>
      </c>
      <c r="J180" s="59"/>
      <c r="K180" s="60"/>
      <c r="L180" s="60"/>
      <c r="M180" s="60"/>
      <c r="N180" s="60"/>
      <c r="O180" s="61"/>
      <c r="P180" s="41" t="s">
        <v>904</v>
      </c>
      <c r="Q180" s="41" t="s">
        <v>904</v>
      </c>
      <c r="R180" s="41"/>
      <c r="S180" s="41"/>
    </row>
    <row r="181" spans="3:17" ht="20.100000000000001" customHeight="1" x14ac:dyDescent="0.25">
      <c r="C181" s="57" t="s">
        <v>904</v>
      </c>
      <c r="D181" s="44"/>
      <c r="E181" s="41" t="s">
        <v>904</v>
      </c>
      <c r="F181" s="41" t="s">
        <v>904</v>
      </c>
      <c r="G181" s="58"/>
      <c r="H181" s="41" t="s">
        <v>904</v>
      </c>
      <c r="I181" s="41" t="s">
        <v>904</v>
      </c>
      <c r="J181" s="59"/>
      <c r="K181" s="60"/>
      <c r="L181" s="60"/>
      <c r="M181" s="60"/>
      <c r="N181" s="60"/>
      <c r="O181" s="61"/>
      <c r="P181" s="41" t="s">
        <v>904</v>
      </c>
      <c r="Q181" s="41" t="s">
        <v>904</v>
      </c>
      <c r="R181" s="41"/>
      <c r="S181" s="41"/>
    </row>
    <row r="182" spans="3:17" ht="20.100000000000001" customHeight="1" x14ac:dyDescent="0.25">
      <c r="C182" s="57" t="s">
        <v>904</v>
      </c>
      <c r="D182" s="44"/>
      <c r="E182" s="41" t="s">
        <v>904</v>
      </c>
      <c r="F182" s="41" t="s">
        <v>904</v>
      </c>
      <c r="G182" s="58"/>
      <c r="H182" s="41" t="s">
        <v>904</v>
      </c>
      <c r="I182" s="41" t="s">
        <v>904</v>
      </c>
      <c r="J182" s="59"/>
      <c r="K182" s="60"/>
      <c r="L182" s="60"/>
      <c r="M182" s="60"/>
      <c r="N182" s="60"/>
      <c r="O182" s="61"/>
      <c r="P182" s="41" t="s">
        <v>904</v>
      </c>
      <c r="Q182" s="41" t="s">
        <v>904</v>
      </c>
      <c r="R182" s="41"/>
      <c r="S182" s="41"/>
    </row>
    <row r="183" spans="3:17" ht="20.100000000000001" customHeight="1" x14ac:dyDescent="0.25">
      <c r="C183" s="57" t="s">
        <v>904</v>
      </c>
      <c r="D183" s="44"/>
      <c r="E183" s="41" t="s">
        <v>904</v>
      </c>
      <c r="F183" s="41" t="s">
        <v>904</v>
      </c>
      <c r="G183" s="58"/>
      <c r="H183" s="41" t="s">
        <v>904</v>
      </c>
      <c r="I183" s="41" t="s">
        <v>904</v>
      </c>
      <c r="J183" s="59"/>
      <c r="K183" s="60"/>
      <c r="L183" s="60"/>
      <c r="M183" s="60"/>
      <c r="N183" s="60"/>
      <c r="O183" s="61"/>
      <c r="P183" s="41" t="s">
        <v>904</v>
      </c>
      <c r="Q183" s="41" t="s">
        <v>904</v>
      </c>
      <c r="R183" s="41"/>
      <c r="S183" s="41"/>
    </row>
    <row r="184" spans="3:17" ht="20.100000000000001" customHeight="1" x14ac:dyDescent="0.25">
      <c r="C184" s="57" t="s">
        <v>904</v>
      </c>
      <c r="D184" s="44"/>
      <c r="E184" s="41" t="s">
        <v>904</v>
      </c>
      <c r="F184" s="41" t="s">
        <v>904</v>
      </c>
      <c r="G184" s="58"/>
      <c r="H184" s="41" t="s">
        <v>904</v>
      </c>
      <c r="I184" s="41" t="s">
        <v>904</v>
      </c>
      <c r="J184" s="59"/>
      <c r="K184" s="60"/>
      <c r="L184" s="60"/>
      <c r="M184" s="60"/>
      <c r="N184" s="60"/>
      <c r="O184" s="61"/>
      <c r="P184" s="41" t="s">
        <v>904</v>
      </c>
      <c r="Q184" s="41" t="s">
        <v>904</v>
      </c>
      <c r="R184" s="41"/>
      <c r="S184" s="41"/>
    </row>
    <row r="185" spans="3:17" ht="20.100000000000001" customHeight="1" x14ac:dyDescent="0.25">
      <c r="C185" s="57" t="s">
        <v>904</v>
      </c>
      <c r="D185" s="44"/>
      <c r="E185" s="41" t="s">
        <v>904</v>
      </c>
      <c r="F185" s="41" t="s">
        <v>904</v>
      </c>
      <c r="G185" s="58"/>
      <c r="H185" s="41" t="s">
        <v>904</v>
      </c>
      <c r="I185" s="41" t="s">
        <v>904</v>
      </c>
      <c r="J185" s="59"/>
      <c r="K185" s="60"/>
      <c r="L185" s="60"/>
      <c r="M185" s="60"/>
      <c r="N185" s="60"/>
      <c r="O185" s="61"/>
      <c r="P185" s="41" t="s">
        <v>904</v>
      </c>
      <c r="Q185" s="41" t="s">
        <v>904</v>
      </c>
      <c r="R185" s="41"/>
      <c r="S185" s="41"/>
    </row>
    <row r="186" spans="3:17" ht="20.100000000000001" customHeight="1" x14ac:dyDescent="0.25">
      <c r="C186" s="57" t="s">
        <v>904</v>
      </c>
      <c r="D186" s="44"/>
      <c r="E186" s="41" t="s">
        <v>904</v>
      </c>
      <c r="F186" s="41" t="s">
        <v>904</v>
      </c>
      <c r="G186" s="58"/>
      <c r="H186" s="41" t="s">
        <v>904</v>
      </c>
      <c r="I186" s="41" t="s">
        <v>904</v>
      </c>
      <c r="J186" s="59"/>
      <c r="K186" s="60"/>
      <c r="L186" s="60"/>
      <c r="M186" s="60"/>
      <c r="N186" s="60"/>
      <c r="O186" s="61"/>
      <c r="P186" s="41" t="s">
        <v>904</v>
      </c>
      <c r="Q186" s="41" t="s">
        <v>904</v>
      </c>
      <c r="R186" s="41"/>
      <c r="S186" s="41"/>
    </row>
    <row r="187" spans="3:17" ht="20.100000000000001" customHeight="1" x14ac:dyDescent="0.25">
      <c r="C187" s="57" t="s">
        <v>904</v>
      </c>
      <c r="D187" s="44"/>
      <c r="E187" s="41" t="s">
        <v>904</v>
      </c>
      <c r="F187" s="41" t="s">
        <v>904</v>
      </c>
      <c r="G187" s="58"/>
      <c r="H187" s="41" t="s">
        <v>904</v>
      </c>
      <c r="I187" s="41" t="s">
        <v>904</v>
      </c>
      <c r="J187" s="59"/>
      <c r="K187" s="60"/>
      <c r="L187" s="60"/>
      <c r="M187" s="60"/>
      <c r="N187" s="60"/>
      <c r="O187" s="61"/>
      <c r="P187" s="41" t="s">
        <v>904</v>
      </c>
      <c r="Q187" s="41" t="s">
        <v>904</v>
      </c>
      <c r="R187" s="41"/>
      <c r="S187" s="41"/>
    </row>
    <row r="188" spans="3:17" ht="20.100000000000001" customHeight="1" x14ac:dyDescent="0.25">
      <c r="C188" s="57" t="s">
        <v>904</v>
      </c>
      <c r="D188" s="44"/>
      <c r="E188" s="41" t="s">
        <v>904</v>
      </c>
      <c r="F188" s="41" t="s">
        <v>904</v>
      </c>
      <c r="G188" s="58"/>
      <c r="H188" s="41" t="s">
        <v>904</v>
      </c>
      <c r="I188" s="41" t="s">
        <v>904</v>
      </c>
      <c r="J188" s="59"/>
      <c r="K188" s="60"/>
      <c r="L188" s="60"/>
      <c r="M188" s="60"/>
      <c r="N188" s="60"/>
      <c r="O188" s="61"/>
      <c r="P188" s="41" t="s">
        <v>904</v>
      </c>
      <c r="Q188" s="41" t="s">
        <v>904</v>
      </c>
      <c r="R188" s="41"/>
      <c r="S188" s="41"/>
    </row>
    <row r="189" spans="3:17" ht="20.100000000000001" customHeight="1" x14ac:dyDescent="0.25">
      <c r="C189" s="57" t="s">
        <v>904</v>
      </c>
      <c r="D189" s="44"/>
      <c r="E189" s="41" t="s">
        <v>904</v>
      </c>
      <c r="F189" s="41" t="s">
        <v>904</v>
      </c>
      <c r="G189" s="58"/>
      <c r="H189" s="41" t="s">
        <v>904</v>
      </c>
      <c r="I189" s="41" t="s">
        <v>904</v>
      </c>
      <c r="J189" s="59"/>
      <c r="K189" s="60"/>
      <c r="L189" s="60"/>
      <c r="M189" s="60"/>
      <c r="N189" s="60"/>
      <c r="O189" s="61"/>
      <c r="P189" s="41" t="s">
        <v>904</v>
      </c>
      <c r="Q189" s="41" t="s">
        <v>904</v>
      </c>
      <c r="R189" s="41"/>
      <c r="S189" s="41"/>
    </row>
    <row r="190" spans="3:17" ht="20.100000000000001" customHeight="1" x14ac:dyDescent="0.25">
      <c r="C190" s="57" t="s">
        <v>904</v>
      </c>
      <c r="D190" s="44"/>
      <c r="E190" s="41" t="s">
        <v>904</v>
      </c>
      <c r="F190" s="41" t="s">
        <v>904</v>
      </c>
      <c r="G190" s="58"/>
      <c r="H190" s="41" t="s">
        <v>904</v>
      </c>
      <c r="I190" s="41" t="s">
        <v>904</v>
      </c>
      <c r="J190" s="59"/>
      <c r="K190" s="60"/>
      <c r="L190" s="60"/>
      <c r="M190" s="60"/>
      <c r="N190" s="60"/>
      <c r="O190" s="61"/>
      <c r="P190" s="41" t="s">
        <v>904</v>
      </c>
      <c r="Q190" s="41" t="s">
        <v>904</v>
      </c>
      <c r="R190" s="41"/>
      <c r="S190" s="41"/>
    </row>
    <row r="191" spans="3:17" ht="20.100000000000001" customHeight="1" x14ac:dyDescent="0.25">
      <c r="C191" s="57" t="s">
        <v>904</v>
      </c>
      <c r="D191" s="44"/>
      <c r="E191" s="41" t="s">
        <v>904</v>
      </c>
      <c r="F191" s="41" t="s">
        <v>904</v>
      </c>
      <c r="G191" s="58"/>
      <c r="H191" s="41" t="s">
        <v>904</v>
      </c>
      <c r="I191" s="41" t="s">
        <v>904</v>
      </c>
      <c r="J191" s="59"/>
      <c r="K191" s="60"/>
      <c r="L191" s="60"/>
      <c r="M191" s="60"/>
      <c r="N191" s="60"/>
      <c r="O191" s="61"/>
      <c r="P191" s="41" t="s">
        <v>904</v>
      </c>
      <c r="Q191" s="41" t="s">
        <v>904</v>
      </c>
      <c r="R191" s="41"/>
      <c r="S191" s="41"/>
    </row>
    <row r="192" spans="3:17" ht="20.100000000000001" customHeight="1" x14ac:dyDescent="0.25">
      <c r="C192" s="57" t="s">
        <v>904</v>
      </c>
      <c r="D192" s="44"/>
      <c r="E192" s="41" t="s">
        <v>904</v>
      </c>
      <c r="F192" s="41" t="s">
        <v>904</v>
      </c>
      <c r="G192" s="58"/>
      <c r="H192" s="41" t="s">
        <v>904</v>
      </c>
      <c r="I192" s="41" t="s">
        <v>904</v>
      </c>
      <c r="J192" s="59"/>
      <c r="K192" s="60"/>
      <c r="L192" s="60"/>
      <c r="M192" s="60"/>
      <c r="N192" s="60"/>
      <c r="O192" s="61"/>
      <c r="P192" s="41" t="s">
        <v>904</v>
      </c>
      <c r="Q192" s="41" t="s">
        <v>904</v>
      </c>
      <c r="R192" s="41"/>
      <c r="S192" s="41"/>
    </row>
    <row r="193" spans="3:17" ht="20.100000000000001" customHeight="1" x14ac:dyDescent="0.25">
      <c r="C193" s="57" t="s">
        <v>904</v>
      </c>
      <c r="D193" s="44"/>
      <c r="E193" s="41" t="s">
        <v>904</v>
      </c>
      <c r="F193" s="41" t="s">
        <v>904</v>
      </c>
      <c r="G193" s="58"/>
      <c r="H193" s="41" t="s">
        <v>904</v>
      </c>
      <c r="I193" s="41" t="s">
        <v>904</v>
      </c>
      <c r="J193" s="59"/>
      <c r="K193" s="60"/>
      <c r="L193" s="60"/>
      <c r="M193" s="60"/>
      <c r="N193" s="60"/>
      <c r="O193" s="61"/>
      <c r="P193" s="41" t="s">
        <v>904</v>
      </c>
      <c r="Q193" s="41" t="s">
        <v>904</v>
      </c>
      <c r="R193" s="41"/>
      <c r="S193" s="41"/>
    </row>
    <row r="194" spans="3:17" ht="20.100000000000001" customHeight="1" x14ac:dyDescent="0.25">
      <c r="C194" s="57" t="s">
        <v>904</v>
      </c>
      <c r="D194" s="44"/>
      <c r="E194" s="41" t="s">
        <v>904</v>
      </c>
      <c r="F194" s="41" t="s">
        <v>904</v>
      </c>
      <c r="G194" s="58"/>
      <c r="H194" s="41" t="s">
        <v>904</v>
      </c>
      <c r="I194" s="41" t="s">
        <v>904</v>
      </c>
      <c r="J194" s="59"/>
      <c r="K194" s="60"/>
      <c r="L194" s="60"/>
      <c r="M194" s="60"/>
      <c r="N194" s="60"/>
      <c r="O194" s="61"/>
      <c r="P194" s="41" t="s">
        <v>904</v>
      </c>
      <c r="Q194" s="41" t="s">
        <v>904</v>
      </c>
      <c r="R194" s="41"/>
      <c r="S194" s="41"/>
    </row>
    <row r="195" spans="3:17" ht="20.100000000000001" customHeight="1" x14ac:dyDescent="0.25">
      <c r="C195" s="57" t="s">
        <v>904</v>
      </c>
      <c r="D195" s="44"/>
      <c r="E195" s="41" t="s">
        <v>904</v>
      </c>
      <c r="F195" s="41" t="s">
        <v>904</v>
      </c>
      <c r="G195" s="58"/>
      <c r="H195" s="41" t="s">
        <v>904</v>
      </c>
      <c r="I195" s="41" t="s">
        <v>904</v>
      </c>
      <c r="J195" s="59"/>
      <c r="K195" s="60"/>
      <c r="L195" s="60"/>
      <c r="M195" s="60"/>
      <c r="N195" s="60"/>
      <c r="O195" s="61"/>
      <c r="P195" s="41" t="s">
        <v>904</v>
      </c>
      <c r="Q195" s="41" t="s">
        <v>904</v>
      </c>
      <c r="R195" s="41"/>
      <c r="S195" s="41"/>
    </row>
    <row r="196" spans="3:17" ht="20.100000000000001" customHeight="1" x14ac:dyDescent="0.25">
      <c r="C196" s="57" t="s">
        <v>904</v>
      </c>
      <c r="D196" s="44"/>
      <c r="E196" s="41" t="s">
        <v>904</v>
      </c>
      <c r="F196" s="41" t="s">
        <v>904</v>
      </c>
      <c r="G196" s="58"/>
      <c r="H196" s="41" t="s">
        <v>904</v>
      </c>
      <c r="I196" s="41" t="s">
        <v>904</v>
      </c>
      <c r="J196" s="59"/>
      <c r="K196" s="60"/>
      <c r="L196" s="60"/>
      <c r="M196" s="60"/>
      <c r="N196" s="60"/>
      <c r="O196" s="61"/>
      <c r="P196" s="41" t="s">
        <v>904</v>
      </c>
      <c r="Q196" s="41" t="s">
        <v>904</v>
      </c>
      <c r="R196" s="41"/>
      <c r="S196" s="41"/>
    </row>
    <row r="197" spans="3:17" ht="20.100000000000001" customHeight="1" x14ac:dyDescent="0.25">
      <c r="C197" s="57" t="s">
        <v>904</v>
      </c>
      <c r="D197" s="44"/>
      <c r="E197" s="41" t="s">
        <v>904</v>
      </c>
      <c r="F197" s="41" t="s">
        <v>904</v>
      </c>
      <c r="G197" s="58"/>
      <c r="H197" s="41" t="s">
        <v>904</v>
      </c>
      <c r="I197" s="41" t="s">
        <v>904</v>
      </c>
      <c r="J197" s="59"/>
      <c r="K197" s="60"/>
      <c r="L197" s="60"/>
      <c r="M197" s="60"/>
      <c r="N197" s="60"/>
      <c r="O197" s="61"/>
      <c r="P197" s="41" t="s">
        <v>904</v>
      </c>
      <c r="Q197" s="41" t="s">
        <v>904</v>
      </c>
      <c r="R197" s="41"/>
      <c r="S197" s="41"/>
    </row>
    <row r="198" spans="3:17" ht="20.100000000000001" customHeight="1" x14ac:dyDescent="0.25">
      <c r="C198" s="57" t="s">
        <v>904</v>
      </c>
      <c r="D198" s="44"/>
      <c r="E198" s="41" t="s">
        <v>904</v>
      </c>
      <c r="F198" s="41" t="s">
        <v>904</v>
      </c>
      <c r="G198" s="58"/>
      <c r="H198" s="41" t="s">
        <v>904</v>
      </c>
      <c r="I198" s="41" t="s">
        <v>904</v>
      </c>
      <c r="J198" s="59"/>
      <c r="K198" s="60"/>
      <c r="L198" s="60"/>
      <c r="M198" s="60"/>
      <c r="N198" s="60"/>
      <c r="O198" s="61"/>
      <c r="P198" s="41" t="s">
        <v>904</v>
      </c>
      <c r="Q198" s="41" t="s">
        <v>904</v>
      </c>
      <c r="R198" s="41"/>
      <c r="S198" s="41"/>
    </row>
    <row r="199" spans="3:17" ht="20.100000000000001" customHeight="1" x14ac:dyDescent="0.25">
      <c r="C199" s="57" t="s">
        <v>904</v>
      </c>
      <c r="D199" s="44"/>
      <c r="E199" s="41" t="s">
        <v>904</v>
      </c>
      <c r="F199" s="41" t="s">
        <v>904</v>
      </c>
      <c r="G199" s="58"/>
      <c r="H199" s="41" t="s">
        <v>904</v>
      </c>
      <c r="I199" s="41" t="s">
        <v>904</v>
      </c>
      <c r="J199" s="59"/>
      <c r="K199" s="60"/>
      <c r="L199" s="60"/>
      <c r="M199" s="60"/>
      <c r="N199" s="60"/>
      <c r="O199" s="61"/>
      <c r="P199" s="41" t="s">
        <v>904</v>
      </c>
      <c r="Q199" s="41" t="s">
        <v>904</v>
      </c>
      <c r="R199" s="41"/>
      <c r="S199" s="41"/>
    </row>
    <row r="200" spans="3:17" ht="20.100000000000001" customHeight="1" x14ac:dyDescent="0.25">
      <c r="C200" s="57" t="s">
        <v>904</v>
      </c>
      <c r="D200" s="44"/>
      <c r="E200" s="41" t="s">
        <v>904</v>
      </c>
      <c r="F200" s="41" t="s">
        <v>904</v>
      </c>
      <c r="G200" s="58"/>
      <c r="H200" s="41" t="s">
        <v>904</v>
      </c>
      <c r="I200" s="41" t="s">
        <v>904</v>
      </c>
      <c r="J200" s="59"/>
      <c r="K200" s="60"/>
      <c r="L200" s="60"/>
      <c r="M200" s="60"/>
      <c r="N200" s="60"/>
      <c r="O200" s="61"/>
      <c r="P200" s="41" t="s">
        <v>904</v>
      </c>
      <c r="Q200" s="41" t="s">
        <v>904</v>
      </c>
      <c r="R200" s="41"/>
      <c r="S200" s="41"/>
    </row>
    <row r="201" spans="3:17" ht="20.100000000000001" customHeight="1" x14ac:dyDescent="0.25">
      <c r="C201" s="57" t="s">
        <v>904</v>
      </c>
      <c r="D201" s="44"/>
      <c r="E201" s="41" t="s">
        <v>904</v>
      </c>
      <c r="F201" s="41" t="s">
        <v>904</v>
      </c>
      <c r="G201" s="58"/>
      <c r="H201" s="41" t="s">
        <v>904</v>
      </c>
      <c r="I201" s="41" t="s">
        <v>904</v>
      </c>
      <c r="J201" s="59"/>
      <c r="K201" s="60"/>
      <c r="L201" s="60"/>
      <c r="M201" s="60"/>
      <c r="N201" s="60"/>
      <c r="O201" s="61"/>
      <c r="P201" s="41" t="s">
        <v>904</v>
      </c>
      <c r="Q201" s="41" t="s">
        <v>904</v>
      </c>
      <c r="R201" s="41"/>
      <c r="S201" s="41"/>
    </row>
    <row r="202" spans="3:17" ht="20.100000000000001" customHeight="1" x14ac:dyDescent="0.25">
      <c r="C202" s="57" t="s">
        <v>904</v>
      </c>
      <c r="D202" s="44"/>
      <c r="E202" s="41" t="s">
        <v>904</v>
      </c>
      <c r="F202" s="41" t="s">
        <v>904</v>
      </c>
      <c r="G202" s="58"/>
      <c r="H202" s="41" t="s">
        <v>904</v>
      </c>
      <c r="I202" s="41" t="s">
        <v>904</v>
      </c>
      <c r="J202" s="59"/>
      <c r="K202" s="60"/>
      <c r="L202" s="60"/>
      <c r="M202" s="60"/>
      <c r="N202" s="60"/>
      <c r="O202" s="61"/>
      <c r="P202" s="41" t="s">
        <v>904</v>
      </c>
      <c r="Q202" s="41" t="s">
        <v>904</v>
      </c>
      <c r="R202" s="41"/>
      <c r="S202" s="41"/>
    </row>
    <row r="203" spans="3:17" ht="20.100000000000001" customHeight="1" x14ac:dyDescent="0.25">
      <c r="C203" s="57" t="s">
        <v>904</v>
      </c>
      <c r="D203" s="44"/>
      <c r="E203" s="41" t="s">
        <v>904</v>
      </c>
      <c r="F203" s="41" t="s">
        <v>904</v>
      </c>
      <c r="G203" s="58"/>
      <c r="H203" s="41" t="s">
        <v>904</v>
      </c>
      <c r="I203" s="41" t="s">
        <v>904</v>
      </c>
      <c r="J203" s="59"/>
      <c r="K203" s="60"/>
      <c r="L203" s="60"/>
      <c r="M203" s="60"/>
      <c r="N203" s="60"/>
      <c r="O203" s="61"/>
      <c r="P203" s="41" t="s">
        <v>904</v>
      </c>
      <c r="Q203" s="41" t="s">
        <v>904</v>
      </c>
      <c r="R203" s="41"/>
      <c r="S203" s="41"/>
    </row>
    <row r="204" spans="3:17" ht="20.100000000000001" customHeight="1" x14ac:dyDescent="0.25">
      <c r="C204" s="57" t="s">
        <v>904</v>
      </c>
      <c r="D204" s="44"/>
      <c r="E204" s="41" t="s">
        <v>904</v>
      </c>
      <c r="F204" s="41" t="s">
        <v>904</v>
      </c>
      <c r="G204" s="58"/>
      <c r="H204" s="41" t="s">
        <v>904</v>
      </c>
      <c r="I204" s="41" t="s">
        <v>904</v>
      </c>
      <c r="J204" s="59"/>
      <c r="K204" s="60"/>
      <c r="L204" s="60"/>
      <c r="M204" s="60"/>
      <c r="N204" s="60"/>
      <c r="O204" s="61"/>
      <c r="P204" s="41" t="s">
        <v>904</v>
      </c>
      <c r="Q204" s="41" t="s">
        <v>904</v>
      </c>
      <c r="R204" s="41"/>
      <c r="S204" s="41"/>
    </row>
    <row r="205" spans="3:17" ht="20.100000000000001" customHeight="1" x14ac:dyDescent="0.25">
      <c r="C205" s="57" t="s">
        <v>904</v>
      </c>
      <c r="D205" s="44"/>
      <c r="E205" s="41" t="s">
        <v>904</v>
      </c>
      <c r="F205" s="41" t="s">
        <v>904</v>
      </c>
      <c r="G205" s="58"/>
      <c r="H205" s="41" t="s">
        <v>904</v>
      </c>
      <c r="I205" s="41" t="s">
        <v>904</v>
      </c>
      <c r="J205" s="59"/>
      <c r="K205" s="60"/>
      <c r="L205" s="60"/>
      <c r="M205" s="60"/>
      <c r="N205" s="60"/>
      <c r="O205" s="61"/>
      <c r="P205" s="41" t="s">
        <v>904</v>
      </c>
      <c r="Q205" s="41" t="s">
        <v>904</v>
      </c>
      <c r="R205" s="41"/>
      <c r="S205" s="41"/>
    </row>
    <row r="206" spans="3:17" ht="20.100000000000001" customHeight="1" x14ac:dyDescent="0.25">
      <c r="C206" s="57" t="s">
        <v>904</v>
      </c>
      <c r="D206" s="44"/>
      <c r="E206" s="41" t="s">
        <v>904</v>
      </c>
      <c r="F206" s="41" t="s">
        <v>904</v>
      </c>
      <c r="G206" s="58"/>
      <c r="H206" s="41" t="s">
        <v>904</v>
      </c>
      <c r="I206" s="41" t="s">
        <v>904</v>
      </c>
      <c r="J206" s="59"/>
      <c r="K206" s="60"/>
      <c r="L206" s="60"/>
      <c r="M206" s="60"/>
      <c r="N206" s="60"/>
      <c r="O206" s="61"/>
      <c r="P206" s="41" t="s">
        <v>904</v>
      </c>
      <c r="Q206" s="41" t="s">
        <v>904</v>
      </c>
      <c r="R206" s="41"/>
      <c r="S206" s="41"/>
    </row>
    <row r="207" spans="3:17" ht="20.100000000000001" customHeight="1" x14ac:dyDescent="0.25"/>
    <row r="208" spans="3:17"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2" ht="20.100000000000001" customHeight="1" x14ac:dyDescent="0.25"/>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row r="292" ht="20.100000000000001" customHeight="1" x14ac:dyDescent="0.25"/>
    <row r="293" ht="20.100000000000001" customHeight="1" x14ac:dyDescent="0.25"/>
    <row r="294" ht="20.100000000000001" customHeight="1" x14ac:dyDescent="0.25"/>
    <row r="295" ht="20.100000000000001" customHeight="1" x14ac:dyDescent="0.25"/>
    <row r="296" ht="20.100000000000001" customHeight="1" x14ac:dyDescent="0.25"/>
    <row r="297" ht="20.100000000000001" customHeight="1" x14ac:dyDescent="0.25"/>
    <row r="298" ht="20.100000000000001" customHeight="1" x14ac:dyDescent="0.25"/>
    <row r="299" ht="20.100000000000001" customHeight="1" x14ac:dyDescent="0.25"/>
    <row r="300" ht="20.100000000000001" customHeight="1" x14ac:dyDescent="0.25"/>
    <row r="301" ht="20.100000000000001" customHeight="1" x14ac:dyDescent="0.25"/>
    <row r="302" ht="20.100000000000001" customHeight="1" x14ac:dyDescent="0.25"/>
    <row r="303" ht="20.100000000000001" customHeight="1" x14ac:dyDescent="0.25"/>
    <row r="304" ht="20.100000000000001" customHeight="1" x14ac:dyDescent="0.25"/>
    <row r="305" ht="20.100000000000001" customHeight="1" x14ac:dyDescent="0.25"/>
    <row r="306" ht="20.100000000000001" customHeight="1" x14ac:dyDescent="0.25"/>
    <row r="307" ht="20.100000000000001" customHeight="1" x14ac:dyDescent="0.25"/>
    <row r="308" ht="20.100000000000001" customHeight="1" x14ac:dyDescent="0.25"/>
    <row r="309" ht="20.100000000000001" customHeight="1" x14ac:dyDescent="0.25"/>
    <row r="310" ht="20.100000000000001" customHeight="1" x14ac:dyDescent="0.25"/>
    <row r="311" ht="20.100000000000001" customHeight="1" x14ac:dyDescent="0.25"/>
    <row r="312" ht="20.100000000000001" customHeight="1" x14ac:dyDescent="0.25"/>
    <row r="313" ht="20.100000000000001" customHeight="1" x14ac:dyDescent="0.25"/>
    <row r="314" ht="20.100000000000001" customHeight="1" x14ac:dyDescent="0.25"/>
    <row r="315" ht="20.100000000000001" customHeight="1" x14ac:dyDescent="0.25"/>
    <row r="316" ht="20.100000000000001" customHeight="1" x14ac:dyDescent="0.25"/>
    <row r="317" ht="20.100000000000001" customHeight="1" x14ac:dyDescent="0.25"/>
    <row r="318" ht="20.100000000000001" customHeight="1" x14ac:dyDescent="0.25"/>
    <row r="319" ht="20.100000000000001" customHeight="1" x14ac:dyDescent="0.25"/>
    <row r="320" ht="20.100000000000001" customHeight="1" x14ac:dyDescent="0.25"/>
    <row r="321" ht="20.100000000000001" customHeight="1" x14ac:dyDescent="0.25"/>
    <row r="322" ht="20.100000000000001" customHeight="1" x14ac:dyDescent="0.25"/>
    <row r="323" ht="20.100000000000001" customHeight="1" x14ac:dyDescent="0.25"/>
    <row r="324" ht="20.100000000000001" customHeight="1" x14ac:dyDescent="0.25"/>
    <row r="325" ht="20.100000000000001" customHeight="1" x14ac:dyDescent="0.25"/>
    <row r="326" ht="20.100000000000001" customHeight="1" x14ac:dyDescent="0.25"/>
    <row r="327" ht="20.100000000000001" customHeight="1" x14ac:dyDescent="0.25"/>
    <row r="328" ht="20.100000000000001" customHeight="1" x14ac:dyDescent="0.25"/>
    <row r="329" ht="20.100000000000001" customHeight="1" x14ac:dyDescent="0.25"/>
    <row r="330" ht="20.100000000000001" customHeight="1" x14ac:dyDescent="0.25"/>
    <row r="331" ht="20.100000000000001" customHeight="1" x14ac:dyDescent="0.25"/>
    <row r="332" ht="20.100000000000001" customHeight="1" x14ac:dyDescent="0.25"/>
    <row r="333" ht="20.100000000000001" customHeight="1" x14ac:dyDescent="0.25"/>
    <row r="334" ht="20.100000000000001" customHeight="1" x14ac:dyDescent="0.25"/>
    <row r="335" ht="20.100000000000001" customHeight="1" x14ac:dyDescent="0.25"/>
    <row r="336" ht="20.100000000000001" customHeight="1" x14ac:dyDescent="0.25"/>
    <row r="337" ht="20.100000000000001" customHeight="1" x14ac:dyDescent="0.25"/>
    <row r="338" ht="20.100000000000001" customHeight="1" x14ac:dyDescent="0.25"/>
    <row r="339" ht="20.100000000000001" customHeight="1" x14ac:dyDescent="0.25"/>
    <row r="340" ht="20.100000000000001" customHeight="1" x14ac:dyDescent="0.25"/>
    <row r="341" ht="20.100000000000001" customHeight="1" x14ac:dyDescent="0.25"/>
    <row r="342" ht="20.100000000000001" customHeight="1" x14ac:dyDescent="0.25"/>
    <row r="343" ht="20.100000000000001" customHeight="1" x14ac:dyDescent="0.25"/>
    <row r="344" ht="20.100000000000001" customHeight="1" x14ac:dyDescent="0.25"/>
    <row r="345" ht="20.100000000000001" customHeight="1" x14ac:dyDescent="0.25"/>
    <row r="346" ht="20.100000000000001" customHeight="1" x14ac:dyDescent="0.25"/>
    <row r="347" ht="20.100000000000001" customHeight="1" x14ac:dyDescent="0.25"/>
    <row r="348" ht="20.100000000000001" customHeight="1" x14ac:dyDescent="0.25"/>
    <row r="349" ht="20.100000000000001" customHeight="1" x14ac:dyDescent="0.25"/>
    <row r="350" ht="20.100000000000001" customHeight="1" x14ac:dyDescent="0.25"/>
    <row r="351" ht="20.100000000000001" customHeight="1" x14ac:dyDescent="0.25"/>
    <row r="352" ht="20.100000000000001" customHeight="1" x14ac:dyDescent="0.25"/>
    <row r="353" ht="20.100000000000001" customHeight="1" x14ac:dyDescent="0.25"/>
    <row r="354" ht="20.100000000000001" customHeight="1" x14ac:dyDescent="0.25"/>
    <row r="355" ht="20.100000000000001" customHeight="1" x14ac:dyDescent="0.25"/>
    <row r="356" ht="20.100000000000001" customHeight="1" x14ac:dyDescent="0.25"/>
    <row r="357" ht="20.100000000000001" customHeight="1" x14ac:dyDescent="0.25"/>
    <row r="358" ht="20.100000000000001" customHeight="1" x14ac:dyDescent="0.25"/>
    <row r="359" ht="20.100000000000001" customHeight="1" x14ac:dyDescent="0.25"/>
    <row r="360" ht="20.100000000000001" customHeight="1" x14ac:dyDescent="0.25"/>
    <row r="361" ht="20.100000000000001" customHeight="1" x14ac:dyDescent="0.25"/>
    <row r="362" ht="20.100000000000001" customHeight="1" x14ac:dyDescent="0.25"/>
    <row r="363" ht="20.100000000000001" customHeight="1" x14ac:dyDescent="0.25"/>
    <row r="364" ht="20.100000000000001" customHeight="1" x14ac:dyDescent="0.25"/>
    <row r="365" ht="20.100000000000001" customHeight="1" x14ac:dyDescent="0.25"/>
    <row r="366" ht="20.100000000000001" customHeight="1" x14ac:dyDescent="0.25"/>
    <row r="367" ht="20.100000000000001" customHeight="1" x14ac:dyDescent="0.25"/>
    <row r="368" ht="20.100000000000001" customHeight="1" x14ac:dyDescent="0.25"/>
    <row r="369" ht="20.100000000000001" customHeight="1" x14ac:dyDescent="0.25"/>
    <row r="370" ht="20.100000000000001" customHeight="1" x14ac:dyDescent="0.25"/>
    <row r="371" ht="20.100000000000001" customHeight="1" x14ac:dyDescent="0.25"/>
    <row r="372" ht="20.100000000000001" customHeight="1" x14ac:dyDescent="0.25"/>
    <row r="373" ht="20.100000000000001" customHeight="1" x14ac:dyDescent="0.25"/>
    <row r="374" ht="20.100000000000001" customHeight="1" x14ac:dyDescent="0.25"/>
    <row r="375" ht="20.100000000000001" customHeight="1" x14ac:dyDescent="0.25"/>
    <row r="376" ht="20.100000000000001" customHeight="1" x14ac:dyDescent="0.25"/>
    <row r="377" ht="20.100000000000001" customHeight="1" x14ac:dyDescent="0.25"/>
    <row r="378" ht="20.100000000000001" customHeight="1" x14ac:dyDescent="0.25"/>
    <row r="379" ht="20.100000000000001" customHeight="1" x14ac:dyDescent="0.25"/>
    <row r="380" ht="20.100000000000001" customHeight="1" x14ac:dyDescent="0.25"/>
    <row r="381" ht="20.100000000000001" customHeight="1" x14ac:dyDescent="0.25"/>
    <row r="382" ht="20.100000000000001" customHeight="1" x14ac:dyDescent="0.25"/>
    <row r="383" ht="20.100000000000001" customHeight="1" x14ac:dyDescent="0.25"/>
    <row r="384" ht="20.100000000000001" customHeight="1" x14ac:dyDescent="0.25"/>
    <row r="385" ht="20.100000000000001" customHeight="1" x14ac:dyDescent="0.25"/>
    <row r="386" ht="20.100000000000001" customHeight="1" x14ac:dyDescent="0.25"/>
    <row r="387" ht="20.100000000000001" customHeight="1" x14ac:dyDescent="0.25"/>
    <row r="388" ht="20.100000000000001" customHeight="1" x14ac:dyDescent="0.25"/>
    <row r="389" ht="20.100000000000001" customHeight="1" x14ac:dyDescent="0.25"/>
    <row r="390" ht="20.100000000000001" customHeight="1" x14ac:dyDescent="0.25"/>
    <row r="391" ht="20.100000000000001" customHeight="1" x14ac:dyDescent="0.25"/>
    <row r="392" ht="20.100000000000001" customHeight="1" x14ac:dyDescent="0.25"/>
    <row r="393" ht="20.100000000000001" customHeight="1" x14ac:dyDescent="0.25"/>
    <row r="394" ht="20.100000000000001" customHeight="1" x14ac:dyDescent="0.25"/>
    <row r="395" ht="20.100000000000001" customHeight="1" x14ac:dyDescent="0.25"/>
    <row r="396" ht="20.100000000000001" customHeight="1" x14ac:dyDescent="0.25"/>
    <row r="397" ht="20.100000000000001" customHeight="1" x14ac:dyDescent="0.25"/>
    <row r="398" ht="20.100000000000001" customHeight="1" x14ac:dyDescent="0.25"/>
    <row r="399" ht="20.100000000000001" customHeight="1" x14ac:dyDescent="0.25"/>
    <row r="400" ht="20.100000000000001" customHeight="1" x14ac:dyDescent="0.25"/>
    <row r="401" ht="20.100000000000001" customHeight="1" x14ac:dyDescent="0.25"/>
    <row r="402" ht="20.100000000000001" customHeight="1" x14ac:dyDescent="0.25"/>
    <row r="403" ht="20.100000000000001" customHeight="1" x14ac:dyDescent="0.25"/>
    <row r="404" ht="20.100000000000001" customHeight="1" x14ac:dyDescent="0.25"/>
    <row r="405" ht="20.100000000000001" customHeight="1" x14ac:dyDescent="0.25"/>
    <row r="406" ht="20.100000000000001" customHeight="1" x14ac:dyDescent="0.25"/>
    <row r="407" ht="20.100000000000001" customHeight="1" x14ac:dyDescent="0.25"/>
    <row r="408" ht="20.100000000000001" customHeight="1" x14ac:dyDescent="0.25"/>
    <row r="409" ht="20.100000000000001" customHeight="1" x14ac:dyDescent="0.25"/>
    <row r="410" ht="20.100000000000001" customHeight="1" x14ac:dyDescent="0.25"/>
    <row r="411" ht="20.100000000000001" customHeight="1" x14ac:dyDescent="0.25"/>
    <row r="412" ht="20.100000000000001" customHeight="1" x14ac:dyDescent="0.25"/>
    <row r="413" ht="20.100000000000001" customHeight="1" x14ac:dyDescent="0.25"/>
    <row r="414" ht="20.100000000000001" customHeight="1" x14ac:dyDescent="0.25"/>
    <row r="415" ht="20.100000000000001" customHeight="1" x14ac:dyDescent="0.25"/>
    <row r="416" ht="20.100000000000001" customHeight="1" x14ac:dyDescent="0.25"/>
    <row r="417" ht="20.100000000000001" customHeight="1" x14ac:dyDescent="0.25"/>
    <row r="418" ht="20.100000000000001" customHeight="1" x14ac:dyDescent="0.25"/>
    <row r="419" ht="20.100000000000001" customHeight="1" x14ac:dyDescent="0.25"/>
    <row r="420" ht="20.100000000000001" customHeight="1" x14ac:dyDescent="0.25"/>
    <row r="421" ht="20.100000000000001" customHeight="1" x14ac:dyDescent="0.25"/>
    <row r="422" ht="20.100000000000001" customHeight="1" x14ac:dyDescent="0.25"/>
    <row r="423" ht="20.100000000000001" customHeight="1" x14ac:dyDescent="0.25"/>
    <row r="424" ht="20.100000000000001" customHeight="1" x14ac:dyDescent="0.25"/>
    <row r="425" ht="20.100000000000001" customHeight="1" x14ac:dyDescent="0.25"/>
    <row r="426" ht="20.100000000000001" customHeight="1" x14ac:dyDescent="0.25"/>
    <row r="427" ht="20.100000000000001" customHeight="1" x14ac:dyDescent="0.25"/>
    <row r="428" ht="20.100000000000001" customHeight="1" x14ac:dyDescent="0.25"/>
    <row r="429" ht="20.100000000000001" customHeight="1" x14ac:dyDescent="0.25"/>
    <row r="430" ht="20.100000000000001" customHeight="1" x14ac:dyDescent="0.25"/>
    <row r="431" ht="20.100000000000001" customHeight="1" x14ac:dyDescent="0.25"/>
    <row r="432" ht="20.100000000000001" customHeight="1" x14ac:dyDescent="0.25"/>
    <row r="433" ht="20.100000000000001" customHeight="1" x14ac:dyDescent="0.25"/>
    <row r="434" ht="20.100000000000001" customHeight="1" x14ac:dyDescent="0.25"/>
  </sheetData>
  <mergeCells count="1">
    <mergeCell ref="C3:S3"/>
  </mergeCells>
  <conditionalFormatting sqref="C7:C206">
    <cfRule type="expression" dxfId="12" priority="1">
      <formula>AND(C7&lt;&gt;"",COUNTIF($C$7:$C$206,C7)&gt;1)</formula>
    </cfRule>
  </conditionalFormatting>
  <dataValidations count="16">
    <dataValidation type="custom" allowBlank="1" showInputMessage="1" showErrorMessage="1" errorTitle="Duplicate ID" error="This netting set ID is already used. Enter a unique ID." promptTitle="Netting set ID" prompt="Unique ID of the legally enforceable netting set. Trades refer to it. A repeated ID makes the set INVALID." sqref="C7:C206" xr:uid="{00000000-0002-0000-0200-000000000000}">
      <formula1>COUNTIF($C$7:$C$206,C7)=1</formula1>
    </dataValidation>
    <dataValidation type="list" allowBlank="1" showInputMessage="1" showErrorMessage="1" errorTitle="Invalid choice" error="Choose Y or N." promptTitle="Margined" prompt="Y if a margin agreement exchanges variation margin (CRE52.2; CRR Art. 272(7)). Blank = N." sqref="E7:E206" xr:uid="{00000000-0002-0000-0200-000001000000}">
      <formula1>"Y,N"</formula1>
    </dataValidation>
    <dataValidation type="list" allowBlank="1" showInputMessage="1" showErrorMessage="1" errorTitle="Invalid clearing role" error="Choose N, CM, CLIENT, CCP or MULTI." promptTitle="Client clearing role" prompt="N = no client clearing. CM = clearing member facing its client (5-day floor). CLIENT = client facing its member: 5 days CRR, 10 BCBS. CCP = trade exposure to a CCP (10-day floor; fill R and S). MULTI = multi-level structure: rejected." sqref="F7:F206" xr:uid="{00000000-0002-0000-0200-000002000000}">
      <formula1>"N,CM,CLIENT,CCP,MULTI"</formula1>
    </dataValidation>
    <dataValidation type="whole" allowBlank="1" showInputMessage="1" showErrorMessage="1" errorTitle="Invalid remargin frequency" error="Enter a whole number of business days from 0 to 10000." promptTitle="Remargin frequency N" prompt="Business days between margin calls for a margined set; blank or 1 = daily. MPOR adds N - 1 (CRE52.50)." sqref="G7:G206" xr:uid="{00000000-0002-0000-0200-000003000000}">
      <formula1>0</formula1>
      <formula2>10000</formula2>
    </dataValidation>
    <dataValidation type="list" allowBlank="1" showInputMessage="1" showErrorMessage="1" errorTitle="Invalid choice" error="Choose Y or N." promptTitle="Large or illiquid" prompt="Y if the netting set has more than 5,000 trades or illiquid collateral or hard-to-replace OTC derivatives: MPOR floor 20 days (CRE52.51(1)-(2); CRR Art. 285(3))." sqref="H7:H206" xr:uid="{00000000-0002-0000-0200-000004000000}">
      <formula1>"Y,N"</formula1>
    </dataValidation>
    <dataValidation type="list" allowBlank="1" showInputMessage="1" showErrorMessage="1" errorTitle="Invalid choice" error="Choose Y or N." promptTitle="Margin disputes" prompt="Y if more than two disputes lasting longer than the MPOR occurred in the last two quarters: MPOR doubled (CRE52.51(3); CRR Art. 285(4))." sqref="I7:I206" xr:uid="{00000000-0002-0000-0200-000005000000}">
      <formula1>"Y,N"</formula1>
    </dataValidation>
    <dataValidation type="whole" operator="greaterThan" allowBlank="1" showInputMessage="1" showErrorMessage="1" errorTitle="Invalid MPOR override" error="Enter a whole number of business days greater than 0, or leave blank." promptTitle="MPOR override" prompt="Optional MPOR in business days. Applied only if not below the regulatory floor; otherwise the floor is used." sqref="J7:J206" xr:uid="{00000000-0002-0000-0200-000006000000}">
      <formula1>0</formula1>
    </dataValidation>
    <dataValidation type="custom" allowBlank="1" showInputMessage="1" showErrorMessage="1" errorTitle="Invalid amount" error="Enter a number: positive if held, negative if posted." promptTitle="Net variation margin" prompt="Net VM after haircuts, reporting currency: held (+), posted (-). VM held needs Margined = Y; under CRR so does VM posted (Art. 272(7a))." sqref="K7:K206" xr:uid="{00000000-0002-0000-0200-000007000000}">
      <formula1>ISNUMBER(K7)</formula1>
    </dataValidation>
    <dataValidation type="custom" allowBlank="1" showInputMessage="1" showErrorMessage="1" errorTitle="Invalid amount" error="Enter a number: positive if held, negative if posted." promptTitle="NICA" prompt="Net independent collateral amount after haircuts, reporting currency: held (+), posted (-); leave out posted collateral that is segregated and bankruptcy remote (CRE52.17)." sqref="L7:L206" xr:uid="{00000000-0002-0000-0200-000008000000}">
      <formula1>ISNUMBER(L7)</formula1>
    </dataValidation>
    <dataValidation type="decimal" operator="greaterThanOrEqual" allowBlank="1" showInputMessage="1" showErrorMessage="1" errorTitle="Invalid threshold" error="Enter an amount of zero or more." promptTitle="Threshold TH" prompt="Threshold of the margin agreement, reporting currency (CRE52.18)." sqref="M7:M206" xr:uid="{00000000-0002-0000-0200-000009000000}">
      <formula1>0</formula1>
    </dataValidation>
    <dataValidation type="decimal" operator="greaterThanOrEqual" allowBlank="1" showInputMessage="1" showErrorMessage="1" errorTitle="Invalid MTA" error="Enter an amount of zero or more." promptTitle="Minimum transfer amount" prompt="MTA of the margin agreement, reporting currency (CRE52.18)." sqref="N7:N206" xr:uid="{00000000-0002-0000-0200-00000A000000}">
      <formula1>0</formula1>
    </dataValidation>
    <dataValidation type="decimal" operator="greaterThan" allowBlank="1" showInputMessage="1" showErrorMessage="1" errorTitle="Invalid alpha" error="Enter a number greater than zero, or leave blank." promptTitle="Alpha override" prompt="Optional alpha for this netting set; blank = Params Alpha (regulatory value 1.4)." sqref="O7:O206" xr:uid="{00000000-0002-0000-0200-00000B000000}">
      <formula1>0</formula1>
    </dataValidation>
    <dataValidation type="list" allowBlank="1" showInputMessage="1" showErrorMessage="1" errorTitle="Invalid regime" error="Choose CRR or BCBS, or leave blank." promptTitle="Regime override" prompt="CRR or BCBS for this netting set; blank = Params Regime." sqref="P7:P206" xr:uid="{00000000-0002-0000-0200-00000C000000}">
      <formula1>"CRR,BCBS"</formula1>
    </dataValidation>
    <dataValidation type="list" allowBlank="1" showInputMessage="1" showErrorMessage="1" errorTitle="Invalid structure" error="Choose MIXED or SHARED, or leave blank." promptTitle="Margin agreements" prompt="Blank = one agreement, or none, covering only this set. MIXED or SHARED declares a structure the engine rejects (CRE52.74-.75)." sqref="Q7:Q206" xr:uid="{00000000-0002-0000-0200-00000D000000}">
      <formula1>"MIXED,SHARED"</formula1>
    </dataValidation>
    <dataValidation type="list" allowBlank="1" showInputMessage="1" showErrorMessage="1" errorTitle="Invalid choice" error="Choose Y or N, or leave blank for a role other than CCP." promptTitle="QCCP" prompt="CCP only: Y if the CCP qualifies under the netting set's regime (CRR: authorised or recognised under EMIR; BCBS: CRE50), N otherwise. Sets the risk weight stated on Checks, not the EAD. Blank for other roles." sqref="R7:R206" xr:uid="{00000000-0002-0000-0200-00000E000000}">
      <formula1>"Y,N"</formula1>
    </dataValidation>
    <dataValidation type="list" allowBlank="1" showInputMessage="1" showErrorMessage="1" errorTitle="Invalid choice" error="Choose Y or N, or leave blank for a role other than CCP." promptTitle="CCP retains VM" prompt="CCP only: Y if the CCP retains variation margin and the bank's collateral is not protected against its insolvency: each trade's horizon is then up to a year (CRE54.8(3); Art. 304(3)(d)). Needs Margined = Y." sqref="S7:S206" xr:uid="{00000000-0002-0000-0200-00000F000000}">
      <formula1>"Y,N"</formula1>
    </dataValidation>
  </dataValidations>
  <pageMargins left="0.4" right="0.4" top="0.5" bottom="0.5" header="0.3" footer="0.3"/>
  <pageSetup paperSize="9" fitToHeight="0" orientation="landscape"/>
  <drawing r:id="rId1"/>
  <legacyDrawing r:id="rId2"/>
  <mc:AlternateContent xmlns:mc="http://schemas.openxmlformats.org/markup-compatibility/2006">
    <mc:Choice Requires="x14">
      <controls>
        <mc:AlternateContent xmlns:mc="http://schemas.openxmlformats.org/markup-compatibility/2006">
          <mc:Choice Requires="x14">
            <control shapeId="6145" r:id="rId3" name="Button 1">
              <controlPr defaultSize="0" print="0" autoFill="0" autoPict="0" macro="[0]!ExportNettingSetsCsvTemplate">
                <anchor moveWithCells="1" sizeWithCells="1">
                  <from>
                    <xdr:col>10</xdr:col>
                    <xdr:colOff>19050</xdr:colOff>
                    <xdr:row>1</xdr:row>
                    <xdr:rowOff>38100</xdr:rowOff>
                  </from>
                  <to>
                    <xdr:col>11</xdr:col>
                    <xdr:colOff>781050</xdr:colOff>
                    <xdr:row>1</xdr:row>
                    <xdr:rowOff>285750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Trades">
    <tabColor rgb="FFBF9000"/>
    <pageSetUpPr fitToPage="1"/>
  </sheetPr>
  <dimension ref="B1:AD5005"/>
  <sheetViews>
    <sheetView showGridLines="0" zoomScaleNormal="100" workbookViewId="0">
      <pane xSplit="4" ySplit="4" topLeftCell="J5" activePane="bottomRight" state="frozen"/>
      <selection activeCell="C8" sqref="C8"/>
      <selection pane="topRight" activeCell="C8" sqref="C8"/>
      <selection pane="bottomLeft" activeCell="C8" sqref="C8"/>
      <selection pane="bottomRight" sqref="A1:XFD2"/>
    </sheetView>
  </sheetViews>
  <sheetFormatPr defaultRowHeight="15" x14ac:dyDescent="0.25"/>
  <cols>
    <col min="1" max="2" width="4" customWidth="1"/>
    <col min="3" max="3" width="15.625" style="34" customWidth="1"/>
    <col min="4" max="4" width="20.625" style="34" customWidth="1"/>
    <col min="5" max="5" width="10.625" style="47" customWidth="1"/>
    <col min="6" max="6" width="12.75" style="47" customWidth="1"/>
    <col min="7" max="7" width="20.625" style="47" customWidth="1"/>
    <col min="8" max="11" width="10.625" style="47" customWidth="1"/>
    <col min="12" max="12" width="15.625" style="47" customWidth="1"/>
    <col min="13" max="13" width="15.625" style="34" customWidth="1"/>
    <col min="14" max="14" width="10.625" style="47" customWidth="1"/>
    <col min="15" max="15" width="15.625" style="34" customWidth="1"/>
    <col min="16" max="20" width="10.625" style="47" customWidth="1"/>
    <col min="21" max="23" width="10.625" style="34" customWidth="1"/>
    <col min="24" max="26" width="15.625" style="34" customWidth="1"/>
    <col min="27" max="27" width="10.625" style="47" customWidth="1"/>
    <col min="28" max="28" width="12.75" style="47" customWidth="1"/>
    <col min="29" max="29" width="12.75" style="47" customWidth="1"/>
    <col min="30" max="30" width="50.75" style="34" customWidth="1"/>
  </cols>
  <sheetData>
    <row r="1" spans="2:30" ht="24" customHeight="1" x14ac:dyDescent="0.25">
      <c r="B1" s="24" t="s">
        <v>0</v>
      </c>
      <c r="C1" s="25"/>
      <c r="D1" s="26"/>
      <c r="E1" s="63"/>
      <c r="F1" s="63"/>
      <c r="G1" s="63"/>
      <c r="H1" s="63"/>
      <c r="I1" s="63"/>
      <c r="J1" s="63"/>
      <c r="K1" s="63"/>
      <c r="L1" s="63"/>
      <c r="M1" s="26"/>
      <c r="N1" s="26"/>
      <c r="O1" s="26"/>
      <c r="P1" s="26"/>
      <c r="Q1" s="63"/>
      <c r="R1" s="63"/>
      <c r="S1" s="63"/>
      <c r="T1" s="63"/>
      <c r="U1" s="63"/>
      <c r="V1" s="63"/>
      <c r="W1" s="63"/>
      <c r="X1" s="63"/>
      <c r="Y1" s="63"/>
      <c r="Z1" s="63"/>
      <c r="AA1" s="63"/>
      <c r="AB1" s="63"/>
      <c r="AC1" s="63"/>
      <c r="AD1" s="63"/>
    </row>
    <row r="2" spans="2:30" ht="26.1" customHeight="1" x14ac:dyDescent="0.25">
      <c r="B2" s="28" t="s">
        <v>50</v>
      </c>
      <c r="C2" s="29"/>
      <c r="D2" s="30"/>
      <c r="E2" s="65"/>
      <c r="F2" s="65"/>
      <c r="G2" s="65"/>
      <c r="H2" s="65"/>
      <c r="I2" s="65"/>
      <c r="J2" s="65"/>
      <c r="K2" s="65"/>
      <c r="L2" s="65"/>
      <c r="M2" s="30"/>
      <c r="N2" s="30"/>
      <c r="O2" s="30"/>
      <c r="P2" s="30"/>
      <c r="Q2" s="65"/>
      <c r="R2" s="65"/>
      <c r="S2" s="65"/>
      <c r="T2" s="65"/>
      <c r="U2" s="65"/>
      <c r="V2" s="65"/>
      <c r="W2" s="65"/>
      <c r="X2" s="65"/>
      <c r="Y2" s="65"/>
      <c r="Z2" s="65"/>
      <c r="AA2" s="65"/>
      <c r="AB2" s="65"/>
      <c r="AC2" s="65"/>
      <c r="AD2" s="65"/>
    </row>
    <row r="3" spans="2:30" ht="30" customHeight="1" x14ac:dyDescent="0.25">
      <c r="C3" s="67"/>
      <c r="D3"/>
      <c r="E3" s="66"/>
      <c r="F3" s="66"/>
      <c r="G3" s="66"/>
      <c r="H3" s="66"/>
      <c r="I3" s="66"/>
      <c r="J3" s="66"/>
      <c r="K3" s="66"/>
      <c r="L3" s="66"/>
      <c r="M3"/>
      <c r="N3"/>
      <c r="O3"/>
      <c r="P3"/>
      <c r="Q3" s="66"/>
      <c r="R3" s="66"/>
      <c r="S3" s="66"/>
      <c r="T3" s="66"/>
      <c r="U3"/>
      <c r="V3"/>
      <c r="W3"/>
      <c r="X3"/>
      <c r="Y3"/>
      <c r="Z3" s="66"/>
      <c r="AA3" s="66"/>
      <c r="AB3" s="66"/>
      <c r="AC3" s="66"/>
      <c r="AD3"/>
    </row>
    <row r="4" spans="2:30" ht="50.1" customHeight="1" x14ac:dyDescent="0.25">
      <c r="C4" s="68" t="s">
        <v>281</v>
      </c>
      <c r="D4" s="68" t="s">
        <v>233</v>
      </c>
      <c r="E4" s="52" t="s">
        <v>153</v>
      </c>
      <c r="F4" s="52" t="s">
        <v>17</v>
      </c>
      <c r="G4" s="52" t="s">
        <v>282</v>
      </c>
      <c r="H4" s="52" t="s">
        <v>283</v>
      </c>
      <c r="I4" s="52" t="s">
        <v>15</v>
      </c>
      <c r="J4" s="52" t="s">
        <v>284</v>
      </c>
      <c r="K4" s="52" t="s">
        <v>23</v>
      </c>
      <c r="L4" s="52" t="s">
        <v>285</v>
      </c>
      <c r="M4" s="52" t="s">
        <v>20</v>
      </c>
      <c r="N4" s="52" t="s">
        <v>803</v>
      </c>
      <c r="O4" s="52" t="s">
        <v>286</v>
      </c>
      <c r="P4" s="52" t="s">
        <v>804</v>
      </c>
      <c r="Q4" s="52" t="s">
        <v>805</v>
      </c>
      <c r="R4" s="52" t="s">
        <v>806</v>
      </c>
      <c r="S4" s="52" t="s">
        <v>807</v>
      </c>
      <c r="T4" s="52" t="s">
        <v>808</v>
      </c>
      <c r="U4" s="52" t="s">
        <v>809</v>
      </c>
      <c r="V4" s="52" t="s">
        <v>810</v>
      </c>
      <c r="W4" s="52" t="s">
        <v>811</v>
      </c>
      <c r="X4" s="52" t="s">
        <v>812</v>
      </c>
      <c r="Y4" s="52" t="s">
        <v>813</v>
      </c>
      <c r="Z4" s="52" t="s">
        <v>814</v>
      </c>
      <c r="AA4" s="52" t="s">
        <v>815</v>
      </c>
      <c r="AB4" s="52" t="s">
        <v>954</v>
      </c>
      <c r="AC4" s="52" t="s">
        <v>955</v>
      </c>
      <c r="AD4" s="68" t="s">
        <v>287</v>
      </c>
    </row>
    <row r="5" spans="2:30" ht="20.100000000000001" customHeight="1" x14ac:dyDescent="0.25">
      <c r="C5" s="57" t="s">
        <v>289</v>
      </c>
      <c r="D5" s="57" t="s">
        <v>246</v>
      </c>
      <c r="E5" s="41" t="s">
        <v>37</v>
      </c>
      <c r="F5" s="41" t="s">
        <v>904</v>
      </c>
      <c r="G5" s="41" t="s">
        <v>223</v>
      </c>
      <c r="H5" s="41" t="s">
        <v>290</v>
      </c>
      <c r="I5" s="41" t="s">
        <v>291</v>
      </c>
      <c r="J5" s="41" t="s">
        <v>904</v>
      </c>
      <c r="K5" s="41" t="s">
        <v>292</v>
      </c>
      <c r="L5" s="41" t="s">
        <v>904</v>
      </c>
      <c r="M5" s="60">
        <v>10000</v>
      </c>
      <c r="N5" s="41" t="s">
        <v>101</v>
      </c>
      <c r="O5" s="121">
        <v>30</v>
      </c>
      <c r="P5" s="41" t="s">
        <v>101</v>
      </c>
      <c r="Q5" s="69"/>
      <c r="R5" s="122">
        <v>49945</v>
      </c>
      <c r="S5" s="122">
        <v>49945</v>
      </c>
      <c r="T5" s="69"/>
      <c r="U5" s="70"/>
      <c r="V5" s="70"/>
      <c r="W5" s="71"/>
      <c r="X5" s="43"/>
      <c r="Y5" s="43"/>
      <c r="Z5" s="41" t="s">
        <v>904</v>
      </c>
      <c r="AA5" s="41" t="s">
        <v>904</v>
      </c>
      <c r="AB5" s="41"/>
      <c r="AC5" s="122"/>
      <c r="AD5" s="44" t="s">
        <v>293</v>
      </c>
    </row>
    <row r="6" spans="2:30" ht="20.100000000000001" customHeight="1" x14ac:dyDescent="0.25">
      <c r="C6" s="57" t="s">
        <v>294</v>
      </c>
      <c r="D6" s="57" t="s">
        <v>246</v>
      </c>
      <c r="E6" s="41" t="s">
        <v>37</v>
      </c>
      <c r="F6" s="41" t="s">
        <v>904</v>
      </c>
      <c r="G6" s="41" t="s">
        <v>223</v>
      </c>
      <c r="H6" s="41" t="s">
        <v>290</v>
      </c>
      <c r="I6" s="41" t="s">
        <v>295</v>
      </c>
      <c r="J6" s="41" t="s">
        <v>904</v>
      </c>
      <c r="K6" s="41" t="s">
        <v>292</v>
      </c>
      <c r="L6" s="41" t="s">
        <v>904</v>
      </c>
      <c r="M6" s="60">
        <v>10000</v>
      </c>
      <c r="N6" s="41" t="s">
        <v>101</v>
      </c>
      <c r="O6" s="60">
        <v>-20</v>
      </c>
      <c r="P6" s="41" t="s">
        <v>101</v>
      </c>
      <c r="Q6" s="69"/>
      <c r="R6" s="69">
        <v>47755</v>
      </c>
      <c r="S6" s="69">
        <v>47755</v>
      </c>
      <c r="T6" s="69"/>
      <c r="U6" s="70"/>
      <c r="V6" s="70"/>
      <c r="W6" s="71"/>
      <c r="X6" s="43"/>
      <c r="Y6" s="43"/>
      <c r="Z6" s="41" t="s">
        <v>904</v>
      </c>
      <c r="AA6" s="41" t="s">
        <v>904</v>
      </c>
      <c r="AB6" s="41"/>
      <c r="AC6" s="69"/>
      <c r="AD6" s="44" t="s">
        <v>296</v>
      </c>
    </row>
    <row r="7" spans="2:30" ht="20.100000000000001" customHeight="1" x14ac:dyDescent="0.25">
      <c r="C7" s="57" t="s">
        <v>297</v>
      </c>
      <c r="D7" s="57" t="s">
        <v>246</v>
      </c>
      <c r="E7" s="41" t="s">
        <v>37</v>
      </c>
      <c r="F7" s="41" t="s">
        <v>904</v>
      </c>
      <c r="G7" s="41" t="s">
        <v>101</v>
      </c>
      <c r="H7" s="41" t="s">
        <v>298</v>
      </c>
      <c r="I7" s="41" t="s">
        <v>291</v>
      </c>
      <c r="J7" s="41" t="s">
        <v>299</v>
      </c>
      <c r="K7" s="41" t="s">
        <v>292</v>
      </c>
      <c r="L7" s="41" t="s">
        <v>904</v>
      </c>
      <c r="M7" s="60">
        <v>5000</v>
      </c>
      <c r="N7" s="41" t="s">
        <v>101</v>
      </c>
      <c r="O7" s="60">
        <v>50</v>
      </c>
      <c r="P7" s="41" t="s">
        <v>101</v>
      </c>
      <c r="Q7" s="69">
        <v>46660</v>
      </c>
      <c r="R7" s="69">
        <v>50310</v>
      </c>
      <c r="S7" s="69">
        <v>50310</v>
      </c>
      <c r="T7" s="69">
        <v>46660</v>
      </c>
      <c r="U7" s="70">
        <v>0.06</v>
      </c>
      <c r="V7" s="70">
        <v>0.05</v>
      </c>
      <c r="W7" s="71"/>
      <c r="X7" s="43"/>
      <c r="Y7" s="43"/>
      <c r="Z7" s="41" t="s">
        <v>904</v>
      </c>
      <c r="AA7" s="41" t="s">
        <v>904</v>
      </c>
      <c r="AB7" s="41"/>
      <c r="AC7" s="69"/>
      <c r="AD7" s="44" t="s">
        <v>300</v>
      </c>
    </row>
    <row r="8" spans="2:30" ht="20.100000000000001" customHeight="1" x14ac:dyDescent="0.25">
      <c r="C8" s="57" t="s">
        <v>301</v>
      </c>
      <c r="D8" s="57" t="s">
        <v>250</v>
      </c>
      <c r="E8" s="41" t="s">
        <v>164</v>
      </c>
      <c r="F8" s="41" t="s">
        <v>168</v>
      </c>
      <c r="G8" s="41" t="s">
        <v>302</v>
      </c>
      <c r="H8" s="41" t="s">
        <v>290</v>
      </c>
      <c r="I8" s="41" t="s">
        <v>291</v>
      </c>
      <c r="J8" s="41" t="s">
        <v>904</v>
      </c>
      <c r="K8" s="41" t="s">
        <v>292</v>
      </c>
      <c r="L8" s="41" t="s">
        <v>904</v>
      </c>
      <c r="M8" s="60">
        <v>10000</v>
      </c>
      <c r="N8" s="41" t="s">
        <v>101</v>
      </c>
      <c r="O8" s="60">
        <v>20</v>
      </c>
      <c r="P8" s="41" t="s">
        <v>101</v>
      </c>
      <c r="Q8" s="69"/>
      <c r="R8" s="69">
        <v>47390</v>
      </c>
      <c r="S8" s="69">
        <v>47390</v>
      </c>
      <c r="T8" s="69"/>
      <c r="U8" s="70"/>
      <c r="V8" s="70"/>
      <c r="W8" s="71"/>
      <c r="X8" s="43"/>
      <c r="Y8" s="43"/>
      <c r="Z8" s="41" t="s">
        <v>904</v>
      </c>
      <c r="AA8" s="41" t="s">
        <v>904</v>
      </c>
      <c r="AB8" s="41"/>
      <c r="AC8" s="69"/>
      <c r="AD8" s="44" t="s">
        <v>303</v>
      </c>
    </row>
    <row r="9" spans="2:30" ht="20.100000000000001" customHeight="1" x14ac:dyDescent="0.25">
      <c r="C9" s="57" t="s">
        <v>304</v>
      </c>
      <c r="D9" s="57" t="s">
        <v>250</v>
      </c>
      <c r="E9" s="41" t="s">
        <v>164</v>
      </c>
      <c r="F9" s="41" t="s">
        <v>172</v>
      </c>
      <c r="G9" s="41" t="s">
        <v>305</v>
      </c>
      <c r="H9" s="41" t="s">
        <v>290</v>
      </c>
      <c r="I9" s="41" t="s">
        <v>295</v>
      </c>
      <c r="J9" s="41" t="s">
        <v>904</v>
      </c>
      <c r="K9" s="41" t="s">
        <v>292</v>
      </c>
      <c r="L9" s="41" t="s">
        <v>904</v>
      </c>
      <c r="M9" s="60">
        <v>10000</v>
      </c>
      <c r="N9" s="41" t="s">
        <v>101</v>
      </c>
      <c r="O9" s="60">
        <v>-40</v>
      </c>
      <c r="P9" s="41" t="s">
        <v>101</v>
      </c>
      <c r="Q9" s="69"/>
      <c r="R9" s="69">
        <v>48485</v>
      </c>
      <c r="S9" s="69">
        <v>48485</v>
      </c>
      <c r="T9" s="69"/>
      <c r="U9" s="70"/>
      <c r="V9" s="70"/>
      <c r="W9" s="71"/>
      <c r="X9" s="43"/>
      <c r="Y9" s="43"/>
      <c r="Z9" s="41" t="s">
        <v>904</v>
      </c>
      <c r="AA9" s="41" t="s">
        <v>904</v>
      </c>
      <c r="AB9" s="41"/>
      <c r="AC9" s="69"/>
      <c r="AD9" s="44" t="s">
        <v>306</v>
      </c>
    </row>
    <row r="10" spans="2:30" ht="20.100000000000001" customHeight="1" x14ac:dyDescent="0.25">
      <c r="C10" s="57" t="s">
        <v>307</v>
      </c>
      <c r="D10" s="57" t="s">
        <v>250</v>
      </c>
      <c r="E10" s="41" t="s">
        <v>164</v>
      </c>
      <c r="F10" s="41" t="s">
        <v>193</v>
      </c>
      <c r="G10" s="41" t="s">
        <v>308</v>
      </c>
      <c r="H10" s="41" t="s">
        <v>290</v>
      </c>
      <c r="I10" s="41" t="s">
        <v>291</v>
      </c>
      <c r="J10" s="41" t="s">
        <v>904</v>
      </c>
      <c r="K10" s="41" t="s">
        <v>292</v>
      </c>
      <c r="L10" s="41" t="s">
        <v>904</v>
      </c>
      <c r="M10" s="60">
        <v>10000</v>
      </c>
      <c r="N10" s="41" t="s">
        <v>101</v>
      </c>
      <c r="O10" s="60">
        <v>0</v>
      </c>
      <c r="P10" s="41" t="s">
        <v>101</v>
      </c>
      <c r="Q10" s="69"/>
      <c r="R10" s="69">
        <v>48120</v>
      </c>
      <c r="S10" s="69">
        <v>48120</v>
      </c>
      <c r="T10" s="69"/>
      <c r="U10" s="70"/>
      <c r="V10" s="70"/>
      <c r="W10" s="71"/>
      <c r="X10" s="43"/>
      <c r="Y10" s="43"/>
      <c r="Z10" s="41" t="s">
        <v>904</v>
      </c>
      <c r="AA10" s="41" t="s">
        <v>904</v>
      </c>
      <c r="AB10" s="41"/>
      <c r="AC10" s="69"/>
      <c r="AD10" s="44" t="s">
        <v>309</v>
      </c>
    </row>
    <row r="11" spans="2:30" ht="20.100000000000001" customHeight="1" x14ac:dyDescent="0.25">
      <c r="C11" s="57" t="s">
        <v>310</v>
      </c>
      <c r="D11" s="57" t="s">
        <v>252</v>
      </c>
      <c r="E11" s="41" t="s">
        <v>42</v>
      </c>
      <c r="F11" s="41" t="s">
        <v>207</v>
      </c>
      <c r="G11" s="41" t="s">
        <v>311</v>
      </c>
      <c r="H11" s="41" t="s">
        <v>290</v>
      </c>
      <c r="I11" s="41" t="s">
        <v>291</v>
      </c>
      <c r="J11" s="41" t="s">
        <v>904</v>
      </c>
      <c r="K11" s="41" t="s">
        <v>292</v>
      </c>
      <c r="L11" s="41" t="s">
        <v>904</v>
      </c>
      <c r="M11" s="60">
        <v>10000</v>
      </c>
      <c r="N11" s="41" t="s">
        <v>101</v>
      </c>
      <c r="O11" s="60">
        <v>-50</v>
      </c>
      <c r="P11" s="41" t="s">
        <v>101</v>
      </c>
      <c r="Q11" s="69"/>
      <c r="R11" s="69"/>
      <c r="S11" s="69">
        <v>46569</v>
      </c>
      <c r="T11" s="69"/>
      <c r="U11" s="70"/>
      <c r="V11" s="70"/>
      <c r="W11" s="71"/>
      <c r="X11" s="43"/>
      <c r="Y11" s="43"/>
      <c r="Z11" s="41" t="s">
        <v>904</v>
      </c>
      <c r="AA11" s="41" t="s">
        <v>904</v>
      </c>
      <c r="AB11" s="41"/>
      <c r="AC11" s="69"/>
      <c r="AD11" s="44" t="s">
        <v>914</v>
      </c>
    </row>
    <row r="12" spans="2:30" ht="20.100000000000001" customHeight="1" x14ac:dyDescent="0.25">
      <c r="C12" s="57" t="s">
        <v>313</v>
      </c>
      <c r="D12" s="57" t="s">
        <v>252</v>
      </c>
      <c r="E12" s="41" t="s">
        <v>42</v>
      </c>
      <c r="F12" s="41" t="s">
        <v>207</v>
      </c>
      <c r="G12" s="41" t="s">
        <v>311</v>
      </c>
      <c r="H12" s="41" t="s">
        <v>290</v>
      </c>
      <c r="I12" s="41" t="s">
        <v>295</v>
      </c>
      <c r="J12" s="41" t="s">
        <v>904</v>
      </c>
      <c r="K12" s="41" t="s">
        <v>292</v>
      </c>
      <c r="L12" s="41" t="s">
        <v>904</v>
      </c>
      <c r="M12" s="60">
        <v>20000</v>
      </c>
      <c r="N12" s="41" t="s">
        <v>101</v>
      </c>
      <c r="O12" s="60">
        <v>-30</v>
      </c>
      <c r="P12" s="41" t="s">
        <v>101</v>
      </c>
      <c r="Q12" s="69"/>
      <c r="R12" s="69"/>
      <c r="S12" s="69">
        <v>47025</v>
      </c>
      <c r="T12" s="69"/>
      <c r="U12" s="70"/>
      <c r="V12" s="70"/>
      <c r="W12" s="71"/>
      <c r="X12" s="43"/>
      <c r="Y12" s="43"/>
      <c r="Z12" s="41" t="s">
        <v>904</v>
      </c>
      <c r="AA12" s="41" t="s">
        <v>904</v>
      </c>
      <c r="AB12" s="41"/>
      <c r="AC12" s="69"/>
      <c r="AD12" s="44" t="s">
        <v>314</v>
      </c>
    </row>
    <row r="13" spans="2:30" ht="20.100000000000001" customHeight="1" x14ac:dyDescent="0.25">
      <c r="C13" s="57" t="s">
        <v>315</v>
      </c>
      <c r="D13" s="57" t="s">
        <v>252</v>
      </c>
      <c r="E13" s="41" t="s">
        <v>42</v>
      </c>
      <c r="F13" s="41" t="s">
        <v>209</v>
      </c>
      <c r="G13" s="41" t="s">
        <v>316</v>
      </c>
      <c r="H13" s="41" t="s">
        <v>290</v>
      </c>
      <c r="I13" s="41" t="s">
        <v>291</v>
      </c>
      <c r="J13" s="41" t="s">
        <v>904</v>
      </c>
      <c r="K13" s="41" t="s">
        <v>292</v>
      </c>
      <c r="L13" s="41" t="s">
        <v>904</v>
      </c>
      <c r="M13" s="60">
        <v>10000</v>
      </c>
      <c r="N13" s="41" t="s">
        <v>101</v>
      </c>
      <c r="O13" s="60">
        <v>100</v>
      </c>
      <c r="P13" s="41" t="s">
        <v>101</v>
      </c>
      <c r="Q13" s="69"/>
      <c r="R13" s="69"/>
      <c r="S13" s="69">
        <v>48120</v>
      </c>
      <c r="T13" s="69"/>
      <c r="U13" s="70"/>
      <c r="V13" s="70"/>
      <c r="W13" s="71"/>
      <c r="X13" s="43"/>
      <c r="Y13" s="43"/>
      <c r="Z13" s="41" t="s">
        <v>904</v>
      </c>
      <c r="AA13" s="41" t="s">
        <v>904</v>
      </c>
      <c r="AB13" s="41"/>
      <c r="AC13" s="69"/>
      <c r="AD13" s="44" t="s">
        <v>317</v>
      </c>
    </row>
    <row r="14" spans="2:30" ht="20.100000000000001" customHeight="1" x14ac:dyDescent="0.25">
      <c r="C14" s="57" t="s">
        <v>318</v>
      </c>
      <c r="D14" s="57" t="s">
        <v>254</v>
      </c>
      <c r="E14" s="41" t="s">
        <v>37</v>
      </c>
      <c r="F14" s="41" t="s">
        <v>904</v>
      </c>
      <c r="G14" s="41" t="s">
        <v>223</v>
      </c>
      <c r="H14" s="41" t="s">
        <v>290</v>
      </c>
      <c r="I14" s="41" t="s">
        <v>291</v>
      </c>
      <c r="J14" s="41" t="s">
        <v>904</v>
      </c>
      <c r="K14" s="41" t="s">
        <v>292</v>
      </c>
      <c r="L14" s="41" t="s">
        <v>904</v>
      </c>
      <c r="M14" s="60">
        <v>10000</v>
      </c>
      <c r="N14" s="41" t="s">
        <v>101</v>
      </c>
      <c r="O14" s="60">
        <v>30</v>
      </c>
      <c r="P14" s="41" t="s">
        <v>101</v>
      </c>
      <c r="Q14" s="69"/>
      <c r="R14" s="69">
        <v>49945</v>
      </c>
      <c r="S14" s="69">
        <v>49945</v>
      </c>
      <c r="T14" s="69"/>
      <c r="U14" s="70"/>
      <c r="V14" s="70"/>
      <c r="W14" s="71"/>
      <c r="X14" s="43"/>
      <c r="Y14" s="43"/>
      <c r="Z14" s="41" t="s">
        <v>904</v>
      </c>
      <c r="AA14" s="41" t="s">
        <v>904</v>
      </c>
      <c r="AB14" s="41"/>
      <c r="AC14" s="69"/>
      <c r="AD14" s="44" t="s">
        <v>293</v>
      </c>
    </row>
    <row r="15" spans="2:30" ht="20.100000000000001" customHeight="1" x14ac:dyDescent="0.25">
      <c r="C15" s="57" t="s">
        <v>319</v>
      </c>
      <c r="D15" s="57" t="s">
        <v>254</v>
      </c>
      <c r="E15" s="41" t="s">
        <v>37</v>
      </c>
      <c r="F15" s="41" t="s">
        <v>904</v>
      </c>
      <c r="G15" s="41" t="s">
        <v>223</v>
      </c>
      <c r="H15" s="41" t="s">
        <v>290</v>
      </c>
      <c r="I15" s="41" t="s">
        <v>295</v>
      </c>
      <c r="J15" s="41" t="s">
        <v>904</v>
      </c>
      <c r="K15" s="41" t="s">
        <v>292</v>
      </c>
      <c r="L15" s="41" t="s">
        <v>904</v>
      </c>
      <c r="M15" s="60">
        <v>10000</v>
      </c>
      <c r="N15" s="41" t="s">
        <v>101</v>
      </c>
      <c r="O15" s="60">
        <v>-20</v>
      </c>
      <c r="P15" s="41" t="s">
        <v>101</v>
      </c>
      <c r="Q15" s="69"/>
      <c r="R15" s="69">
        <v>47755</v>
      </c>
      <c r="S15" s="69">
        <v>47755</v>
      </c>
      <c r="T15" s="69"/>
      <c r="U15" s="70"/>
      <c r="V15" s="70"/>
      <c r="W15" s="71"/>
      <c r="X15" s="43"/>
      <c r="Y15" s="43"/>
      <c r="Z15" s="41" t="s">
        <v>904</v>
      </c>
      <c r="AA15" s="41" t="s">
        <v>904</v>
      </c>
      <c r="AB15" s="41"/>
      <c r="AC15" s="69"/>
      <c r="AD15" s="44" t="s">
        <v>296</v>
      </c>
    </row>
    <row r="16" spans="2:30" ht="20.100000000000001" customHeight="1" x14ac:dyDescent="0.25">
      <c r="C16" s="57" t="s">
        <v>320</v>
      </c>
      <c r="D16" s="57" t="s">
        <v>254</v>
      </c>
      <c r="E16" s="41" t="s">
        <v>37</v>
      </c>
      <c r="F16" s="41" t="s">
        <v>904</v>
      </c>
      <c r="G16" s="41" t="s">
        <v>101</v>
      </c>
      <c r="H16" s="41" t="s">
        <v>298</v>
      </c>
      <c r="I16" s="41" t="s">
        <v>291</v>
      </c>
      <c r="J16" s="41" t="s">
        <v>299</v>
      </c>
      <c r="K16" s="41" t="s">
        <v>292</v>
      </c>
      <c r="L16" s="41" t="s">
        <v>904</v>
      </c>
      <c r="M16" s="60">
        <v>5000</v>
      </c>
      <c r="N16" s="41" t="s">
        <v>101</v>
      </c>
      <c r="O16" s="60">
        <v>50</v>
      </c>
      <c r="P16" s="41" t="s">
        <v>101</v>
      </c>
      <c r="Q16" s="69">
        <v>46660</v>
      </c>
      <c r="R16" s="69">
        <v>50310</v>
      </c>
      <c r="S16" s="69">
        <v>50310</v>
      </c>
      <c r="T16" s="69">
        <v>46660</v>
      </c>
      <c r="U16" s="70">
        <v>0.06</v>
      </c>
      <c r="V16" s="70">
        <v>0.05</v>
      </c>
      <c r="W16" s="71"/>
      <c r="X16" s="43"/>
      <c r="Y16" s="43"/>
      <c r="Z16" s="41" t="s">
        <v>904</v>
      </c>
      <c r="AA16" s="41" t="s">
        <v>904</v>
      </c>
      <c r="AB16" s="41"/>
      <c r="AC16" s="69"/>
      <c r="AD16" s="44" t="s">
        <v>300</v>
      </c>
    </row>
    <row r="17" spans="3:28" ht="20.100000000000001" customHeight="1" x14ac:dyDescent="0.25">
      <c r="C17" s="57" t="s">
        <v>321</v>
      </c>
      <c r="D17" s="57" t="s">
        <v>254</v>
      </c>
      <c r="E17" s="41" t="s">
        <v>164</v>
      </c>
      <c r="F17" s="41" t="s">
        <v>168</v>
      </c>
      <c r="G17" s="41" t="s">
        <v>302</v>
      </c>
      <c r="H17" s="41" t="s">
        <v>290</v>
      </c>
      <c r="I17" s="41" t="s">
        <v>291</v>
      </c>
      <c r="J17" s="41" t="s">
        <v>904</v>
      </c>
      <c r="K17" s="41" t="s">
        <v>292</v>
      </c>
      <c r="L17" s="41" t="s">
        <v>904</v>
      </c>
      <c r="M17" s="60">
        <v>10000</v>
      </c>
      <c r="N17" s="41" t="s">
        <v>101</v>
      </c>
      <c r="O17" s="60">
        <v>20</v>
      </c>
      <c r="P17" s="41" t="s">
        <v>101</v>
      </c>
      <c r="Q17" s="69"/>
      <c r="R17" s="69">
        <v>47390</v>
      </c>
      <c r="S17" s="69">
        <v>47390</v>
      </c>
      <c r="T17" s="69"/>
      <c r="U17" s="70"/>
      <c r="V17" s="70"/>
      <c r="W17" s="71"/>
      <c r="X17" s="43"/>
      <c r="Y17" s="43"/>
      <c r="Z17" s="41" t="s">
        <v>904</v>
      </c>
      <c r="AA17" s="41" t="s">
        <v>904</v>
      </c>
      <c r="AB17" s="41"/>
      <c r="AC17" s="69"/>
      <c r="AD17" s="44" t="s">
        <v>303</v>
      </c>
    </row>
    <row r="18" spans="3:28" ht="20.100000000000001" customHeight="1" x14ac:dyDescent="0.25">
      <c r="C18" s="57" t="s">
        <v>322</v>
      </c>
      <c r="D18" s="57" t="s">
        <v>254</v>
      </c>
      <c r="E18" s="41" t="s">
        <v>164</v>
      </c>
      <c r="F18" s="41" t="s">
        <v>172</v>
      </c>
      <c r="G18" s="41" t="s">
        <v>305</v>
      </c>
      <c r="H18" s="41" t="s">
        <v>290</v>
      </c>
      <c r="I18" s="41" t="s">
        <v>295</v>
      </c>
      <c r="J18" s="41" t="s">
        <v>904</v>
      </c>
      <c r="K18" s="41" t="s">
        <v>292</v>
      </c>
      <c r="L18" s="41" t="s">
        <v>904</v>
      </c>
      <c r="M18" s="60">
        <v>10000</v>
      </c>
      <c r="N18" s="41" t="s">
        <v>101</v>
      </c>
      <c r="O18" s="60">
        <v>-40</v>
      </c>
      <c r="P18" s="41" t="s">
        <v>101</v>
      </c>
      <c r="Q18" s="69"/>
      <c r="R18" s="69">
        <v>48485</v>
      </c>
      <c r="S18" s="69">
        <v>48485</v>
      </c>
      <c r="T18" s="69"/>
      <c r="U18" s="70"/>
      <c r="V18" s="70"/>
      <c r="W18" s="71"/>
      <c r="X18" s="43"/>
      <c r="Y18" s="43"/>
      <c r="Z18" s="41" t="s">
        <v>904</v>
      </c>
      <c r="AA18" s="41" t="s">
        <v>904</v>
      </c>
      <c r="AB18" s="41"/>
      <c r="AC18" s="69"/>
      <c r="AD18" s="44" t="s">
        <v>306</v>
      </c>
    </row>
    <row r="19" spans="3:28" ht="20.100000000000001" customHeight="1" x14ac:dyDescent="0.25">
      <c r="C19" s="57" t="s">
        <v>323</v>
      </c>
      <c r="D19" s="57" t="s">
        <v>254</v>
      </c>
      <c r="E19" s="41" t="s">
        <v>164</v>
      </c>
      <c r="F19" s="41" t="s">
        <v>193</v>
      </c>
      <c r="G19" s="41" t="s">
        <v>308</v>
      </c>
      <c r="H19" s="41" t="s">
        <v>290</v>
      </c>
      <c r="I19" s="41" t="s">
        <v>291</v>
      </c>
      <c r="J19" s="41" t="s">
        <v>904</v>
      </c>
      <c r="K19" s="41" t="s">
        <v>292</v>
      </c>
      <c r="L19" s="41" t="s">
        <v>904</v>
      </c>
      <c r="M19" s="60">
        <v>10000</v>
      </c>
      <c r="N19" s="41" t="s">
        <v>101</v>
      </c>
      <c r="O19" s="60">
        <v>0</v>
      </c>
      <c r="P19" s="41" t="s">
        <v>101</v>
      </c>
      <c r="Q19" s="69"/>
      <c r="R19" s="69">
        <v>48120</v>
      </c>
      <c r="S19" s="69">
        <v>48120</v>
      </c>
      <c r="T19" s="69"/>
      <c r="U19" s="70"/>
      <c r="V19" s="70"/>
      <c r="W19" s="71"/>
      <c r="X19" s="43"/>
      <c r="Y19" s="43"/>
      <c r="Z19" s="41" t="s">
        <v>904</v>
      </c>
      <c r="AA19" s="41" t="s">
        <v>904</v>
      </c>
      <c r="AB19" s="41"/>
      <c r="AC19" s="69"/>
      <c r="AD19" s="44" t="s">
        <v>309</v>
      </c>
    </row>
    <row r="20" spans="3:28" ht="20.100000000000001" customHeight="1" x14ac:dyDescent="0.25">
      <c r="C20" s="57" t="s">
        <v>324</v>
      </c>
      <c r="D20" s="57" t="s">
        <v>256</v>
      </c>
      <c r="E20" s="41" t="s">
        <v>37</v>
      </c>
      <c r="F20" s="41" t="s">
        <v>904</v>
      </c>
      <c r="G20" s="41" t="s">
        <v>223</v>
      </c>
      <c r="H20" s="41" t="s">
        <v>290</v>
      </c>
      <c r="I20" s="41" t="s">
        <v>291</v>
      </c>
      <c r="J20" s="41" t="s">
        <v>904</v>
      </c>
      <c r="K20" s="41" t="s">
        <v>292</v>
      </c>
      <c r="L20" s="41" t="s">
        <v>904</v>
      </c>
      <c r="M20" s="60">
        <v>10000</v>
      </c>
      <c r="N20" s="41" t="s">
        <v>101</v>
      </c>
      <c r="O20" s="60">
        <v>30</v>
      </c>
      <c r="P20" s="41" t="s">
        <v>101</v>
      </c>
      <c r="Q20" s="69"/>
      <c r="R20" s="69">
        <v>49945</v>
      </c>
      <c r="S20" s="69">
        <v>49945</v>
      </c>
      <c r="T20" s="69"/>
      <c r="U20" s="70"/>
      <c r="V20" s="70"/>
      <c r="W20" s="71"/>
      <c r="X20" s="43"/>
      <c r="Y20" s="43"/>
      <c r="Z20" s="41" t="s">
        <v>904</v>
      </c>
      <c r="AA20" s="41" t="s">
        <v>904</v>
      </c>
      <c r="AB20" s="41"/>
      <c r="AC20" s="69"/>
      <c r="AD20" s="44" t="s">
        <v>293</v>
      </c>
    </row>
    <row r="21" spans="3:28" ht="20.100000000000001" customHeight="1" x14ac:dyDescent="0.25">
      <c r="C21" s="57" t="s">
        <v>325</v>
      </c>
      <c r="D21" s="57" t="s">
        <v>256</v>
      </c>
      <c r="E21" s="41" t="s">
        <v>37</v>
      </c>
      <c r="F21" s="41" t="s">
        <v>904</v>
      </c>
      <c r="G21" s="41" t="s">
        <v>223</v>
      </c>
      <c r="H21" s="41" t="s">
        <v>290</v>
      </c>
      <c r="I21" s="41" t="s">
        <v>295</v>
      </c>
      <c r="J21" s="41" t="s">
        <v>904</v>
      </c>
      <c r="K21" s="41" t="s">
        <v>292</v>
      </c>
      <c r="L21" s="41" t="s">
        <v>904</v>
      </c>
      <c r="M21" s="60">
        <v>10000</v>
      </c>
      <c r="N21" s="41" t="s">
        <v>101</v>
      </c>
      <c r="O21" s="60">
        <v>-20</v>
      </c>
      <c r="P21" s="41" t="s">
        <v>101</v>
      </c>
      <c r="Q21" s="69"/>
      <c r="R21" s="69">
        <v>47755</v>
      </c>
      <c r="S21" s="69">
        <v>47755</v>
      </c>
      <c r="T21" s="69"/>
      <c r="U21" s="70"/>
      <c r="V21" s="70"/>
      <c r="W21" s="71"/>
      <c r="X21" s="43"/>
      <c r="Y21" s="43"/>
      <c r="Z21" s="41" t="s">
        <v>904</v>
      </c>
      <c r="AA21" s="41" t="s">
        <v>904</v>
      </c>
      <c r="AB21" s="41"/>
      <c r="AC21" s="69"/>
      <c r="AD21" s="44" t="s">
        <v>296</v>
      </c>
    </row>
    <row r="22" spans="3:28" ht="20.100000000000001" customHeight="1" x14ac:dyDescent="0.25">
      <c r="C22" s="57" t="s">
        <v>326</v>
      </c>
      <c r="D22" s="57" t="s">
        <v>256</v>
      </c>
      <c r="E22" s="41" t="s">
        <v>37</v>
      </c>
      <c r="F22" s="41" t="s">
        <v>904</v>
      </c>
      <c r="G22" s="41" t="s">
        <v>101</v>
      </c>
      <c r="H22" s="41" t="s">
        <v>298</v>
      </c>
      <c r="I22" s="41" t="s">
        <v>291</v>
      </c>
      <c r="J22" s="41" t="s">
        <v>299</v>
      </c>
      <c r="K22" s="41" t="s">
        <v>292</v>
      </c>
      <c r="L22" s="41" t="s">
        <v>904</v>
      </c>
      <c r="M22" s="60">
        <v>5000</v>
      </c>
      <c r="N22" s="41" t="s">
        <v>101</v>
      </c>
      <c r="O22" s="60">
        <v>50</v>
      </c>
      <c r="P22" s="41" t="s">
        <v>101</v>
      </c>
      <c r="Q22" s="69">
        <v>46660</v>
      </c>
      <c r="R22" s="69">
        <v>50310</v>
      </c>
      <c r="S22" s="69">
        <v>50310</v>
      </c>
      <c r="T22" s="69">
        <v>46660</v>
      </c>
      <c r="U22" s="70">
        <v>0.06</v>
      </c>
      <c r="V22" s="70">
        <v>0.05</v>
      </c>
      <c r="W22" s="71"/>
      <c r="X22" s="43"/>
      <c r="Y22" s="43"/>
      <c r="Z22" s="41" t="s">
        <v>904</v>
      </c>
      <c r="AA22" s="41" t="s">
        <v>904</v>
      </c>
      <c r="AB22" s="41"/>
      <c r="AC22" s="69"/>
      <c r="AD22" s="44" t="s">
        <v>300</v>
      </c>
    </row>
    <row r="23" spans="3:28" ht="20.100000000000001" customHeight="1" x14ac:dyDescent="0.25">
      <c r="C23" s="57" t="s">
        <v>327</v>
      </c>
      <c r="D23" s="57" t="s">
        <v>256</v>
      </c>
      <c r="E23" s="41" t="s">
        <v>42</v>
      </c>
      <c r="F23" s="41" t="s">
        <v>207</v>
      </c>
      <c r="G23" s="41" t="s">
        <v>311</v>
      </c>
      <c r="H23" s="41" t="s">
        <v>290</v>
      </c>
      <c r="I23" s="41" t="s">
        <v>291</v>
      </c>
      <c r="J23" s="41" t="s">
        <v>904</v>
      </c>
      <c r="K23" s="41" t="s">
        <v>292</v>
      </c>
      <c r="L23" s="41" t="s">
        <v>904</v>
      </c>
      <c r="M23" s="60">
        <v>10000</v>
      </c>
      <c r="N23" s="41" t="s">
        <v>101</v>
      </c>
      <c r="O23" s="60">
        <v>-50</v>
      </c>
      <c r="P23" s="41" t="s">
        <v>101</v>
      </c>
      <c r="Q23" s="69"/>
      <c r="R23" s="69"/>
      <c r="S23" s="69">
        <v>46569</v>
      </c>
      <c r="T23" s="69"/>
      <c r="U23" s="70"/>
      <c r="V23" s="70"/>
      <c r="W23" s="71"/>
      <c r="X23" s="43"/>
      <c r="Y23" s="43"/>
      <c r="Z23" s="41" t="s">
        <v>904</v>
      </c>
      <c r="AA23" s="41" t="s">
        <v>904</v>
      </c>
      <c r="AB23" s="41"/>
      <c r="AC23" s="69"/>
      <c r="AD23" s="44" t="s">
        <v>915</v>
      </c>
    </row>
    <row r="24" spans="3:28" ht="20.100000000000001" customHeight="1" x14ac:dyDescent="0.25">
      <c r="C24" s="57" t="s">
        <v>328</v>
      </c>
      <c r="D24" s="57" t="s">
        <v>256</v>
      </c>
      <c r="E24" s="41" t="s">
        <v>42</v>
      </c>
      <c r="F24" s="41" t="s">
        <v>207</v>
      </c>
      <c r="G24" s="41" t="s">
        <v>311</v>
      </c>
      <c r="H24" s="41" t="s">
        <v>290</v>
      </c>
      <c r="I24" s="41" t="s">
        <v>295</v>
      </c>
      <c r="J24" s="41" t="s">
        <v>904</v>
      </c>
      <c r="K24" s="41" t="s">
        <v>292</v>
      </c>
      <c r="L24" s="41" t="s">
        <v>904</v>
      </c>
      <c r="M24" s="60">
        <v>20000</v>
      </c>
      <c r="N24" s="41" t="s">
        <v>101</v>
      </c>
      <c r="O24" s="60">
        <v>-30</v>
      </c>
      <c r="P24" s="41" t="s">
        <v>101</v>
      </c>
      <c r="Q24" s="69"/>
      <c r="R24" s="69"/>
      <c r="S24" s="69">
        <v>47025</v>
      </c>
      <c r="T24" s="69"/>
      <c r="U24" s="70"/>
      <c r="V24" s="70"/>
      <c r="W24" s="71"/>
      <c r="X24" s="43"/>
      <c r="Y24" s="43"/>
      <c r="Z24" s="41" t="s">
        <v>904</v>
      </c>
      <c r="AA24" s="41" t="s">
        <v>904</v>
      </c>
      <c r="AB24" s="41"/>
      <c r="AC24" s="69"/>
      <c r="AD24" s="44" t="s">
        <v>314</v>
      </c>
    </row>
    <row r="25" spans="3:28" ht="20.100000000000001" customHeight="1" x14ac:dyDescent="0.25">
      <c r="C25" s="57" t="s">
        <v>329</v>
      </c>
      <c r="D25" s="57" t="s">
        <v>256</v>
      </c>
      <c r="E25" s="41" t="s">
        <v>42</v>
      </c>
      <c r="F25" s="41" t="s">
        <v>209</v>
      </c>
      <c r="G25" s="41" t="s">
        <v>316</v>
      </c>
      <c r="H25" s="41" t="s">
        <v>290</v>
      </c>
      <c r="I25" s="41" t="s">
        <v>291</v>
      </c>
      <c r="J25" s="41" t="s">
        <v>904</v>
      </c>
      <c r="K25" s="41" t="s">
        <v>292</v>
      </c>
      <c r="L25" s="41" t="s">
        <v>904</v>
      </c>
      <c r="M25" s="60">
        <v>10000</v>
      </c>
      <c r="N25" s="41" t="s">
        <v>101</v>
      </c>
      <c r="O25" s="60">
        <v>100</v>
      </c>
      <c r="P25" s="41" t="s">
        <v>101</v>
      </c>
      <c r="Q25" s="69"/>
      <c r="R25" s="69"/>
      <c r="S25" s="69">
        <v>48120</v>
      </c>
      <c r="T25" s="69"/>
      <c r="U25" s="70"/>
      <c r="V25" s="70"/>
      <c r="W25" s="71"/>
      <c r="X25" s="43"/>
      <c r="Y25" s="43"/>
      <c r="Z25" s="41" t="s">
        <v>904</v>
      </c>
      <c r="AA25" s="41" t="s">
        <v>904</v>
      </c>
      <c r="AB25" s="41"/>
      <c r="AC25" s="69"/>
      <c r="AD25" s="44" t="s">
        <v>317</v>
      </c>
    </row>
    <row r="26" spans="3:28" ht="20.100000000000001" customHeight="1" x14ac:dyDescent="0.25">
      <c r="C26" s="57" t="s">
        <v>330</v>
      </c>
      <c r="D26" s="57" t="s">
        <v>259</v>
      </c>
      <c r="E26" s="41" t="s">
        <v>37</v>
      </c>
      <c r="F26" s="41" t="s">
        <v>904</v>
      </c>
      <c r="G26" s="41" t="s">
        <v>223</v>
      </c>
      <c r="H26" s="41" t="s">
        <v>290</v>
      </c>
      <c r="I26" s="41" t="s">
        <v>291</v>
      </c>
      <c r="J26" s="41" t="s">
        <v>904</v>
      </c>
      <c r="K26" s="41" t="s">
        <v>292</v>
      </c>
      <c r="L26" s="41" t="s">
        <v>904</v>
      </c>
      <c r="M26" s="60">
        <v>10000</v>
      </c>
      <c r="N26" s="41" t="s">
        <v>101</v>
      </c>
      <c r="O26" s="60">
        <v>30</v>
      </c>
      <c r="P26" s="41" t="s">
        <v>101</v>
      </c>
      <c r="Q26" s="69"/>
      <c r="R26" s="69">
        <v>49945</v>
      </c>
      <c r="S26" s="69">
        <v>49945</v>
      </c>
      <c r="T26" s="69"/>
      <c r="U26" s="70"/>
      <c r="V26" s="70"/>
      <c r="W26" s="71"/>
      <c r="X26" s="43"/>
      <c r="Y26" s="43"/>
      <c r="Z26" s="41" t="s">
        <v>904</v>
      </c>
      <c r="AA26" s="41" t="s">
        <v>904</v>
      </c>
      <c r="AB26" s="41"/>
      <c r="AC26" s="69"/>
      <c r="AD26" s="44" t="s">
        <v>293</v>
      </c>
    </row>
    <row r="27" spans="3:28" ht="20.100000000000001" customHeight="1" x14ac:dyDescent="0.25">
      <c r="C27" s="57" t="s">
        <v>331</v>
      </c>
      <c r="D27" s="57" t="s">
        <v>259</v>
      </c>
      <c r="E27" s="41" t="s">
        <v>37</v>
      </c>
      <c r="F27" s="41" t="s">
        <v>904</v>
      </c>
      <c r="G27" s="41" t="s">
        <v>223</v>
      </c>
      <c r="H27" s="41" t="s">
        <v>290</v>
      </c>
      <c r="I27" s="41" t="s">
        <v>295</v>
      </c>
      <c r="J27" s="41" t="s">
        <v>904</v>
      </c>
      <c r="K27" s="41" t="s">
        <v>292</v>
      </c>
      <c r="L27" s="41" t="s">
        <v>904</v>
      </c>
      <c r="M27" s="60">
        <v>10000</v>
      </c>
      <c r="N27" s="41" t="s">
        <v>101</v>
      </c>
      <c r="O27" s="60">
        <v>-20</v>
      </c>
      <c r="P27" s="41" t="s">
        <v>101</v>
      </c>
      <c r="Q27" s="69"/>
      <c r="R27" s="69">
        <v>47755</v>
      </c>
      <c r="S27" s="69">
        <v>47755</v>
      </c>
      <c r="T27" s="69"/>
      <c r="U27" s="70"/>
      <c r="V27" s="70"/>
      <c r="W27" s="71"/>
      <c r="X27" s="43"/>
      <c r="Y27" s="43"/>
      <c r="Z27" s="41" t="s">
        <v>904</v>
      </c>
      <c r="AA27" s="41" t="s">
        <v>904</v>
      </c>
      <c r="AB27" s="41"/>
      <c r="AC27" s="69"/>
      <c r="AD27" s="44" t="s">
        <v>296</v>
      </c>
    </row>
    <row r="28" spans="3:28" ht="20.100000000000001" customHeight="1" x14ac:dyDescent="0.25">
      <c r="C28" s="57" t="s">
        <v>332</v>
      </c>
      <c r="D28" s="57" t="s">
        <v>259</v>
      </c>
      <c r="E28" s="41" t="s">
        <v>37</v>
      </c>
      <c r="F28" s="41" t="s">
        <v>904</v>
      </c>
      <c r="G28" s="41" t="s">
        <v>101</v>
      </c>
      <c r="H28" s="41" t="s">
        <v>298</v>
      </c>
      <c r="I28" s="41" t="s">
        <v>291</v>
      </c>
      <c r="J28" s="41" t="s">
        <v>299</v>
      </c>
      <c r="K28" s="41" t="s">
        <v>292</v>
      </c>
      <c r="L28" s="41" t="s">
        <v>904</v>
      </c>
      <c r="M28" s="60">
        <v>5000</v>
      </c>
      <c r="N28" s="41" t="s">
        <v>101</v>
      </c>
      <c r="O28" s="60">
        <v>50</v>
      </c>
      <c r="P28" s="41" t="s">
        <v>101</v>
      </c>
      <c r="Q28" s="69">
        <v>46660</v>
      </c>
      <c r="R28" s="69">
        <v>50310</v>
      </c>
      <c r="S28" s="69">
        <v>50310</v>
      </c>
      <c r="T28" s="69">
        <v>46660</v>
      </c>
      <c r="U28" s="70">
        <v>0.06</v>
      </c>
      <c r="V28" s="70">
        <v>0.05</v>
      </c>
      <c r="W28" s="71"/>
      <c r="X28" s="43"/>
      <c r="Y28" s="43"/>
      <c r="Z28" s="41" t="s">
        <v>904</v>
      </c>
      <c r="AA28" s="41" t="s">
        <v>904</v>
      </c>
      <c r="AB28" s="41"/>
      <c r="AC28" s="69"/>
      <c r="AD28" s="44" t="s">
        <v>300</v>
      </c>
    </row>
    <row r="29" spans="3:28" ht="20.100000000000001" customHeight="1" x14ac:dyDescent="0.25">
      <c r="C29" s="57" t="s">
        <v>333</v>
      </c>
      <c r="D29" s="57" t="s">
        <v>259</v>
      </c>
      <c r="E29" s="41" t="s">
        <v>42</v>
      </c>
      <c r="F29" s="41" t="s">
        <v>207</v>
      </c>
      <c r="G29" s="41" t="s">
        <v>311</v>
      </c>
      <c r="H29" s="41" t="s">
        <v>290</v>
      </c>
      <c r="I29" s="41" t="s">
        <v>291</v>
      </c>
      <c r="J29" s="41" t="s">
        <v>904</v>
      </c>
      <c r="K29" s="41" t="s">
        <v>292</v>
      </c>
      <c r="L29" s="41" t="s">
        <v>904</v>
      </c>
      <c r="M29" s="60">
        <v>10000</v>
      </c>
      <c r="N29" s="41" t="s">
        <v>101</v>
      </c>
      <c r="O29" s="60">
        <v>-50</v>
      </c>
      <c r="P29" s="41" t="s">
        <v>101</v>
      </c>
      <c r="Q29" s="69"/>
      <c r="R29" s="69"/>
      <c r="S29" s="69">
        <v>46569</v>
      </c>
      <c r="T29" s="69"/>
      <c r="U29" s="70"/>
      <c r="V29" s="70"/>
      <c r="W29" s="71"/>
      <c r="X29" s="43"/>
      <c r="Y29" s="43"/>
      <c r="Z29" s="41" t="s">
        <v>904</v>
      </c>
      <c r="AA29" s="41" t="s">
        <v>904</v>
      </c>
      <c r="AB29" s="41"/>
      <c r="AC29" s="69"/>
      <c r="AD29" s="44" t="s">
        <v>312</v>
      </c>
    </row>
    <row r="30" spans="3:28" ht="20.100000000000001" customHeight="1" x14ac:dyDescent="0.25">
      <c r="C30" s="57" t="s">
        <v>334</v>
      </c>
      <c r="D30" s="57" t="s">
        <v>259</v>
      </c>
      <c r="E30" s="41" t="s">
        <v>42</v>
      </c>
      <c r="F30" s="41" t="s">
        <v>207</v>
      </c>
      <c r="G30" s="41" t="s">
        <v>311</v>
      </c>
      <c r="H30" s="41" t="s">
        <v>290</v>
      </c>
      <c r="I30" s="41" t="s">
        <v>295</v>
      </c>
      <c r="J30" s="41" t="s">
        <v>904</v>
      </c>
      <c r="K30" s="41" t="s">
        <v>292</v>
      </c>
      <c r="L30" s="41" t="s">
        <v>904</v>
      </c>
      <c r="M30" s="60">
        <v>20000</v>
      </c>
      <c r="N30" s="41" t="s">
        <v>101</v>
      </c>
      <c r="O30" s="60">
        <v>-30</v>
      </c>
      <c r="P30" s="41" t="s">
        <v>101</v>
      </c>
      <c r="Q30" s="69"/>
      <c r="R30" s="69"/>
      <c r="S30" s="69">
        <v>47025</v>
      </c>
      <c r="T30" s="69"/>
      <c r="U30" s="70"/>
      <c r="V30" s="70"/>
      <c r="W30" s="71"/>
      <c r="X30" s="43"/>
      <c r="Y30" s="43"/>
      <c r="Z30" s="41" t="s">
        <v>904</v>
      </c>
      <c r="AA30" s="41" t="s">
        <v>904</v>
      </c>
      <c r="AB30" s="41"/>
      <c r="AC30" s="69"/>
      <c r="AD30" s="44" t="s">
        <v>314</v>
      </c>
    </row>
    <row r="31" spans="3:28" ht="20.100000000000001" customHeight="1" x14ac:dyDescent="0.25">
      <c r="C31" s="57" t="s">
        <v>335</v>
      </c>
      <c r="D31" s="57" t="s">
        <v>259</v>
      </c>
      <c r="E31" s="41" t="s">
        <v>42</v>
      </c>
      <c r="F31" s="41" t="s">
        <v>209</v>
      </c>
      <c r="G31" s="41" t="s">
        <v>316</v>
      </c>
      <c r="H31" s="41" t="s">
        <v>290</v>
      </c>
      <c r="I31" s="41" t="s">
        <v>291</v>
      </c>
      <c r="J31" s="41" t="s">
        <v>904</v>
      </c>
      <c r="K31" s="41" t="s">
        <v>292</v>
      </c>
      <c r="L31" s="41" t="s">
        <v>904</v>
      </c>
      <c r="M31" s="60">
        <v>10000</v>
      </c>
      <c r="N31" s="41" t="s">
        <v>101</v>
      </c>
      <c r="O31" s="60">
        <v>100</v>
      </c>
      <c r="P31" s="41" t="s">
        <v>101</v>
      </c>
      <c r="Q31" s="69"/>
      <c r="R31" s="69"/>
      <c r="S31" s="69">
        <v>48120</v>
      </c>
      <c r="T31" s="69"/>
      <c r="U31" s="70"/>
      <c r="V31" s="70"/>
      <c r="W31" s="71"/>
      <c r="X31" s="43"/>
      <c r="Y31" s="43"/>
      <c r="Z31" s="41" t="s">
        <v>904</v>
      </c>
      <c r="AA31" s="41" t="s">
        <v>904</v>
      </c>
      <c r="AB31" s="41"/>
      <c r="AC31" s="69"/>
      <c r="AD31" s="44" t="s">
        <v>317</v>
      </c>
    </row>
    <row r="32" spans="3:28" ht="20.100000000000001" customHeight="1" x14ac:dyDescent="0.25">
      <c r="C32" s="57" t="s">
        <v>336</v>
      </c>
      <c r="D32" s="57" t="s">
        <v>265</v>
      </c>
      <c r="E32" s="41" t="s">
        <v>37</v>
      </c>
      <c r="F32" s="41" t="s">
        <v>904</v>
      </c>
      <c r="G32" s="41" t="s">
        <v>223</v>
      </c>
      <c r="H32" s="41" t="s">
        <v>290</v>
      </c>
      <c r="I32" s="41" t="s">
        <v>291</v>
      </c>
      <c r="J32" s="41" t="s">
        <v>904</v>
      </c>
      <c r="K32" s="41" t="s">
        <v>292</v>
      </c>
      <c r="L32" s="41" t="s">
        <v>904</v>
      </c>
      <c r="M32" s="60">
        <v>10000</v>
      </c>
      <c r="N32" s="41" t="s">
        <v>101</v>
      </c>
      <c r="O32" s="60">
        <v>30</v>
      </c>
      <c r="P32" s="41" t="s">
        <v>101</v>
      </c>
      <c r="Q32" s="69"/>
      <c r="R32" s="69">
        <v>49945</v>
      </c>
      <c r="S32" s="69">
        <v>49945</v>
      </c>
      <c r="T32" s="69"/>
      <c r="U32" s="70"/>
      <c r="V32" s="70"/>
      <c r="W32" s="71"/>
      <c r="X32" s="43"/>
      <c r="Y32" s="43"/>
      <c r="Z32" s="41" t="s">
        <v>904</v>
      </c>
      <c r="AA32" s="41" t="s">
        <v>904</v>
      </c>
      <c r="AB32" s="41"/>
      <c r="AC32" s="69"/>
      <c r="AD32" s="44" t="s">
        <v>293</v>
      </c>
    </row>
    <row r="33" spans="3:28" ht="20.100000000000001" customHeight="1" x14ac:dyDescent="0.25">
      <c r="C33" s="57" t="s">
        <v>337</v>
      </c>
      <c r="D33" s="57" t="s">
        <v>265</v>
      </c>
      <c r="E33" s="41" t="s">
        <v>37</v>
      </c>
      <c r="F33" s="41" t="s">
        <v>904</v>
      </c>
      <c r="G33" s="41" t="s">
        <v>223</v>
      </c>
      <c r="H33" s="41" t="s">
        <v>290</v>
      </c>
      <c r="I33" s="41" t="s">
        <v>295</v>
      </c>
      <c r="J33" s="41" t="s">
        <v>904</v>
      </c>
      <c r="K33" s="41" t="s">
        <v>292</v>
      </c>
      <c r="L33" s="41" t="s">
        <v>904</v>
      </c>
      <c r="M33" s="60">
        <v>10000</v>
      </c>
      <c r="N33" s="41" t="s">
        <v>101</v>
      </c>
      <c r="O33" s="60">
        <v>-20</v>
      </c>
      <c r="P33" s="41" t="s">
        <v>101</v>
      </c>
      <c r="Q33" s="69"/>
      <c r="R33" s="69">
        <v>47755</v>
      </c>
      <c r="S33" s="69">
        <v>47755</v>
      </c>
      <c r="T33" s="69"/>
      <c r="U33" s="70"/>
      <c r="V33" s="70"/>
      <c r="W33" s="71"/>
      <c r="X33" s="43"/>
      <c r="Y33" s="43"/>
      <c r="Z33" s="41" t="s">
        <v>904</v>
      </c>
      <c r="AA33" s="41" t="s">
        <v>904</v>
      </c>
      <c r="AB33" s="41"/>
      <c r="AC33" s="69"/>
      <c r="AD33" s="44" t="s">
        <v>296</v>
      </c>
    </row>
    <row r="34" spans="3:28" ht="20.100000000000001" customHeight="1" x14ac:dyDescent="0.25">
      <c r="C34" s="57" t="s">
        <v>338</v>
      </c>
      <c r="D34" s="57" t="s">
        <v>265</v>
      </c>
      <c r="E34" s="41" t="s">
        <v>37</v>
      </c>
      <c r="F34" s="41" t="s">
        <v>904</v>
      </c>
      <c r="G34" s="41" t="s">
        <v>101</v>
      </c>
      <c r="H34" s="41" t="s">
        <v>298</v>
      </c>
      <c r="I34" s="41" t="s">
        <v>291</v>
      </c>
      <c r="J34" s="41" t="s">
        <v>299</v>
      </c>
      <c r="K34" s="41" t="s">
        <v>292</v>
      </c>
      <c r="L34" s="41" t="s">
        <v>904</v>
      </c>
      <c r="M34" s="60">
        <v>5000</v>
      </c>
      <c r="N34" s="41" t="s">
        <v>101</v>
      </c>
      <c r="O34" s="60">
        <v>50</v>
      </c>
      <c r="P34" s="41" t="s">
        <v>101</v>
      </c>
      <c r="Q34" s="69">
        <v>46660</v>
      </c>
      <c r="R34" s="69">
        <v>50310</v>
      </c>
      <c r="S34" s="69">
        <v>50310</v>
      </c>
      <c r="T34" s="69">
        <v>46660</v>
      </c>
      <c r="U34" s="70">
        <v>0.01</v>
      </c>
      <c r="V34" s="70">
        <v>0.05</v>
      </c>
      <c r="W34" s="71"/>
      <c r="X34" s="43"/>
      <c r="Y34" s="43"/>
      <c r="Z34" s="41" t="s">
        <v>904</v>
      </c>
      <c r="AA34" s="41" t="s">
        <v>904</v>
      </c>
      <c r="AB34" s="41"/>
      <c r="AC34" s="69"/>
      <c r="AD34" s="44" t="s">
        <v>339</v>
      </c>
    </row>
    <row r="35" spans="3:28" ht="20.100000000000001" customHeight="1" x14ac:dyDescent="0.25">
      <c r="C35" s="57" t="s">
        <v>340</v>
      </c>
      <c r="D35" s="57" t="s">
        <v>261</v>
      </c>
      <c r="E35" s="41" t="s">
        <v>37</v>
      </c>
      <c r="F35" s="41" t="s">
        <v>904</v>
      </c>
      <c r="G35" s="41" t="s">
        <v>101</v>
      </c>
      <c r="H35" s="41" t="s">
        <v>290</v>
      </c>
      <c r="I35" s="41" t="s">
        <v>295</v>
      </c>
      <c r="J35" s="41" t="s">
        <v>904</v>
      </c>
      <c r="K35" s="41" t="s">
        <v>292</v>
      </c>
      <c r="L35" s="41" t="s">
        <v>904</v>
      </c>
      <c r="M35" s="60">
        <v>5845000000</v>
      </c>
      <c r="N35" s="41" t="s">
        <v>101</v>
      </c>
      <c r="O35" s="60">
        <v>-1100000000</v>
      </c>
      <c r="P35" s="41" t="s">
        <v>101</v>
      </c>
      <c r="Q35" s="69"/>
      <c r="R35" s="69">
        <v>49945</v>
      </c>
      <c r="S35" s="69">
        <v>49945</v>
      </c>
      <c r="T35" s="69"/>
      <c r="U35" s="70"/>
      <c r="V35" s="70"/>
      <c r="W35" s="71"/>
      <c r="X35" s="43"/>
      <c r="Y35" s="43"/>
      <c r="Z35" s="41" t="s">
        <v>904</v>
      </c>
      <c r="AA35" s="41" t="s">
        <v>904</v>
      </c>
      <c r="AB35" s="41"/>
      <c r="AC35" s="69"/>
      <c r="AD35" s="44" t="s">
        <v>341</v>
      </c>
    </row>
    <row r="36" spans="3:28" ht="20.100000000000001" customHeight="1" x14ac:dyDescent="0.25">
      <c r="C36" s="57" t="s">
        <v>342</v>
      </c>
      <c r="D36" s="57" t="s">
        <v>263</v>
      </c>
      <c r="E36" s="41" t="s">
        <v>37</v>
      </c>
      <c r="F36" s="41" t="s">
        <v>904</v>
      </c>
      <c r="G36" s="41" t="s">
        <v>101</v>
      </c>
      <c r="H36" s="41" t="s">
        <v>290</v>
      </c>
      <c r="I36" s="41" t="s">
        <v>295</v>
      </c>
      <c r="J36" s="41" t="s">
        <v>904</v>
      </c>
      <c r="K36" s="41" t="s">
        <v>292</v>
      </c>
      <c r="L36" s="41" t="s">
        <v>904</v>
      </c>
      <c r="M36" s="60">
        <v>5845000000</v>
      </c>
      <c r="N36" s="41" t="s">
        <v>101</v>
      </c>
      <c r="O36" s="60">
        <v>-1100000000</v>
      </c>
      <c r="P36" s="41" t="s">
        <v>101</v>
      </c>
      <c r="Q36" s="69"/>
      <c r="R36" s="69">
        <v>49945</v>
      </c>
      <c r="S36" s="69">
        <v>49945</v>
      </c>
      <c r="T36" s="69"/>
      <c r="U36" s="70"/>
      <c r="V36" s="70"/>
      <c r="W36" s="71"/>
      <c r="X36" s="43"/>
      <c r="Y36" s="43"/>
      <c r="Z36" s="41" t="s">
        <v>904</v>
      </c>
      <c r="AA36" s="41" t="s">
        <v>904</v>
      </c>
      <c r="AB36" s="41"/>
      <c r="AC36" s="69"/>
      <c r="AD36" s="44" t="s">
        <v>341</v>
      </c>
    </row>
    <row r="37" spans="3:28" ht="20.100000000000001" customHeight="1" x14ac:dyDescent="0.25">
      <c r="C37" s="57" t="s">
        <v>343</v>
      </c>
      <c r="D37" s="57" t="s">
        <v>267</v>
      </c>
      <c r="E37" s="41" t="s">
        <v>37</v>
      </c>
      <c r="F37" s="41" t="s">
        <v>904</v>
      </c>
      <c r="G37" s="41" t="s">
        <v>101</v>
      </c>
      <c r="H37" s="41" t="s">
        <v>298</v>
      </c>
      <c r="I37" s="41" t="s">
        <v>291</v>
      </c>
      <c r="J37" s="41" t="s">
        <v>299</v>
      </c>
      <c r="K37" s="41" t="s">
        <v>292</v>
      </c>
      <c r="L37" s="41" t="s">
        <v>904</v>
      </c>
      <c r="M37" s="60">
        <v>10000</v>
      </c>
      <c r="N37" s="41" t="s">
        <v>101</v>
      </c>
      <c r="O37" s="60">
        <v>15</v>
      </c>
      <c r="P37" s="41" t="s">
        <v>101</v>
      </c>
      <c r="Q37" s="69">
        <v>46660</v>
      </c>
      <c r="R37" s="69">
        <v>48485</v>
      </c>
      <c r="S37" s="69">
        <v>48485</v>
      </c>
      <c r="T37" s="69">
        <v>46660</v>
      </c>
      <c r="U37" s="70">
        <v>-2E-3</v>
      </c>
      <c r="V37" s="70">
        <v>1E-3</v>
      </c>
      <c r="W37" s="71"/>
      <c r="X37" s="43"/>
      <c r="Y37" s="43"/>
      <c r="Z37" s="41" t="s">
        <v>904</v>
      </c>
      <c r="AA37" s="41" t="s">
        <v>904</v>
      </c>
      <c r="AB37" s="41"/>
      <c r="AC37" s="69"/>
      <c r="AD37" s="44" t="s">
        <v>344</v>
      </c>
    </row>
    <row r="38" spans="3:28" ht="20.100000000000001" customHeight="1" x14ac:dyDescent="0.25">
      <c r="C38" s="57" t="s">
        <v>345</v>
      </c>
      <c r="D38" s="57" t="s">
        <v>269</v>
      </c>
      <c r="E38" s="41" t="s">
        <v>37</v>
      </c>
      <c r="F38" s="41" t="s">
        <v>904</v>
      </c>
      <c r="G38" s="41" t="s">
        <v>101</v>
      </c>
      <c r="H38" s="41" t="s">
        <v>298</v>
      </c>
      <c r="I38" s="41" t="s">
        <v>291</v>
      </c>
      <c r="J38" s="41" t="s">
        <v>299</v>
      </c>
      <c r="K38" s="41" t="s">
        <v>292</v>
      </c>
      <c r="L38" s="41" t="s">
        <v>904</v>
      </c>
      <c r="M38" s="60">
        <v>10000</v>
      </c>
      <c r="N38" s="41" t="s">
        <v>101</v>
      </c>
      <c r="O38" s="60">
        <v>15</v>
      </c>
      <c r="P38" s="41" t="s">
        <v>101</v>
      </c>
      <c r="Q38" s="69">
        <v>46660</v>
      </c>
      <c r="R38" s="69">
        <v>48485</v>
      </c>
      <c r="S38" s="69">
        <v>48485</v>
      </c>
      <c r="T38" s="69">
        <v>46660</v>
      </c>
      <c r="U38" s="70">
        <v>-2E-3</v>
      </c>
      <c r="V38" s="70">
        <v>1E-3</v>
      </c>
      <c r="W38" s="71"/>
      <c r="X38" s="43"/>
      <c r="Y38" s="43"/>
      <c r="Z38" s="41" t="s">
        <v>904</v>
      </c>
      <c r="AA38" s="41" t="s">
        <v>904</v>
      </c>
      <c r="AB38" s="41"/>
      <c r="AC38" s="69"/>
      <c r="AD38" s="44" t="s">
        <v>344</v>
      </c>
    </row>
    <row r="39" spans="3:28" ht="20.100000000000001" customHeight="1" x14ac:dyDescent="0.25">
      <c r="C39" s="57" t="s">
        <v>346</v>
      </c>
      <c r="D39" s="57" t="s">
        <v>271</v>
      </c>
      <c r="E39" s="41" t="s">
        <v>42</v>
      </c>
      <c r="F39" s="41" t="s">
        <v>207</v>
      </c>
      <c r="G39" s="41" t="s">
        <v>347</v>
      </c>
      <c r="H39" s="41" t="s">
        <v>298</v>
      </c>
      <c r="I39" s="41" t="s">
        <v>291</v>
      </c>
      <c r="J39" s="41" t="s">
        <v>348</v>
      </c>
      <c r="K39" s="41" t="s">
        <v>292</v>
      </c>
      <c r="L39" s="41" t="s">
        <v>904</v>
      </c>
      <c r="M39" s="60">
        <v>10000</v>
      </c>
      <c r="N39" s="41" t="s">
        <v>101</v>
      </c>
      <c r="O39" s="60">
        <v>40</v>
      </c>
      <c r="P39" s="41" t="s">
        <v>101</v>
      </c>
      <c r="Q39" s="69"/>
      <c r="R39" s="69"/>
      <c r="S39" s="69">
        <v>46477</v>
      </c>
      <c r="T39" s="69">
        <v>46477</v>
      </c>
      <c r="U39" s="70">
        <v>-5</v>
      </c>
      <c r="V39" s="70">
        <v>-4</v>
      </c>
      <c r="W39" s="71"/>
      <c r="X39" s="43"/>
      <c r="Y39" s="43"/>
      <c r="Z39" s="41" t="s">
        <v>904</v>
      </c>
      <c r="AA39" s="41" t="s">
        <v>904</v>
      </c>
      <c r="AB39" s="41"/>
      <c r="AC39" s="69"/>
      <c r="AD39" s="44" t="s">
        <v>349</v>
      </c>
    </row>
    <row r="40" spans="3:28" ht="20.100000000000001" customHeight="1" x14ac:dyDescent="0.25">
      <c r="C40" s="57" t="s">
        <v>350</v>
      </c>
      <c r="D40" s="57" t="s">
        <v>273</v>
      </c>
      <c r="E40" s="41" t="s">
        <v>216</v>
      </c>
      <c r="F40" s="41" t="s">
        <v>904</v>
      </c>
      <c r="G40" s="41" t="s">
        <v>351</v>
      </c>
      <c r="H40" s="41" t="s">
        <v>290</v>
      </c>
      <c r="I40" s="41" t="s">
        <v>291</v>
      </c>
      <c r="J40" s="41" t="s">
        <v>904</v>
      </c>
      <c r="K40" s="41" t="s">
        <v>292</v>
      </c>
      <c r="L40" s="41" t="s">
        <v>904</v>
      </c>
      <c r="M40" s="60">
        <v>10000</v>
      </c>
      <c r="N40" s="41" t="s">
        <v>101</v>
      </c>
      <c r="O40" s="60">
        <v>0</v>
      </c>
      <c r="P40" s="41" t="s">
        <v>101</v>
      </c>
      <c r="Q40" s="69"/>
      <c r="R40" s="69"/>
      <c r="S40" s="69">
        <v>47025</v>
      </c>
      <c r="T40" s="69"/>
      <c r="U40" s="70"/>
      <c r="V40" s="70"/>
      <c r="W40" s="71"/>
      <c r="X40" s="43"/>
      <c r="Y40" s="43"/>
      <c r="Z40" s="41" t="s">
        <v>904</v>
      </c>
      <c r="AA40" s="41" t="s">
        <v>904</v>
      </c>
      <c r="AB40" s="41"/>
      <c r="AC40" s="69"/>
      <c r="AD40" s="44" t="s">
        <v>352</v>
      </c>
    </row>
    <row r="41" spans="3:28" ht="20.100000000000001" customHeight="1" x14ac:dyDescent="0.25">
      <c r="C41" s="57" t="s">
        <v>353</v>
      </c>
      <c r="D41" s="57" t="s">
        <v>273</v>
      </c>
      <c r="E41" s="41" t="s">
        <v>216</v>
      </c>
      <c r="F41" s="41" t="s">
        <v>904</v>
      </c>
      <c r="G41" s="41" t="s">
        <v>351</v>
      </c>
      <c r="H41" s="41" t="s">
        <v>290</v>
      </c>
      <c r="I41" s="41" t="s">
        <v>295</v>
      </c>
      <c r="J41" s="41" t="s">
        <v>904</v>
      </c>
      <c r="K41" s="41" t="s">
        <v>292</v>
      </c>
      <c r="L41" s="41" t="s">
        <v>904</v>
      </c>
      <c r="M41" s="60">
        <v>4000</v>
      </c>
      <c r="N41" s="41" t="s">
        <v>101</v>
      </c>
      <c r="O41" s="60">
        <v>0</v>
      </c>
      <c r="P41" s="41" t="s">
        <v>101</v>
      </c>
      <c r="Q41" s="69"/>
      <c r="R41" s="69"/>
      <c r="S41" s="69">
        <v>47390</v>
      </c>
      <c r="T41" s="69"/>
      <c r="U41" s="70"/>
      <c r="V41" s="70"/>
      <c r="W41" s="71"/>
      <c r="X41" s="43"/>
      <c r="Y41" s="43"/>
      <c r="Z41" s="41" t="s">
        <v>904</v>
      </c>
      <c r="AA41" s="41" t="s">
        <v>904</v>
      </c>
      <c r="AB41" s="41"/>
      <c r="AC41" s="69"/>
      <c r="AD41" s="44" t="s">
        <v>354</v>
      </c>
    </row>
    <row r="42" spans="3:28" ht="20.100000000000001" customHeight="1" x14ac:dyDescent="0.25">
      <c r="C42" s="57" t="s">
        <v>355</v>
      </c>
      <c r="D42" s="57" t="s">
        <v>273</v>
      </c>
      <c r="E42" s="41" t="s">
        <v>216</v>
      </c>
      <c r="F42" s="41" t="s">
        <v>904</v>
      </c>
      <c r="G42" s="41" t="s">
        <v>356</v>
      </c>
      <c r="H42" s="41" t="s">
        <v>290</v>
      </c>
      <c r="I42" s="41" t="s">
        <v>291</v>
      </c>
      <c r="J42" s="41" t="s">
        <v>904</v>
      </c>
      <c r="K42" s="41" t="s">
        <v>292</v>
      </c>
      <c r="L42" s="41" t="s">
        <v>904</v>
      </c>
      <c r="M42" s="60">
        <v>5000</v>
      </c>
      <c r="N42" s="41" t="s">
        <v>101</v>
      </c>
      <c r="O42" s="60">
        <v>0</v>
      </c>
      <c r="P42" s="41" t="s">
        <v>101</v>
      </c>
      <c r="Q42" s="69"/>
      <c r="R42" s="69"/>
      <c r="S42" s="69">
        <v>46843</v>
      </c>
      <c r="T42" s="69"/>
      <c r="U42" s="70"/>
      <c r="V42" s="70"/>
      <c r="W42" s="71"/>
      <c r="X42" s="43"/>
      <c r="Y42" s="43"/>
      <c r="Z42" s="41" t="s">
        <v>904</v>
      </c>
      <c r="AA42" s="41" t="s">
        <v>904</v>
      </c>
      <c r="AB42" s="41"/>
      <c r="AC42" s="69"/>
      <c r="AD42" s="44" t="s">
        <v>357</v>
      </c>
    </row>
    <row r="43" spans="3:28" ht="20.100000000000001" customHeight="1" x14ac:dyDescent="0.25">
      <c r="C43" s="57" t="s">
        <v>358</v>
      </c>
      <c r="D43" s="57" t="s">
        <v>801</v>
      </c>
      <c r="E43" s="41" t="s">
        <v>216</v>
      </c>
      <c r="F43" s="41" t="s">
        <v>904</v>
      </c>
      <c r="G43" s="41" t="s">
        <v>351</v>
      </c>
      <c r="H43" s="41" t="s">
        <v>290</v>
      </c>
      <c r="I43" s="41" t="s">
        <v>291</v>
      </c>
      <c r="J43" s="41" t="s">
        <v>904</v>
      </c>
      <c r="K43" s="41" t="s">
        <v>292</v>
      </c>
      <c r="L43" s="41" t="s">
        <v>904</v>
      </c>
      <c r="M43" s="60">
        <v>10000</v>
      </c>
      <c r="N43" s="41" t="s">
        <v>101</v>
      </c>
      <c r="O43" s="60">
        <v>0</v>
      </c>
      <c r="P43" s="41" t="s">
        <v>101</v>
      </c>
      <c r="Q43" s="69"/>
      <c r="R43" s="69"/>
      <c r="S43" s="69">
        <v>47025</v>
      </c>
      <c r="T43" s="69"/>
      <c r="U43" s="70"/>
      <c r="V43" s="70"/>
      <c r="W43" s="71"/>
      <c r="X43" s="43"/>
      <c r="Y43" s="43"/>
      <c r="Z43" s="41" t="s">
        <v>904</v>
      </c>
      <c r="AA43" s="41" t="s">
        <v>904</v>
      </c>
      <c r="AB43" s="41"/>
      <c r="AC43" s="69"/>
      <c r="AD43" s="44" t="s">
        <v>359</v>
      </c>
    </row>
    <row r="44" spans="3:28" ht="20.100000000000001" customHeight="1" x14ac:dyDescent="0.25">
      <c r="C44" s="57" t="s">
        <v>360</v>
      </c>
      <c r="D44" s="57" t="s">
        <v>275</v>
      </c>
      <c r="E44" s="41" t="s">
        <v>42</v>
      </c>
      <c r="F44" s="41" t="s">
        <v>215</v>
      </c>
      <c r="G44" s="41" t="s">
        <v>361</v>
      </c>
      <c r="H44" s="41" t="s">
        <v>290</v>
      </c>
      <c r="I44" s="41" t="s">
        <v>291</v>
      </c>
      <c r="J44" s="41" t="s">
        <v>904</v>
      </c>
      <c r="K44" s="41" t="s">
        <v>292</v>
      </c>
      <c r="L44" s="41" t="s">
        <v>904</v>
      </c>
      <c r="M44" s="60">
        <v>1000</v>
      </c>
      <c r="N44" s="41" t="s">
        <v>101</v>
      </c>
      <c r="O44" s="60">
        <v>5</v>
      </c>
      <c r="P44" s="41" t="s">
        <v>101</v>
      </c>
      <c r="Q44" s="69"/>
      <c r="R44" s="69"/>
      <c r="S44" s="69">
        <v>46477</v>
      </c>
      <c r="T44" s="69"/>
      <c r="U44" s="70"/>
      <c r="V44" s="70"/>
      <c r="W44" s="71"/>
      <c r="X44" s="43"/>
      <c r="Y44" s="43"/>
      <c r="Z44" s="41" t="s">
        <v>904</v>
      </c>
      <c r="AA44" s="41" t="s">
        <v>904</v>
      </c>
      <c r="AB44" s="41"/>
      <c r="AC44" s="69"/>
      <c r="AD44" s="44" t="s">
        <v>362</v>
      </c>
    </row>
    <row r="45" spans="3:28" ht="20.100000000000001" customHeight="1" x14ac:dyDescent="0.25">
      <c r="C45" s="57" t="s">
        <v>363</v>
      </c>
      <c r="D45" s="57" t="s">
        <v>277</v>
      </c>
      <c r="E45" s="41" t="s">
        <v>37</v>
      </c>
      <c r="F45" s="41" t="s">
        <v>904</v>
      </c>
      <c r="G45" s="41" t="s">
        <v>101</v>
      </c>
      <c r="H45" s="41" t="s">
        <v>290</v>
      </c>
      <c r="I45" s="41" t="s">
        <v>291</v>
      </c>
      <c r="J45" s="41" t="s">
        <v>904</v>
      </c>
      <c r="K45" s="41" t="s">
        <v>292</v>
      </c>
      <c r="L45" s="41" t="s">
        <v>904</v>
      </c>
      <c r="M45" s="60">
        <v>50000000</v>
      </c>
      <c r="N45" s="41" t="s">
        <v>101</v>
      </c>
      <c r="O45" s="60">
        <v>820000</v>
      </c>
      <c r="P45" s="41" t="s">
        <v>101</v>
      </c>
      <c r="Q45" s="69"/>
      <c r="R45" s="69">
        <v>48850</v>
      </c>
      <c r="S45" s="69">
        <v>48850</v>
      </c>
      <c r="T45" s="69"/>
      <c r="U45" s="70"/>
      <c r="V45" s="70"/>
      <c r="W45" s="71"/>
      <c r="X45" s="43"/>
      <c r="Y45" s="43"/>
      <c r="Z45" s="41" t="s">
        <v>904</v>
      </c>
      <c r="AA45" s="41" t="s">
        <v>904</v>
      </c>
      <c r="AB45" s="41"/>
      <c r="AC45" s="69"/>
      <c r="AD45" s="44" t="s">
        <v>364</v>
      </c>
    </row>
    <row r="46" spans="3:28" ht="20.100000000000001" customHeight="1" x14ac:dyDescent="0.25">
      <c r="C46" s="57" t="s">
        <v>365</v>
      </c>
      <c r="D46" s="57" t="s">
        <v>277</v>
      </c>
      <c r="E46" s="41" t="s">
        <v>37</v>
      </c>
      <c r="F46" s="41" t="s">
        <v>904</v>
      </c>
      <c r="G46" s="41" t="s">
        <v>101</v>
      </c>
      <c r="H46" s="41" t="s">
        <v>290</v>
      </c>
      <c r="I46" s="41" t="s">
        <v>295</v>
      </c>
      <c r="J46" s="41" t="s">
        <v>904</v>
      </c>
      <c r="K46" s="41" t="s">
        <v>292</v>
      </c>
      <c r="L46" s="41" t="s">
        <v>904</v>
      </c>
      <c r="M46" s="60">
        <v>30000000</v>
      </c>
      <c r="N46" s="41" t="s">
        <v>101</v>
      </c>
      <c r="O46" s="60">
        <v>-210000</v>
      </c>
      <c r="P46" s="41" t="s">
        <v>101</v>
      </c>
      <c r="Q46" s="69"/>
      <c r="R46" s="69">
        <v>47025</v>
      </c>
      <c r="S46" s="69">
        <v>47025</v>
      </c>
      <c r="T46" s="69"/>
      <c r="U46" s="70"/>
      <c r="V46" s="70"/>
      <c r="W46" s="71"/>
      <c r="X46" s="43"/>
      <c r="Y46" s="43"/>
      <c r="Z46" s="41" t="s">
        <v>904</v>
      </c>
      <c r="AA46" s="41" t="s">
        <v>904</v>
      </c>
      <c r="AB46" s="41"/>
      <c r="AC46" s="69"/>
      <c r="AD46" s="44" t="s">
        <v>366</v>
      </c>
    </row>
    <row r="47" spans="3:28" ht="20.100000000000001" customHeight="1" x14ac:dyDescent="0.25">
      <c r="C47" s="57" t="s">
        <v>367</v>
      </c>
      <c r="D47" s="57" t="s">
        <v>277</v>
      </c>
      <c r="E47" s="41" t="s">
        <v>37</v>
      </c>
      <c r="F47" s="41" t="s">
        <v>904</v>
      </c>
      <c r="G47" s="41" t="s">
        <v>223</v>
      </c>
      <c r="H47" s="41" t="s">
        <v>290</v>
      </c>
      <c r="I47" s="41" t="s">
        <v>295</v>
      </c>
      <c r="J47" s="41" t="s">
        <v>904</v>
      </c>
      <c r="K47" s="41" t="s">
        <v>292</v>
      </c>
      <c r="L47" s="41" t="s">
        <v>904</v>
      </c>
      <c r="M47" s="60">
        <v>40000000</v>
      </c>
      <c r="N47" s="41" t="s">
        <v>223</v>
      </c>
      <c r="O47" s="60">
        <v>-1150000</v>
      </c>
      <c r="P47" s="41" t="s">
        <v>223</v>
      </c>
      <c r="Q47" s="69"/>
      <c r="R47" s="69">
        <v>50675</v>
      </c>
      <c r="S47" s="69">
        <v>50675</v>
      </c>
      <c r="T47" s="69"/>
      <c r="U47" s="70"/>
      <c r="V47" s="70"/>
      <c r="W47" s="71"/>
      <c r="X47" s="43"/>
      <c r="Y47" s="43"/>
      <c r="Z47" s="41" t="s">
        <v>904</v>
      </c>
      <c r="AA47" s="41" t="s">
        <v>904</v>
      </c>
      <c r="AB47" s="41"/>
      <c r="AC47" s="69"/>
      <c r="AD47" s="44" t="s">
        <v>368</v>
      </c>
    </row>
    <row r="48" spans="3:28" ht="20.100000000000001" customHeight="1" x14ac:dyDescent="0.25">
      <c r="C48" s="57" t="s">
        <v>369</v>
      </c>
      <c r="D48" s="57" t="s">
        <v>277</v>
      </c>
      <c r="E48" s="41" t="s">
        <v>37</v>
      </c>
      <c r="F48" s="41" t="s">
        <v>904</v>
      </c>
      <c r="G48" s="41" t="s">
        <v>101</v>
      </c>
      <c r="H48" s="41" t="s">
        <v>290</v>
      </c>
      <c r="I48" s="41" t="s">
        <v>291</v>
      </c>
      <c r="J48" s="41" t="s">
        <v>904</v>
      </c>
      <c r="K48" s="41" t="s">
        <v>370</v>
      </c>
      <c r="L48" s="41" t="s">
        <v>371</v>
      </c>
      <c r="M48" s="60">
        <v>25000000</v>
      </c>
      <c r="N48" s="41" t="s">
        <v>101</v>
      </c>
      <c r="O48" s="60">
        <v>45000</v>
      </c>
      <c r="P48" s="41" t="s">
        <v>101</v>
      </c>
      <c r="Q48" s="69"/>
      <c r="R48" s="69">
        <v>48120</v>
      </c>
      <c r="S48" s="69">
        <v>48120</v>
      </c>
      <c r="T48" s="69"/>
      <c r="U48" s="70"/>
      <c r="V48" s="70"/>
      <c r="W48" s="71"/>
      <c r="X48" s="43"/>
      <c r="Y48" s="43"/>
      <c r="Z48" s="41" t="s">
        <v>904</v>
      </c>
      <c r="AA48" s="41" t="s">
        <v>904</v>
      </c>
      <c r="AB48" s="41"/>
      <c r="AC48" s="69"/>
      <c r="AD48" s="44" t="s">
        <v>372</v>
      </c>
    </row>
    <row r="49" spans="3:28" ht="20.100000000000001" customHeight="1" x14ac:dyDescent="0.25">
      <c r="C49" s="57" t="s">
        <v>373</v>
      </c>
      <c r="D49" s="57" t="s">
        <v>277</v>
      </c>
      <c r="E49" s="41" t="s">
        <v>37</v>
      </c>
      <c r="F49" s="41" t="s">
        <v>904</v>
      </c>
      <c r="G49" s="41" t="s">
        <v>101</v>
      </c>
      <c r="H49" s="41" t="s">
        <v>298</v>
      </c>
      <c r="I49" s="41" t="s">
        <v>291</v>
      </c>
      <c r="J49" s="41" t="s">
        <v>348</v>
      </c>
      <c r="K49" s="41" t="s">
        <v>292</v>
      </c>
      <c r="L49" s="41" t="s">
        <v>904</v>
      </c>
      <c r="M49" s="60">
        <v>20000000</v>
      </c>
      <c r="N49" s="41" t="s">
        <v>101</v>
      </c>
      <c r="O49" s="60">
        <v>310000</v>
      </c>
      <c r="P49" s="41" t="s">
        <v>101</v>
      </c>
      <c r="Q49" s="69">
        <v>47025</v>
      </c>
      <c r="R49" s="69">
        <v>48850</v>
      </c>
      <c r="S49" s="69">
        <v>48850</v>
      </c>
      <c r="T49" s="69">
        <v>47025</v>
      </c>
      <c r="U49" s="70">
        <v>2.5999999999999999E-2</v>
      </c>
      <c r="V49" s="70">
        <v>0.03</v>
      </c>
      <c r="W49" s="71"/>
      <c r="X49" s="43"/>
      <c r="Y49" s="43"/>
      <c r="Z49" s="41" t="s">
        <v>904</v>
      </c>
      <c r="AA49" s="41" t="s">
        <v>904</v>
      </c>
      <c r="AB49" s="41"/>
      <c r="AC49" s="69"/>
      <c r="AD49" s="44" t="s">
        <v>374</v>
      </c>
    </row>
    <row r="50" spans="3:28" ht="20.100000000000001" customHeight="1" x14ac:dyDescent="0.25">
      <c r="C50" s="57" t="s">
        <v>375</v>
      </c>
      <c r="D50" s="57" t="s">
        <v>277</v>
      </c>
      <c r="E50" s="41" t="s">
        <v>37</v>
      </c>
      <c r="F50" s="41" t="s">
        <v>904</v>
      </c>
      <c r="G50" s="41" t="s">
        <v>101</v>
      </c>
      <c r="H50" s="41" t="s">
        <v>290</v>
      </c>
      <c r="I50" s="41" t="s">
        <v>295</v>
      </c>
      <c r="J50" s="41" t="s">
        <v>904</v>
      </c>
      <c r="K50" s="41" t="s">
        <v>292</v>
      </c>
      <c r="L50" s="41" t="s">
        <v>904</v>
      </c>
      <c r="M50" s="60">
        <v>15000000</v>
      </c>
      <c r="N50" s="41" t="s">
        <v>101</v>
      </c>
      <c r="O50" s="60">
        <v>-60000</v>
      </c>
      <c r="P50" s="41" t="s">
        <v>101</v>
      </c>
      <c r="Q50" s="69">
        <v>46660</v>
      </c>
      <c r="R50" s="69">
        <v>47755</v>
      </c>
      <c r="S50" s="69">
        <v>47755</v>
      </c>
      <c r="T50" s="69"/>
      <c r="U50" s="70"/>
      <c r="V50" s="70"/>
      <c r="W50" s="71"/>
      <c r="X50" s="43"/>
      <c r="Y50" s="43"/>
      <c r="Z50" s="41" t="s">
        <v>904</v>
      </c>
      <c r="AA50" s="41" t="s">
        <v>904</v>
      </c>
      <c r="AB50" s="41"/>
      <c r="AC50" s="69"/>
      <c r="AD50" s="44" t="s">
        <v>376</v>
      </c>
    </row>
    <row r="51" spans="3:28" ht="20.100000000000001" customHeight="1" x14ac:dyDescent="0.25">
      <c r="C51" s="57" t="s">
        <v>377</v>
      </c>
      <c r="D51" s="57" t="s">
        <v>277</v>
      </c>
      <c r="E51" s="41" t="s">
        <v>38</v>
      </c>
      <c r="F51" s="41" t="s">
        <v>904</v>
      </c>
      <c r="G51" s="41" t="s">
        <v>378</v>
      </c>
      <c r="H51" s="41" t="s">
        <v>290</v>
      </c>
      <c r="I51" s="41" t="s">
        <v>295</v>
      </c>
      <c r="J51" s="41" t="s">
        <v>904</v>
      </c>
      <c r="K51" s="41" t="s">
        <v>292</v>
      </c>
      <c r="L51" s="41" t="s">
        <v>904</v>
      </c>
      <c r="M51" s="60">
        <v>25000000</v>
      </c>
      <c r="N51" s="41" t="s">
        <v>223</v>
      </c>
      <c r="O51" s="60">
        <v>-320000</v>
      </c>
      <c r="P51" s="41" t="s">
        <v>101</v>
      </c>
      <c r="Q51" s="69"/>
      <c r="R51" s="69"/>
      <c r="S51" s="69">
        <v>46660</v>
      </c>
      <c r="T51" s="69"/>
      <c r="U51" s="70"/>
      <c r="V51" s="70"/>
      <c r="W51" s="71"/>
      <c r="X51" s="43"/>
      <c r="Y51" s="43"/>
      <c r="Z51" s="41" t="s">
        <v>904</v>
      </c>
      <c r="AA51" s="41" t="s">
        <v>904</v>
      </c>
      <c r="AB51" s="41"/>
      <c r="AC51" s="69"/>
      <c r="AD51" s="44" t="s">
        <v>379</v>
      </c>
    </row>
    <row r="52" spans="3:28" ht="20.100000000000001" customHeight="1" x14ac:dyDescent="0.25">
      <c r="C52" s="57" t="s">
        <v>380</v>
      </c>
      <c r="D52" s="57" t="s">
        <v>277</v>
      </c>
      <c r="E52" s="41" t="s">
        <v>38</v>
      </c>
      <c r="F52" s="41" t="s">
        <v>904</v>
      </c>
      <c r="G52" s="41" t="s">
        <v>381</v>
      </c>
      <c r="H52" s="41" t="s">
        <v>298</v>
      </c>
      <c r="I52" s="41" t="s">
        <v>291</v>
      </c>
      <c r="J52" s="41" t="s">
        <v>348</v>
      </c>
      <c r="K52" s="41" t="s">
        <v>292</v>
      </c>
      <c r="L52" s="41" t="s">
        <v>904</v>
      </c>
      <c r="M52" s="60">
        <v>10000000</v>
      </c>
      <c r="N52" s="41" t="s">
        <v>223</v>
      </c>
      <c r="O52" s="60">
        <v>140000</v>
      </c>
      <c r="P52" s="41" t="s">
        <v>101</v>
      </c>
      <c r="Q52" s="69"/>
      <c r="R52" s="69"/>
      <c r="S52" s="69">
        <v>46477</v>
      </c>
      <c r="T52" s="69">
        <v>46477</v>
      </c>
      <c r="U52" s="70">
        <v>148.5</v>
      </c>
      <c r="V52" s="70">
        <v>150</v>
      </c>
      <c r="W52" s="71"/>
      <c r="X52" s="43"/>
      <c r="Y52" s="43"/>
      <c r="Z52" s="41" t="s">
        <v>904</v>
      </c>
      <c r="AA52" s="41" t="s">
        <v>904</v>
      </c>
      <c r="AB52" s="41"/>
      <c r="AC52" s="69"/>
      <c r="AD52" s="44" t="s">
        <v>382</v>
      </c>
    </row>
    <row r="53" spans="3:28" ht="20.100000000000001" customHeight="1" x14ac:dyDescent="0.25">
      <c r="C53" s="57" t="s">
        <v>383</v>
      </c>
      <c r="D53" s="57" t="s">
        <v>277</v>
      </c>
      <c r="E53" s="41" t="s">
        <v>38</v>
      </c>
      <c r="F53" s="41" t="s">
        <v>904</v>
      </c>
      <c r="G53" s="41" t="s">
        <v>384</v>
      </c>
      <c r="H53" s="41" t="s">
        <v>290</v>
      </c>
      <c r="I53" s="41" t="s">
        <v>291</v>
      </c>
      <c r="J53" s="41" t="s">
        <v>904</v>
      </c>
      <c r="K53" s="41" t="s">
        <v>292</v>
      </c>
      <c r="L53" s="41" t="s">
        <v>904</v>
      </c>
      <c r="M53" s="60">
        <v>15000000</v>
      </c>
      <c r="N53" s="41" t="s">
        <v>225</v>
      </c>
      <c r="O53" s="60">
        <v>95000</v>
      </c>
      <c r="P53" s="41" t="s">
        <v>101</v>
      </c>
      <c r="Q53" s="69"/>
      <c r="R53" s="69"/>
      <c r="S53" s="69">
        <v>46477</v>
      </c>
      <c r="T53" s="69"/>
      <c r="U53" s="70"/>
      <c r="V53" s="70"/>
      <c r="W53" s="71"/>
      <c r="X53" s="43"/>
      <c r="Y53" s="43"/>
      <c r="Z53" s="41" t="s">
        <v>904</v>
      </c>
      <c r="AA53" s="41" t="s">
        <v>904</v>
      </c>
      <c r="AB53" s="41"/>
      <c r="AC53" s="69"/>
      <c r="AD53" s="44" t="s">
        <v>385</v>
      </c>
    </row>
    <row r="54" spans="3:28" ht="20.100000000000001" customHeight="1" x14ac:dyDescent="0.25">
      <c r="C54" s="57" t="s">
        <v>386</v>
      </c>
      <c r="D54" s="57" t="s">
        <v>277</v>
      </c>
      <c r="E54" s="41" t="s">
        <v>37</v>
      </c>
      <c r="F54" s="41" t="s">
        <v>904</v>
      </c>
      <c r="G54" s="41" t="s">
        <v>225</v>
      </c>
      <c r="H54" s="41" t="s">
        <v>290</v>
      </c>
      <c r="I54" s="41" t="s">
        <v>291</v>
      </c>
      <c r="J54" s="41" t="s">
        <v>904</v>
      </c>
      <c r="K54" s="41" t="s">
        <v>292</v>
      </c>
      <c r="L54" s="41" t="s">
        <v>904</v>
      </c>
      <c r="M54" s="60">
        <v>20000000</v>
      </c>
      <c r="N54" s="41" t="s">
        <v>225</v>
      </c>
      <c r="O54" s="60">
        <v>12000</v>
      </c>
      <c r="P54" s="41" t="s">
        <v>225</v>
      </c>
      <c r="Q54" s="69"/>
      <c r="R54" s="69">
        <v>46569</v>
      </c>
      <c r="S54" s="69">
        <v>46569</v>
      </c>
      <c r="T54" s="69"/>
      <c r="U54" s="70"/>
      <c r="V54" s="70"/>
      <c r="W54" s="71"/>
      <c r="X54" s="43"/>
      <c r="Y54" s="43"/>
      <c r="Z54" s="41" t="s">
        <v>904</v>
      </c>
      <c r="AA54" s="41" t="s">
        <v>904</v>
      </c>
      <c r="AB54" s="41"/>
      <c r="AC54" s="69"/>
      <c r="AD54" s="44" t="s">
        <v>387</v>
      </c>
    </row>
    <row r="55" spans="3:28" ht="20.100000000000001" customHeight="1" x14ac:dyDescent="0.25">
      <c r="C55" s="57" t="s">
        <v>388</v>
      </c>
      <c r="D55" s="57" t="s">
        <v>801</v>
      </c>
      <c r="E55" s="41" t="s">
        <v>37</v>
      </c>
      <c r="F55" s="41" t="s">
        <v>904</v>
      </c>
      <c r="G55" s="41" t="s">
        <v>101</v>
      </c>
      <c r="H55" s="41" t="s">
        <v>290</v>
      </c>
      <c r="I55" s="41" t="s">
        <v>291</v>
      </c>
      <c r="J55" s="41" t="s">
        <v>904</v>
      </c>
      <c r="K55" s="41" t="s">
        <v>292</v>
      </c>
      <c r="L55" s="41" t="s">
        <v>904</v>
      </c>
      <c r="M55" s="60">
        <v>5000000</v>
      </c>
      <c r="N55" s="41" t="s">
        <v>101</v>
      </c>
      <c r="O55" s="60">
        <v>0</v>
      </c>
      <c r="P55" s="41" t="s">
        <v>101</v>
      </c>
      <c r="Q55" s="69"/>
      <c r="R55" s="69">
        <v>46265</v>
      </c>
      <c r="S55" s="69">
        <v>46265</v>
      </c>
      <c r="T55" s="69"/>
      <c r="U55" s="70"/>
      <c r="V55" s="70"/>
      <c r="W55" s="71"/>
      <c r="X55" s="43"/>
      <c r="Y55" s="43"/>
      <c r="Z55" s="41" t="s">
        <v>904</v>
      </c>
      <c r="AA55" s="41" t="s">
        <v>904</v>
      </c>
      <c r="AB55" s="41"/>
      <c r="AC55" s="69"/>
      <c r="AD55" s="44" t="s">
        <v>389</v>
      </c>
    </row>
    <row r="56" spans="3:28" ht="20.100000000000001" customHeight="1" x14ac:dyDescent="0.25">
      <c r="C56" s="57" t="s">
        <v>390</v>
      </c>
      <c r="D56" s="57" t="s">
        <v>279</v>
      </c>
      <c r="E56" s="41" t="s">
        <v>164</v>
      </c>
      <c r="F56" s="41" t="s">
        <v>172</v>
      </c>
      <c r="G56" s="41" t="s">
        <v>391</v>
      </c>
      <c r="H56" s="41" t="s">
        <v>290</v>
      </c>
      <c r="I56" s="41" t="s">
        <v>291</v>
      </c>
      <c r="J56" s="41" t="s">
        <v>904</v>
      </c>
      <c r="K56" s="41" t="s">
        <v>292</v>
      </c>
      <c r="L56" s="41" t="s">
        <v>904</v>
      </c>
      <c r="M56" s="60">
        <v>10000000</v>
      </c>
      <c r="N56" s="41" t="s">
        <v>101</v>
      </c>
      <c r="O56" s="60">
        <v>-95000</v>
      </c>
      <c r="P56" s="41" t="s">
        <v>101</v>
      </c>
      <c r="Q56" s="69"/>
      <c r="R56" s="69">
        <v>48120</v>
      </c>
      <c r="S56" s="69">
        <v>48120</v>
      </c>
      <c r="T56" s="69"/>
      <c r="U56" s="70"/>
      <c r="V56" s="70"/>
      <c r="W56" s="71"/>
      <c r="X56" s="43"/>
      <c r="Y56" s="43"/>
      <c r="Z56" s="41" t="s">
        <v>904</v>
      </c>
      <c r="AA56" s="41" t="s">
        <v>904</v>
      </c>
      <c r="AB56" s="41"/>
      <c r="AC56" s="69"/>
      <c r="AD56" s="44" t="s">
        <v>392</v>
      </c>
    </row>
    <row r="57" spans="3:28" ht="20.100000000000001" customHeight="1" x14ac:dyDescent="0.25">
      <c r="C57" s="57" t="s">
        <v>393</v>
      </c>
      <c r="D57" s="57" t="s">
        <v>279</v>
      </c>
      <c r="E57" s="41" t="s">
        <v>164</v>
      </c>
      <c r="F57" s="41" t="s">
        <v>172</v>
      </c>
      <c r="G57" s="41" t="s">
        <v>391</v>
      </c>
      <c r="H57" s="41" t="s">
        <v>290</v>
      </c>
      <c r="I57" s="41" t="s">
        <v>295</v>
      </c>
      <c r="J57" s="41" t="s">
        <v>904</v>
      </c>
      <c r="K57" s="41" t="s">
        <v>292</v>
      </c>
      <c r="L57" s="41" t="s">
        <v>904</v>
      </c>
      <c r="M57" s="60">
        <v>5000000</v>
      </c>
      <c r="N57" s="41" t="s">
        <v>101</v>
      </c>
      <c r="O57" s="60">
        <v>40000</v>
      </c>
      <c r="P57" s="41" t="s">
        <v>101</v>
      </c>
      <c r="Q57" s="69"/>
      <c r="R57" s="69">
        <v>47390</v>
      </c>
      <c r="S57" s="69">
        <v>47390</v>
      </c>
      <c r="T57" s="69"/>
      <c r="U57" s="70"/>
      <c r="V57" s="70"/>
      <c r="W57" s="71"/>
      <c r="X57" s="43"/>
      <c r="Y57" s="43"/>
      <c r="Z57" s="41" t="s">
        <v>904</v>
      </c>
      <c r="AA57" s="41" t="s">
        <v>904</v>
      </c>
      <c r="AB57" s="41"/>
      <c r="AC57" s="69"/>
      <c r="AD57" s="44" t="s">
        <v>394</v>
      </c>
    </row>
    <row r="58" spans="3:28" ht="20.100000000000001" customHeight="1" x14ac:dyDescent="0.25">
      <c r="C58" s="57" t="s">
        <v>395</v>
      </c>
      <c r="D58" s="57" t="s">
        <v>279</v>
      </c>
      <c r="E58" s="41" t="s">
        <v>164</v>
      </c>
      <c r="F58" s="41" t="s">
        <v>183</v>
      </c>
      <c r="G58" s="41" t="s">
        <v>396</v>
      </c>
      <c r="H58" s="41" t="s">
        <v>290</v>
      </c>
      <c r="I58" s="41" t="s">
        <v>295</v>
      </c>
      <c r="J58" s="41" t="s">
        <v>904</v>
      </c>
      <c r="K58" s="41" t="s">
        <v>292</v>
      </c>
      <c r="L58" s="41" t="s">
        <v>904</v>
      </c>
      <c r="M58" s="60">
        <v>8000000</v>
      </c>
      <c r="N58" s="41" t="s">
        <v>101</v>
      </c>
      <c r="O58" s="60">
        <v>120000</v>
      </c>
      <c r="P58" s="41" t="s">
        <v>101</v>
      </c>
      <c r="Q58" s="69"/>
      <c r="R58" s="69">
        <v>47755</v>
      </c>
      <c r="S58" s="69">
        <v>47755</v>
      </c>
      <c r="T58" s="69"/>
      <c r="U58" s="70"/>
      <c r="V58" s="70"/>
      <c r="W58" s="71"/>
      <c r="X58" s="43"/>
      <c r="Y58" s="43"/>
      <c r="Z58" s="41" t="s">
        <v>904</v>
      </c>
      <c r="AA58" s="41" t="s">
        <v>904</v>
      </c>
      <c r="AB58" s="41"/>
      <c r="AC58" s="69"/>
      <c r="AD58" s="44" t="s">
        <v>397</v>
      </c>
    </row>
    <row r="59" spans="3:28" ht="20.100000000000001" customHeight="1" x14ac:dyDescent="0.25">
      <c r="C59" s="57" t="s">
        <v>398</v>
      </c>
      <c r="D59" s="57" t="s">
        <v>279</v>
      </c>
      <c r="E59" s="41" t="s">
        <v>164</v>
      </c>
      <c r="F59" s="41" t="s">
        <v>193</v>
      </c>
      <c r="G59" s="41" t="s">
        <v>399</v>
      </c>
      <c r="H59" s="41" t="s">
        <v>290</v>
      </c>
      <c r="I59" s="41" t="s">
        <v>291</v>
      </c>
      <c r="J59" s="41" t="s">
        <v>904</v>
      </c>
      <c r="K59" s="41" t="s">
        <v>292</v>
      </c>
      <c r="L59" s="41" t="s">
        <v>904</v>
      </c>
      <c r="M59" s="60">
        <v>25000000</v>
      </c>
      <c r="N59" s="41" t="s">
        <v>101</v>
      </c>
      <c r="O59" s="60">
        <v>-210000</v>
      </c>
      <c r="P59" s="41" t="s">
        <v>101</v>
      </c>
      <c r="Q59" s="69"/>
      <c r="R59" s="69">
        <v>48120</v>
      </c>
      <c r="S59" s="69">
        <v>48120</v>
      </c>
      <c r="T59" s="69"/>
      <c r="U59" s="70"/>
      <c r="V59" s="70"/>
      <c r="W59" s="71"/>
      <c r="X59" s="43"/>
      <c r="Y59" s="43"/>
      <c r="Z59" s="41" t="s">
        <v>904</v>
      </c>
      <c r="AA59" s="41" t="s">
        <v>904</v>
      </c>
      <c r="AB59" s="41"/>
      <c r="AC59" s="69"/>
      <c r="AD59" s="44" t="s">
        <v>400</v>
      </c>
    </row>
    <row r="60" spans="3:28" ht="20.100000000000001" customHeight="1" x14ac:dyDescent="0.25">
      <c r="C60" s="57" t="s">
        <v>401</v>
      </c>
      <c r="D60" s="57" t="s">
        <v>279</v>
      </c>
      <c r="E60" s="41" t="s">
        <v>164</v>
      </c>
      <c r="F60" s="41" t="s">
        <v>193</v>
      </c>
      <c r="G60" s="41" t="s">
        <v>402</v>
      </c>
      <c r="H60" s="41" t="s">
        <v>288</v>
      </c>
      <c r="I60" s="41" t="s">
        <v>295</v>
      </c>
      <c r="J60" s="41" t="s">
        <v>904</v>
      </c>
      <c r="K60" s="41" t="s">
        <v>292</v>
      </c>
      <c r="L60" s="41" t="s">
        <v>904</v>
      </c>
      <c r="M60" s="60">
        <v>5000000</v>
      </c>
      <c r="N60" s="41" t="s">
        <v>101</v>
      </c>
      <c r="O60" s="60">
        <v>85000</v>
      </c>
      <c r="P60" s="41" t="s">
        <v>101</v>
      </c>
      <c r="Q60" s="69"/>
      <c r="R60" s="69">
        <v>48120</v>
      </c>
      <c r="S60" s="69">
        <v>48120</v>
      </c>
      <c r="T60" s="69"/>
      <c r="U60" s="70"/>
      <c r="V60" s="70"/>
      <c r="W60" s="71"/>
      <c r="X60" s="43">
        <v>0.03</v>
      </c>
      <c r="Y60" s="43">
        <v>0.06</v>
      </c>
      <c r="Z60" s="41" t="s">
        <v>904</v>
      </c>
      <c r="AA60" s="41" t="s">
        <v>904</v>
      </c>
      <c r="AB60" s="41"/>
      <c r="AC60" s="69"/>
      <c r="AD60" s="44" t="s">
        <v>403</v>
      </c>
    </row>
    <row r="61" spans="3:28" ht="20.100000000000001" customHeight="1" x14ac:dyDescent="0.25">
      <c r="C61" s="57" t="s">
        <v>404</v>
      </c>
      <c r="D61" s="57" t="s">
        <v>279</v>
      </c>
      <c r="E61" s="41" t="s">
        <v>198</v>
      </c>
      <c r="F61" s="41" t="s">
        <v>199</v>
      </c>
      <c r="G61" s="41" t="s">
        <v>405</v>
      </c>
      <c r="H61" s="41" t="s">
        <v>290</v>
      </c>
      <c r="I61" s="41" t="s">
        <v>291</v>
      </c>
      <c r="J61" s="41" t="s">
        <v>904</v>
      </c>
      <c r="K61" s="41" t="s">
        <v>292</v>
      </c>
      <c r="L61" s="41" t="s">
        <v>904</v>
      </c>
      <c r="M61" s="60">
        <v>8000000</v>
      </c>
      <c r="N61" s="41" t="s">
        <v>101</v>
      </c>
      <c r="O61" s="60">
        <v>310000</v>
      </c>
      <c r="P61" s="41" t="s">
        <v>101</v>
      </c>
      <c r="Q61" s="69"/>
      <c r="R61" s="69"/>
      <c r="S61" s="69">
        <v>46660</v>
      </c>
      <c r="T61" s="69"/>
      <c r="U61" s="70"/>
      <c r="V61" s="70"/>
      <c r="W61" s="71"/>
      <c r="X61" s="43"/>
      <c r="Y61" s="43"/>
      <c r="Z61" s="41" t="s">
        <v>904</v>
      </c>
      <c r="AA61" s="41" t="s">
        <v>904</v>
      </c>
      <c r="AB61" s="41"/>
      <c r="AC61" s="69"/>
      <c r="AD61" s="44" t="s">
        <v>406</v>
      </c>
    </row>
    <row r="62" spans="3:28" ht="20.100000000000001" customHeight="1" x14ac:dyDescent="0.25">
      <c r="C62" s="57" t="s">
        <v>407</v>
      </c>
      <c r="D62" s="57" t="s">
        <v>279</v>
      </c>
      <c r="E62" s="41" t="s">
        <v>198</v>
      </c>
      <c r="F62" s="41" t="s">
        <v>202</v>
      </c>
      <c r="G62" s="41" t="s">
        <v>408</v>
      </c>
      <c r="H62" s="41" t="s">
        <v>298</v>
      </c>
      <c r="I62" s="41" t="s">
        <v>295</v>
      </c>
      <c r="J62" s="41" t="s">
        <v>299</v>
      </c>
      <c r="K62" s="41" t="s">
        <v>292</v>
      </c>
      <c r="L62" s="41" t="s">
        <v>904</v>
      </c>
      <c r="M62" s="60">
        <v>10000000</v>
      </c>
      <c r="N62" s="41" t="s">
        <v>101</v>
      </c>
      <c r="O62" s="60">
        <v>-150000</v>
      </c>
      <c r="P62" s="41" t="s">
        <v>101</v>
      </c>
      <c r="Q62" s="69"/>
      <c r="R62" s="69"/>
      <c r="S62" s="69">
        <v>46477</v>
      </c>
      <c r="T62" s="69">
        <v>46477</v>
      </c>
      <c r="U62" s="70">
        <v>5400</v>
      </c>
      <c r="V62" s="70">
        <v>5000</v>
      </c>
      <c r="W62" s="71"/>
      <c r="X62" s="43"/>
      <c r="Y62" s="43"/>
      <c r="Z62" s="41" t="s">
        <v>904</v>
      </c>
      <c r="AA62" s="41" t="s">
        <v>904</v>
      </c>
      <c r="AB62" s="41"/>
      <c r="AC62" s="69"/>
      <c r="AD62" s="44" t="s">
        <v>409</v>
      </c>
    </row>
    <row r="63" spans="3:28" ht="20.100000000000001" customHeight="1" x14ac:dyDescent="0.25">
      <c r="C63" s="57" t="s">
        <v>410</v>
      </c>
      <c r="D63" s="57" t="s">
        <v>279</v>
      </c>
      <c r="E63" s="41" t="s">
        <v>198</v>
      </c>
      <c r="F63" s="41" t="s">
        <v>199</v>
      </c>
      <c r="G63" s="41" t="s">
        <v>411</v>
      </c>
      <c r="H63" s="41" t="s">
        <v>290</v>
      </c>
      <c r="I63" s="41" t="s">
        <v>295</v>
      </c>
      <c r="J63" s="41" t="s">
        <v>904</v>
      </c>
      <c r="K63" s="41" t="s">
        <v>292</v>
      </c>
      <c r="L63" s="41" t="s">
        <v>904</v>
      </c>
      <c r="M63" s="60">
        <v>4000000</v>
      </c>
      <c r="N63" s="41" t="s">
        <v>101</v>
      </c>
      <c r="O63" s="60">
        <v>-25000</v>
      </c>
      <c r="P63" s="41" t="s">
        <v>101</v>
      </c>
      <c r="Q63" s="69"/>
      <c r="R63" s="69"/>
      <c r="S63" s="69">
        <v>46565</v>
      </c>
      <c r="T63" s="69"/>
      <c r="U63" s="70"/>
      <c r="V63" s="70"/>
      <c r="W63" s="71"/>
      <c r="X63" s="43"/>
      <c r="Y63" s="43"/>
      <c r="Z63" s="41" t="s">
        <v>904</v>
      </c>
      <c r="AA63" s="41" t="s">
        <v>904</v>
      </c>
      <c r="AB63" s="41"/>
      <c r="AC63" s="69"/>
      <c r="AD63" s="44" t="s">
        <v>412</v>
      </c>
    </row>
    <row r="64" spans="3:28" ht="20.100000000000001" customHeight="1" x14ac:dyDescent="0.25">
      <c r="C64" s="57" t="s">
        <v>413</v>
      </c>
      <c r="D64" s="57" t="s">
        <v>279</v>
      </c>
      <c r="E64" s="41" t="s">
        <v>198</v>
      </c>
      <c r="F64" s="41" t="s">
        <v>202</v>
      </c>
      <c r="G64" s="41" t="s">
        <v>408</v>
      </c>
      <c r="H64" s="41" t="s">
        <v>290</v>
      </c>
      <c r="I64" s="41" t="s">
        <v>291</v>
      </c>
      <c r="J64" s="41" t="s">
        <v>904</v>
      </c>
      <c r="K64" s="41" t="s">
        <v>414</v>
      </c>
      <c r="L64" s="41" t="s">
        <v>415</v>
      </c>
      <c r="M64" s="60">
        <v>1000000</v>
      </c>
      <c r="N64" s="41" t="s">
        <v>101</v>
      </c>
      <c r="O64" s="60">
        <v>18000</v>
      </c>
      <c r="P64" s="41" t="s">
        <v>101</v>
      </c>
      <c r="Q64" s="69"/>
      <c r="R64" s="69"/>
      <c r="S64" s="69">
        <v>46660</v>
      </c>
      <c r="T64" s="69"/>
      <c r="U64" s="70"/>
      <c r="V64" s="70"/>
      <c r="W64" s="71"/>
      <c r="X64" s="43"/>
      <c r="Y64" s="43"/>
      <c r="Z64" s="41" t="s">
        <v>904</v>
      </c>
      <c r="AA64" s="41" t="s">
        <v>904</v>
      </c>
      <c r="AB64" s="41"/>
      <c r="AC64" s="69"/>
      <c r="AD64" s="44" t="s">
        <v>416</v>
      </c>
    </row>
    <row r="65" spans="3:28" ht="20.100000000000001" customHeight="1" x14ac:dyDescent="0.25">
      <c r="C65" s="57" t="s">
        <v>417</v>
      </c>
      <c r="D65" s="57" t="s">
        <v>279</v>
      </c>
      <c r="E65" s="41" t="s">
        <v>42</v>
      </c>
      <c r="F65" s="41" t="s">
        <v>207</v>
      </c>
      <c r="G65" s="41" t="s">
        <v>418</v>
      </c>
      <c r="H65" s="41" t="s">
        <v>290</v>
      </c>
      <c r="I65" s="41" t="s">
        <v>291</v>
      </c>
      <c r="J65" s="41" t="s">
        <v>904</v>
      </c>
      <c r="K65" s="41" t="s">
        <v>292</v>
      </c>
      <c r="L65" s="41" t="s">
        <v>904</v>
      </c>
      <c r="M65" s="60">
        <v>6000000</v>
      </c>
      <c r="N65" s="41" t="s">
        <v>223</v>
      </c>
      <c r="O65" s="60">
        <v>75000</v>
      </c>
      <c r="P65" s="41" t="s">
        <v>223</v>
      </c>
      <c r="Q65" s="69"/>
      <c r="R65" s="69"/>
      <c r="S65" s="69">
        <v>46660</v>
      </c>
      <c r="T65" s="69"/>
      <c r="U65" s="70"/>
      <c r="V65" s="70"/>
      <c r="W65" s="71"/>
      <c r="X65" s="43"/>
      <c r="Y65" s="43"/>
      <c r="Z65" s="41" t="s">
        <v>904</v>
      </c>
      <c r="AA65" s="41" t="s">
        <v>904</v>
      </c>
      <c r="AB65" s="41"/>
      <c r="AC65" s="69"/>
      <c r="AD65" s="44" t="s">
        <v>419</v>
      </c>
    </row>
    <row r="66" spans="3:28" ht="20.100000000000001" customHeight="1" x14ac:dyDescent="0.25">
      <c r="C66" s="57" t="s">
        <v>420</v>
      </c>
      <c r="D66" s="57" t="s">
        <v>279</v>
      </c>
      <c r="E66" s="41" t="s">
        <v>42</v>
      </c>
      <c r="F66" s="41" t="s">
        <v>207</v>
      </c>
      <c r="G66" s="41" t="s">
        <v>347</v>
      </c>
      <c r="H66" s="41" t="s">
        <v>290</v>
      </c>
      <c r="I66" s="41" t="s">
        <v>295</v>
      </c>
      <c r="J66" s="41" t="s">
        <v>904</v>
      </c>
      <c r="K66" s="41" t="s">
        <v>292</v>
      </c>
      <c r="L66" s="41" t="s">
        <v>904</v>
      </c>
      <c r="M66" s="60">
        <v>3000000</v>
      </c>
      <c r="N66" s="41" t="s">
        <v>223</v>
      </c>
      <c r="O66" s="60">
        <v>-20000</v>
      </c>
      <c r="P66" s="41" t="s">
        <v>223</v>
      </c>
      <c r="Q66" s="69"/>
      <c r="R66" s="69"/>
      <c r="S66" s="69">
        <v>46843</v>
      </c>
      <c r="T66" s="69"/>
      <c r="U66" s="70"/>
      <c r="V66" s="70"/>
      <c r="W66" s="71"/>
      <c r="X66" s="43"/>
      <c r="Y66" s="43"/>
      <c r="Z66" s="41" t="s">
        <v>904</v>
      </c>
      <c r="AA66" s="41" t="s">
        <v>904</v>
      </c>
      <c r="AB66" s="41"/>
      <c r="AC66" s="69"/>
      <c r="AD66" s="44" t="s">
        <v>421</v>
      </c>
    </row>
    <row r="67" spans="3:28" ht="20.100000000000001" customHeight="1" x14ac:dyDescent="0.25">
      <c r="C67" s="57" t="s">
        <v>422</v>
      </c>
      <c r="D67" s="57" t="s">
        <v>279</v>
      </c>
      <c r="E67" s="41" t="s">
        <v>42</v>
      </c>
      <c r="F67" s="41" t="s">
        <v>204</v>
      </c>
      <c r="G67" s="41" t="s">
        <v>423</v>
      </c>
      <c r="H67" s="41" t="s">
        <v>290</v>
      </c>
      <c r="I67" s="41" t="s">
        <v>291</v>
      </c>
      <c r="J67" s="41" t="s">
        <v>904</v>
      </c>
      <c r="K67" s="41" t="s">
        <v>292</v>
      </c>
      <c r="L67" s="41" t="s">
        <v>904</v>
      </c>
      <c r="M67" s="60">
        <v>2000000</v>
      </c>
      <c r="N67" s="41" t="s">
        <v>101</v>
      </c>
      <c r="O67" s="60">
        <v>60000</v>
      </c>
      <c r="P67" s="41" t="s">
        <v>101</v>
      </c>
      <c r="Q67" s="69"/>
      <c r="R67" s="69"/>
      <c r="S67" s="69">
        <v>46660</v>
      </c>
      <c r="T67" s="69"/>
      <c r="U67" s="70"/>
      <c r="V67" s="70"/>
      <c r="W67" s="71"/>
      <c r="X67" s="43"/>
      <c r="Y67" s="43"/>
      <c r="Z67" s="41" t="s">
        <v>904</v>
      </c>
      <c r="AA67" s="41" t="s">
        <v>904</v>
      </c>
      <c r="AB67" s="41"/>
      <c r="AC67" s="69"/>
      <c r="AD67" s="44" t="s">
        <v>424</v>
      </c>
    </row>
    <row r="68" spans="3:28" ht="20.100000000000001" customHeight="1" x14ac:dyDescent="0.25">
      <c r="C68" s="57" t="s">
        <v>425</v>
      </c>
      <c r="D68" s="57" t="s">
        <v>279</v>
      </c>
      <c r="E68" s="41" t="s">
        <v>42</v>
      </c>
      <c r="F68" s="41" t="s">
        <v>209</v>
      </c>
      <c r="G68" s="41" t="s">
        <v>426</v>
      </c>
      <c r="H68" s="41" t="s">
        <v>290</v>
      </c>
      <c r="I68" s="41" t="s">
        <v>291</v>
      </c>
      <c r="J68" s="41" t="s">
        <v>904</v>
      </c>
      <c r="K68" s="41" t="s">
        <v>292</v>
      </c>
      <c r="L68" s="41" t="s">
        <v>904</v>
      </c>
      <c r="M68" s="60">
        <v>5000000</v>
      </c>
      <c r="N68" s="41" t="s">
        <v>223</v>
      </c>
      <c r="O68" s="60">
        <v>140000</v>
      </c>
      <c r="P68" s="41" t="s">
        <v>223</v>
      </c>
      <c r="Q68" s="69"/>
      <c r="R68" s="69"/>
      <c r="S68" s="69">
        <v>47025</v>
      </c>
      <c r="T68" s="69"/>
      <c r="U68" s="70"/>
      <c r="V68" s="70"/>
      <c r="W68" s="71"/>
      <c r="X68" s="43"/>
      <c r="Y68" s="43"/>
      <c r="Z68" s="41" t="s">
        <v>904</v>
      </c>
      <c r="AA68" s="41" t="s">
        <v>904</v>
      </c>
      <c r="AB68" s="41"/>
      <c r="AC68" s="69"/>
      <c r="AD68" s="44" t="s">
        <v>427</v>
      </c>
    </row>
    <row r="69" spans="3:28" ht="20.100000000000001" customHeight="1" x14ac:dyDescent="0.25">
      <c r="C69" s="57" t="s">
        <v>428</v>
      </c>
      <c r="D69" s="57" t="s">
        <v>279</v>
      </c>
      <c r="E69" s="41" t="s">
        <v>42</v>
      </c>
      <c r="F69" s="41" t="s">
        <v>211</v>
      </c>
      <c r="G69" s="41" t="s">
        <v>429</v>
      </c>
      <c r="H69" s="41" t="s">
        <v>290</v>
      </c>
      <c r="I69" s="41" t="s">
        <v>295</v>
      </c>
      <c r="J69" s="41" t="s">
        <v>904</v>
      </c>
      <c r="K69" s="41" t="s">
        <v>292</v>
      </c>
      <c r="L69" s="41" t="s">
        <v>904</v>
      </c>
      <c r="M69" s="60">
        <v>1500000</v>
      </c>
      <c r="N69" s="41" t="s">
        <v>223</v>
      </c>
      <c r="O69" s="60">
        <v>-12000</v>
      </c>
      <c r="P69" s="41" t="s">
        <v>223</v>
      </c>
      <c r="Q69" s="69"/>
      <c r="R69" s="69"/>
      <c r="S69" s="69">
        <v>46477</v>
      </c>
      <c r="T69" s="69"/>
      <c r="U69" s="70"/>
      <c r="V69" s="70"/>
      <c r="W69" s="71"/>
      <c r="X69" s="43"/>
      <c r="Y69" s="43"/>
      <c r="Z69" s="41" t="s">
        <v>904</v>
      </c>
      <c r="AA69" s="41" t="s">
        <v>904</v>
      </c>
      <c r="AB69" s="41"/>
      <c r="AC69" s="69"/>
      <c r="AD69" s="44" t="s">
        <v>430</v>
      </c>
    </row>
    <row r="70" spans="3:28" ht="20.100000000000001" customHeight="1" x14ac:dyDescent="0.25">
      <c r="C70" s="57" t="s">
        <v>904</v>
      </c>
      <c r="D70" s="57" t="s">
        <v>904</v>
      </c>
      <c r="E70" s="41" t="s">
        <v>904</v>
      </c>
      <c r="F70" s="41" t="s">
        <v>904</v>
      </c>
      <c r="G70" s="41" t="s">
        <v>904</v>
      </c>
      <c r="H70" s="41" t="s">
        <v>904</v>
      </c>
      <c r="I70" s="41" t="s">
        <v>904</v>
      </c>
      <c r="J70" s="41" t="s">
        <v>904</v>
      </c>
      <c r="K70" s="41" t="s">
        <v>904</v>
      </c>
      <c r="L70" s="41" t="s">
        <v>904</v>
      </c>
      <c r="M70" s="60"/>
      <c r="N70" s="41" t="s">
        <v>904</v>
      </c>
      <c r="O70" s="60"/>
      <c r="P70" s="41" t="s">
        <v>904</v>
      </c>
      <c r="Q70" s="69"/>
      <c r="R70" s="69"/>
      <c r="S70" s="69"/>
      <c r="T70" s="69"/>
      <c r="U70" s="70"/>
      <c r="V70" s="70"/>
      <c r="W70" s="71"/>
      <c r="X70" s="43"/>
      <c r="Y70" s="43"/>
      <c r="Z70" s="41" t="s">
        <v>904</v>
      </c>
      <c r="AA70" s="41" t="s">
        <v>904</v>
      </c>
      <c r="AB70" s="41"/>
      <c r="AC70" s="69"/>
      <c r="AD70" s="44"/>
    </row>
    <row r="71" spans="3:28" ht="20.100000000000001" customHeight="1" x14ac:dyDescent="0.25">
      <c r="C71" s="57" t="s">
        <v>904</v>
      </c>
      <c r="D71" s="57" t="s">
        <v>904</v>
      </c>
      <c r="E71" s="41" t="s">
        <v>904</v>
      </c>
      <c r="F71" s="41" t="s">
        <v>904</v>
      </c>
      <c r="G71" s="41" t="s">
        <v>904</v>
      </c>
      <c r="H71" s="41" t="s">
        <v>904</v>
      </c>
      <c r="I71" s="41" t="s">
        <v>904</v>
      </c>
      <c r="J71" s="41" t="s">
        <v>904</v>
      </c>
      <c r="K71" s="41" t="s">
        <v>904</v>
      </c>
      <c r="L71" s="41" t="s">
        <v>904</v>
      </c>
      <c r="M71" s="60"/>
      <c r="N71" s="41" t="s">
        <v>904</v>
      </c>
      <c r="O71" s="60"/>
      <c r="P71" s="41" t="s">
        <v>904</v>
      </c>
      <c r="Q71" s="69"/>
      <c r="R71" s="69"/>
      <c r="S71" s="69"/>
      <c r="T71" s="69"/>
      <c r="U71" s="70"/>
      <c r="V71" s="70"/>
      <c r="W71" s="71"/>
      <c r="X71" s="43"/>
      <c r="Y71" s="43"/>
      <c r="Z71" s="41" t="s">
        <v>904</v>
      </c>
      <c r="AA71" s="41" t="s">
        <v>904</v>
      </c>
      <c r="AB71" s="41"/>
      <c r="AC71" s="69"/>
      <c r="AD71" s="44"/>
    </row>
    <row r="72" spans="3:28" ht="20.100000000000001" customHeight="1" x14ac:dyDescent="0.25">
      <c r="C72" s="57" t="s">
        <v>904</v>
      </c>
      <c r="D72" s="57" t="s">
        <v>904</v>
      </c>
      <c r="E72" s="41" t="s">
        <v>904</v>
      </c>
      <c r="F72" s="41" t="s">
        <v>904</v>
      </c>
      <c r="G72" s="41" t="s">
        <v>904</v>
      </c>
      <c r="H72" s="41" t="s">
        <v>904</v>
      </c>
      <c r="I72" s="41" t="s">
        <v>904</v>
      </c>
      <c r="J72" s="41" t="s">
        <v>904</v>
      </c>
      <c r="K72" s="41" t="s">
        <v>904</v>
      </c>
      <c r="L72" s="41" t="s">
        <v>904</v>
      </c>
      <c r="M72" s="60"/>
      <c r="N72" s="41" t="s">
        <v>904</v>
      </c>
      <c r="O72" s="60"/>
      <c r="P72" s="41" t="s">
        <v>904</v>
      </c>
      <c r="Q72" s="69"/>
      <c r="R72" s="69"/>
      <c r="S72" s="69"/>
      <c r="T72" s="69"/>
      <c r="U72" s="70"/>
      <c r="V72" s="70"/>
      <c r="W72" s="71"/>
      <c r="X72" s="43"/>
      <c r="Y72" s="43"/>
      <c r="Z72" s="41" t="s">
        <v>904</v>
      </c>
      <c r="AA72" s="41" t="s">
        <v>904</v>
      </c>
      <c r="AB72" s="41"/>
      <c r="AC72" s="69"/>
      <c r="AD72" s="44"/>
    </row>
    <row r="73" spans="3:28" ht="20.100000000000001" customHeight="1" x14ac:dyDescent="0.25">
      <c r="C73" s="57" t="s">
        <v>904</v>
      </c>
      <c r="D73" s="57" t="s">
        <v>904</v>
      </c>
      <c r="E73" s="41" t="s">
        <v>904</v>
      </c>
      <c r="F73" s="41" t="s">
        <v>904</v>
      </c>
      <c r="G73" s="41" t="s">
        <v>904</v>
      </c>
      <c r="H73" s="41" t="s">
        <v>904</v>
      </c>
      <c r="I73" s="41" t="s">
        <v>904</v>
      </c>
      <c r="J73" s="41" t="s">
        <v>904</v>
      </c>
      <c r="K73" s="41" t="s">
        <v>904</v>
      </c>
      <c r="L73" s="41" t="s">
        <v>904</v>
      </c>
      <c r="M73" s="60"/>
      <c r="N73" s="41" t="s">
        <v>904</v>
      </c>
      <c r="O73" s="60"/>
      <c r="P73" s="41" t="s">
        <v>904</v>
      </c>
      <c r="Q73" s="69"/>
      <c r="R73" s="69"/>
      <c r="S73" s="69"/>
      <c r="T73" s="69"/>
      <c r="U73" s="70"/>
      <c r="V73" s="70"/>
      <c r="W73" s="71"/>
      <c r="X73" s="43"/>
      <c r="Y73" s="43"/>
      <c r="Z73" s="41" t="s">
        <v>904</v>
      </c>
      <c r="AA73" s="41" t="s">
        <v>904</v>
      </c>
      <c r="AB73" s="41"/>
      <c r="AC73" s="69"/>
      <c r="AD73" s="44"/>
    </row>
    <row r="74" spans="3:28" ht="20.100000000000001" customHeight="1" x14ac:dyDescent="0.25">
      <c r="C74" s="57" t="s">
        <v>904</v>
      </c>
      <c r="D74" s="57" t="s">
        <v>904</v>
      </c>
      <c r="E74" s="41" t="s">
        <v>904</v>
      </c>
      <c r="F74" s="41" t="s">
        <v>904</v>
      </c>
      <c r="G74" s="41" t="s">
        <v>904</v>
      </c>
      <c r="H74" s="41" t="s">
        <v>904</v>
      </c>
      <c r="I74" s="41" t="s">
        <v>904</v>
      </c>
      <c r="J74" s="41" t="s">
        <v>904</v>
      </c>
      <c r="K74" s="41" t="s">
        <v>904</v>
      </c>
      <c r="L74" s="41" t="s">
        <v>904</v>
      </c>
      <c r="M74" s="60"/>
      <c r="N74" s="41" t="s">
        <v>904</v>
      </c>
      <c r="O74" s="60"/>
      <c r="P74" s="41" t="s">
        <v>904</v>
      </c>
      <c r="Q74" s="69"/>
      <c r="R74" s="69"/>
      <c r="S74" s="69"/>
      <c r="T74" s="69"/>
      <c r="U74" s="70"/>
      <c r="V74" s="70"/>
      <c r="W74" s="71"/>
      <c r="X74" s="43"/>
      <c r="Y74" s="43"/>
      <c r="Z74" s="41" t="s">
        <v>904</v>
      </c>
      <c r="AA74" s="41" t="s">
        <v>904</v>
      </c>
      <c r="AB74" s="41"/>
      <c r="AC74" s="69"/>
      <c r="AD74" s="44"/>
    </row>
    <row r="75" spans="3:28" ht="20.100000000000001" customHeight="1" x14ac:dyDescent="0.25">
      <c r="C75" s="57" t="s">
        <v>904</v>
      </c>
      <c r="D75" s="57" t="s">
        <v>904</v>
      </c>
      <c r="E75" s="41" t="s">
        <v>904</v>
      </c>
      <c r="F75" s="41" t="s">
        <v>904</v>
      </c>
      <c r="G75" s="41" t="s">
        <v>904</v>
      </c>
      <c r="H75" s="41" t="s">
        <v>904</v>
      </c>
      <c r="I75" s="41" t="s">
        <v>904</v>
      </c>
      <c r="J75" s="41" t="s">
        <v>904</v>
      </c>
      <c r="K75" s="41" t="s">
        <v>904</v>
      </c>
      <c r="L75" s="41" t="s">
        <v>904</v>
      </c>
      <c r="M75" s="60"/>
      <c r="N75" s="41" t="s">
        <v>904</v>
      </c>
      <c r="O75" s="60"/>
      <c r="P75" s="41" t="s">
        <v>904</v>
      </c>
      <c r="Q75" s="69"/>
      <c r="R75" s="69"/>
      <c r="S75" s="69"/>
      <c r="T75" s="69"/>
      <c r="U75" s="70"/>
      <c r="V75" s="70"/>
      <c r="W75" s="71"/>
      <c r="X75" s="43"/>
      <c r="Y75" s="43"/>
      <c r="Z75" s="41" t="s">
        <v>904</v>
      </c>
      <c r="AA75" s="41" t="s">
        <v>904</v>
      </c>
      <c r="AB75" s="41"/>
      <c r="AC75" s="69"/>
      <c r="AD75" s="44"/>
    </row>
    <row r="76" spans="3:28" ht="20.100000000000001" customHeight="1" x14ac:dyDescent="0.25">
      <c r="C76" s="57" t="s">
        <v>904</v>
      </c>
      <c r="D76" s="57" t="s">
        <v>904</v>
      </c>
      <c r="E76" s="41" t="s">
        <v>904</v>
      </c>
      <c r="F76" s="41" t="s">
        <v>904</v>
      </c>
      <c r="G76" s="41" t="s">
        <v>904</v>
      </c>
      <c r="H76" s="41" t="s">
        <v>904</v>
      </c>
      <c r="I76" s="41" t="s">
        <v>904</v>
      </c>
      <c r="J76" s="41" t="s">
        <v>904</v>
      </c>
      <c r="K76" s="41" t="s">
        <v>904</v>
      </c>
      <c r="L76" s="41" t="s">
        <v>904</v>
      </c>
      <c r="M76" s="60"/>
      <c r="N76" s="41" t="s">
        <v>904</v>
      </c>
      <c r="O76" s="60"/>
      <c r="P76" s="41" t="s">
        <v>904</v>
      </c>
      <c r="Q76" s="69"/>
      <c r="R76" s="69"/>
      <c r="S76" s="69"/>
      <c r="T76" s="69"/>
      <c r="U76" s="70"/>
      <c r="V76" s="70"/>
      <c r="W76" s="71"/>
      <c r="X76" s="43"/>
      <c r="Y76" s="43"/>
      <c r="Z76" s="41" t="s">
        <v>904</v>
      </c>
      <c r="AA76" s="41" t="s">
        <v>904</v>
      </c>
      <c r="AB76" s="41"/>
      <c r="AC76" s="69"/>
      <c r="AD76" s="44"/>
    </row>
    <row r="77" spans="3:28" ht="20.100000000000001" customHeight="1" x14ac:dyDescent="0.25">
      <c r="C77" s="57" t="s">
        <v>904</v>
      </c>
      <c r="D77" s="57" t="s">
        <v>904</v>
      </c>
      <c r="E77" s="41" t="s">
        <v>904</v>
      </c>
      <c r="F77" s="41" t="s">
        <v>904</v>
      </c>
      <c r="G77" s="41" t="s">
        <v>904</v>
      </c>
      <c r="H77" s="41" t="s">
        <v>904</v>
      </c>
      <c r="I77" s="41" t="s">
        <v>904</v>
      </c>
      <c r="J77" s="41" t="s">
        <v>904</v>
      </c>
      <c r="K77" s="41" t="s">
        <v>904</v>
      </c>
      <c r="L77" s="41" t="s">
        <v>904</v>
      </c>
      <c r="M77" s="60"/>
      <c r="N77" s="41" t="s">
        <v>904</v>
      </c>
      <c r="O77" s="60"/>
      <c r="P77" s="41" t="s">
        <v>904</v>
      </c>
      <c r="Q77" s="69"/>
      <c r="R77" s="69"/>
      <c r="S77" s="69"/>
      <c r="T77" s="69"/>
      <c r="U77" s="70"/>
      <c r="V77" s="70"/>
      <c r="W77" s="71"/>
      <c r="X77" s="43"/>
      <c r="Y77" s="43"/>
      <c r="Z77" s="41" t="s">
        <v>904</v>
      </c>
      <c r="AA77" s="41" t="s">
        <v>904</v>
      </c>
      <c r="AB77" s="41"/>
      <c r="AC77" s="69"/>
      <c r="AD77" s="44"/>
    </row>
    <row r="78" spans="3:28" ht="20.100000000000001" customHeight="1" x14ac:dyDescent="0.25">
      <c r="C78" s="57" t="s">
        <v>904</v>
      </c>
      <c r="D78" s="57" t="s">
        <v>904</v>
      </c>
      <c r="E78" s="41" t="s">
        <v>904</v>
      </c>
      <c r="F78" s="41" t="s">
        <v>904</v>
      </c>
      <c r="G78" s="41" t="s">
        <v>904</v>
      </c>
      <c r="H78" s="41" t="s">
        <v>904</v>
      </c>
      <c r="I78" s="41" t="s">
        <v>904</v>
      </c>
      <c r="J78" s="41" t="s">
        <v>904</v>
      </c>
      <c r="K78" s="41" t="s">
        <v>904</v>
      </c>
      <c r="L78" s="41" t="s">
        <v>904</v>
      </c>
      <c r="M78" s="60"/>
      <c r="N78" s="41" t="s">
        <v>904</v>
      </c>
      <c r="O78" s="60"/>
      <c r="P78" s="41" t="s">
        <v>904</v>
      </c>
      <c r="Q78" s="69"/>
      <c r="R78" s="69"/>
      <c r="S78" s="69"/>
      <c r="T78" s="69"/>
      <c r="U78" s="70"/>
      <c r="V78" s="70"/>
      <c r="W78" s="71"/>
      <c r="X78" s="43"/>
      <c r="Y78" s="43"/>
      <c r="Z78" s="41" t="s">
        <v>904</v>
      </c>
      <c r="AA78" s="41" t="s">
        <v>904</v>
      </c>
      <c r="AB78" s="41"/>
      <c r="AC78" s="69"/>
      <c r="AD78" s="44"/>
    </row>
    <row r="79" spans="3:28" ht="20.100000000000001" customHeight="1" x14ac:dyDescent="0.25">
      <c r="C79" s="57" t="s">
        <v>904</v>
      </c>
      <c r="D79" s="57" t="s">
        <v>904</v>
      </c>
      <c r="E79" s="41" t="s">
        <v>904</v>
      </c>
      <c r="F79" s="41" t="s">
        <v>904</v>
      </c>
      <c r="G79" s="41" t="s">
        <v>904</v>
      </c>
      <c r="H79" s="41" t="s">
        <v>904</v>
      </c>
      <c r="I79" s="41" t="s">
        <v>904</v>
      </c>
      <c r="J79" s="41" t="s">
        <v>904</v>
      </c>
      <c r="K79" s="41" t="s">
        <v>904</v>
      </c>
      <c r="L79" s="41" t="s">
        <v>904</v>
      </c>
      <c r="M79" s="60"/>
      <c r="N79" s="41" t="s">
        <v>904</v>
      </c>
      <c r="O79" s="60"/>
      <c r="P79" s="41" t="s">
        <v>904</v>
      </c>
      <c r="Q79" s="69"/>
      <c r="R79" s="69"/>
      <c r="S79" s="69"/>
      <c r="T79" s="69"/>
      <c r="U79" s="70"/>
      <c r="V79" s="70"/>
      <c r="W79" s="71"/>
      <c r="X79" s="43"/>
      <c r="Y79" s="43"/>
      <c r="Z79" s="41" t="s">
        <v>904</v>
      </c>
      <c r="AA79" s="41" t="s">
        <v>904</v>
      </c>
      <c r="AB79" s="41"/>
      <c r="AC79" s="69"/>
      <c r="AD79" s="44"/>
    </row>
    <row r="80" spans="3:28" ht="20.100000000000001" customHeight="1" x14ac:dyDescent="0.25">
      <c r="C80" s="57" t="s">
        <v>904</v>
      </c>
      <c r="D80" s="57" t="s">
        <v>904</v>
      </c>
      <c r="E80" s="41" t="s">
        <v>904</v>
      </c>
      <c r="F80" s="41" t="s">
        <v>904</v>
      </c>
      <c r="G80" s="41" t="s">
        <v>904</v>
      </c>
      <c r="H80" s="41" t="s">
        <v>904</v>
      </c>
      <c r="I80" s="41" t="s">
        <v>904</v>
      </c>
      <c r="J80" s="41" t="s">
        <v>904</v>
      </c>
      <c r="K80" s="41" t="s">
        <v>904</v>
      </c>
      <c r="L80" s="41" t="s">
        <v>904</v>
      </c>
      <c r="M80" s="60"/>
      <c r="N80" s="41" t="s">
        <v>904</v>
      </c>
      <c r="O80" s="60"/>
      <c r="P80" s="41" t="s">
        <v>904</v>
      </c>
      <c r="Q80" s="69"/>
      <c r="R80" s="69"/>
      <c r="S80" s="69"/>
      <c r="T80" s="69"/>
      <c r="U80" s="70"/>
      <c r="V80" s="70"/>
      <c r="W80" s="71"/>
      <c r="X80" s="43"/>
      <c r="Y80" s="43"/>
      <c r="Z80" s="41" t="s">
        <v>904</v>
      </c>
      <c r="AA80" s="41" t="s">
        <v>904</v>
      </c>
      <c r="AB80" s="41"/>
      <c r="AC80" s="69"/>
      <c r="AD80" s="44"/>
    </row>
    <row r="81" spans="3:28" ht="20.100000000000001" customHeight="1" x14ac:dyDescent="0.25">
      <c r="C81" s="57" t="s">
        <v>904</v>
      </c>
      <c r="D81" s="57" t="s">
        <v>904</v>
      </c>
      <c r="E81" s="41" t="s">
        <v>904</v>
      </c>
      <c r="F81" s="41" t="s">
        <v>904</v>
      </c>
      <c r="G81" s="41" t="s">
        <v>904</v>
      </c>
      <c r="H81" s="41" t="s">
        <v>904</v>
      </c>
      <c r="I81" s="41" t="s">
        <v>904</v>
      </c>
      <c r="J81" s="41" t="s">
        <v>904</v>
      </c>
      <c r="K81" s="41" t="s">
        <v>904</v>
      </c>
      <c r="L81" s="41" t="s">
        <v>904</v>
      </c>
      <c r="M81" s="60"/>
      <c r="N81" s="41" t="s">
        <v>904</v>
      </c>
      <c r="O81" s="60"/>
      <c r="P81" s="41" t="s">
        <v>904</v>
      </c>
      <c r="Q81" s="69"/>
      <c r="R81" s="69"/>
      <c r="S81" s="69"/>
      <c r="T81" s="69"/>
      <c r="U81" s="70"/>
      <c r="V81" s="70"/>
      <c r="W81" s="71"/>
      <c r="X81" s="43"/>
      <c r="Y81" s="43"/>
      <c r="Z81" s="41" t="s">
        <v>904</v>
      </c>
      <c r="AA81" s="41" t="s">
        <v>904</v>
      </c>
      <c r="AB81" s="41"/>
      <c r="AC81" s="69"/>
      <c r="AD81" s="44"/>
    </row>
    <row r="82" spans="3:28" ht="20.100000000000001" customHeight="1" x14ac:dyDescent="0.25">
      <c r="C82" s="57" t="s">
        <v>904</v>
      </c>
      <c r="D82" s="57" t="s">
        <v>904</v>
      </c>
      <c r="E82" s="41" t="s">
        <v>904</v>
      </c>
      <c r="F82" s="41" t="s">
        <v>904</v>
      </c>
      <c r="G82" s="41" t="s">
        <v>904</v>
      </c>
      <c r="H82" s="41" t="s">
        <v>904</v>
      </c>
      <c r="I82" s="41" t="s">
        <v>904</v>
      </c>
      <c r="J82" s="41" t="s">
        <v>904</v>
      </c>
      <c r="K82" s="41" t="s">
        <v>904</v>
      </c>
      <c r="L82" s="41" t="s">
        <v>904</v>
      </c>
      <c r="M82" s="60"/>
      <c r="N82" s="41" t="s">
        <v>904</v>
      </c>
      <c r="O82" s="60"/>
      <c r="P82" s="41" t="s">
        <v>904</v>
      </c>
      <c r="Q82" s="69"/>
      <c r="R82" s="69"/>
      <c r="S82" s="69"/>
      <c r="T82" s="69"/>
      <c r="U82" s="70"/>
      <c r="V82" s="70"/>
      <c r="W82" s="71"/>
      <c r="X82" s="43"/>
      <c r="Y82" s="43"/>
      <c r="Z82" s="41" t="s">
        <v>904</v>
      </c>
      <c r="AA82" s="41" t="s">
        <v>904</v>
      </c>
      <c r="AB82" s="41"/>
      <c r="AC82" s="69"/>
      <c r="AD82" s="44"/>
    </row>
    <row r="83" spans="3:28" ht="20.100000000000001" customHeight="1" x14ac:dyDescent="0.25">
      <c r="C83" s="57" t="s">
        <v>904</v>
      </c>
      <c r="D83" s="57" t="s">
        <v>904</v>
      </c>
      <c r="E83" s="41" t="s">
        <v>904</v>
      </c>
      <c r="F83" s="41" t="s">
        <v>904</v>
      </c>
      <c r="G83" s="41" t="s">
        <v>904</v>
      </c>
      <c r="H83" s="41" t="s">
        <v>904</v>
      </c>
      <c r="I83" s="41" t="s">
        <v>904</v>
      </c>
      <c r="J83" s="41" t="s">
        <v>904</v>
      </c>
      <c r="K83" s="41" t="s">
        <v>904</v>
      </c>
      <c r="L83" s="41" t="s">
        <v>904</v>
      </c>
      <c r="M83" s="60"/>
      <c r="N83" s="41" t="s">
        <v>904</v>
      </c>
      <c r="O83" s="60"/>
      <c r="P83" s="41" t="s">
        <v>904</v>
      </c>
      <c r="Q83" s="69"/>
      <c r="R83" s="69"/>
      <c r="S83" s="69"/>
      <c r="T83" s="69"/>
      <c r="U83" s="70"/>
      <c r="V83" s="70"/>
      <c r="W83" s="71"/>
      <c r="X83" s="43"/>
      <c r="Y83" s="43"/>
      <c r="Z83" s="41" t="s">
        <v>904</v>
      </c>
      <c r="AA83" s="41" t="s">
        <v>904</v>
      </c>
      <c r="AB83" s="41"/>
      <c r="AC83" s="69"/>
      <c r="AD83" s="44"/>
    </row>
    <row r="84" spans="3:28" ht="20.100000000000001" customHeight="1" x14ac:dyDescent="0.25">
      <c r="C84" s="57" t="s">
        <v>904</v>
      </c>
      <c r="D84" s="57" t="s">
        <v>904</v>
      </c>
      <c r="E84" s="41" t="s">
        <v>904</v>
      </c>
      <c r="F84" s="41" t="s">
        <v>904</v>
      </c>
      <c r="G84" s="41" t="s">
        <v>904</v>
      </c>
      <c r="H84" s="41" t="s">
        <v>904</v>
      </c>
      <c r="I84" s="41" t="s">
        <v>904</v>
      </c>
      <c r="J84" s="41" t="s">
        <v>904</v>
      </c>
      <c r="K84" s="41" t="s">
        <v>904</v>
      </c>
      <c r="L84" s="41" t="s">
        <v>904</v>
      </c>
      <c r="M84" s="60"/>
      <c r="N84" s="41" t="s">
        <v>904</v>
      </c>
      <c r="O84" s="60"/>
      <c r="P84" s="41" t="s">
        <v>904</v>
      </c>
      <c r="Q84" s="69"/>
      <c r="R84" s="69"/>
      <c r="S84" s="69"/>
      <c r="T84" s="69"/>
      <c r="U84" s="70"/>
      <c r="V84" s="70"/>
      <c r="W84" s="71"/>
      <c r="X84" s="43"/>
      <c r="Y84" s="43"/>
      <c r="Z84" s="41" t="s">
        <v>904</v>
      </c>
      <c r="AA84" s="41" t="s">
        <v>904</v>
      </c>
      <c r="AB84" s="41"/>
      <c r="AC84" s="69"/>
      <c r="AD84" s="44"/>
    </row>
    <row r="85" spans="3:28" ht="20.100000000000001" customHeight="1" x14ac:dyDescent="0.25">
      <c r="C85" s="57" t="s">
        <v>904</v>
      </c>
      <c r="D85" s="57" t="s">
        <v>904</v>
      </c>
      <c r="E85" s="41" t="s">
        <v>904</v>
      </c>
      <c r="F85" s="41" t="s">
        <v>904</v>
      </c>
      <c r="G85" s="41" t="s">
        <v>904</v>
      </c>
      <c r="H85" s="41" t="s">
        <v>904</v>
      </c>
      <c r="I85" s="41" t="s">
        <v>904</v>
      </c>
      <c r="J85" s="41" t="s">
        <v>904</v>
      </c>
      <c r="K85" s="41" t="s">
        <v>904</v>
      </c>
      <c r="L85" s="41" t="s">
        <v>904</v>
      </c>
      <c r="M85" s="60"/>
      <c r="N85" s="41" t="s">
        <v>904</v>
      </c>
      <c r="O85" s="60"/>
      <c r="P85" s="41" t="s">
        <v>904</v>
      </c>
      <c r="Q85" s="69"/>
      <c r="R85" s="69"/>
      <c r="S85" s="69"/>
      <c r="T85" s="69"/>
      <c r="U85" s="70"/>
      <c r="V85" s="70"/>
      <c r="W85" s="71"/>
      <c r="X85" s="43"/>
      <c r="Y85" s="43"/>
      <c r="Z85" s="41" t="s">
        <v>904</v>
      </c>
      <c r="AA85" s="41" t="s">
        <v>904</v>
      </c>
      <c r="AB85" s="41"/>
      <c r="AC85" s="69"/>
      <c r="AD85" s="44"/>
    </row>
    <row r="86" spans="3:28" ht="20.100000000000001" customHeight="1" x14ac:dyDescent="0.25">
      <c r="C86" s="57" t="s">
        <v>904</v>
      </c>
      <c r="D86" s="57" t="s">
        <v>904</v>
      </c>
      <c r="E86" s="41" t="s">
        <v>904</v>
      </c>
      <c r="F86" s="41" t="s">
        <v>904</v>
      </c>
      <c r="G86" s="41" t="s">
        <v>904</v>
      </c>
      <c r="H86" s="41" t="s">
        <v>904</v>
      </c>
      <c r="I86" s="41" t="s">
        <v>904</v>
      </c>
      <c r="J86" s="41" t="s">
        <v>904</v>
      </c>
      <c r="K86" s="41" t="s">
        <v>904</v>
      </c>
      <c r="L86" s="41" t="s">
        <v>904</v>
      </c>
      <c r="M86" s="60"/>
      <c r="N86" s="41" t="s">
        <v>904</v>
      </c>
      <c r="O86" s="60"/>
      <c r="P86" s="41" t="s">
        <v>904</v>
      </c>
      <c r="Q86" s="69"/>
      <c r="R86" s="69"/>
      <c r="S86" s="69"/>
      <c r="T86" s="69"/>
      <c r="U86" s="70"/>
      <c r="V86" s="70"/>
      <c r="W86" s="71"/>
      <c r="X86" s="43"/>
      <c r="Y86" s="43"/>
      <c r="Z86" s="41" t="s">
        <v>904</v>
      </c>
      <c r="AA86" s="41" t="s">
        <v>904</v>
      </c>
      <c r="AB86" s="41"/>
      <c r="AC86" s="69"/>
      <c r="AD86" s="44"/>
    </row>
    <row r="87" spans="3:28" ht="20.100000000000001" customHeight="1" x14ac:dyDescent="0.25">
      <c r="C87" s="57" t="s">
        <v>904</v>
      </c>
      <c r="D87" s="57" t="s">
        <v>904</v>
      </c>
      <c r="E87" s="41" t="s">
        <v>904</v>
      </c>
      <c r="F87" s="41" t="s">
        <v>904</v>
      </c>
      <c r="G87" s="41" t="s">
        <v>904</v>
      </c>
      <c r="H87" s="41" t="s">
        <v>904</v>
      </c>
      <c r="I87" s="41" t="s">
        <v>904</v>
      </c>
      <c r="J87" s="41" t="s">
        <v>904</v>
      </c>
      <c r="K87" s="41" t="s">
        <v>904</v>
      </c>
      <c r="L87" s="41" t="s">
        <v>904</v>
      </c>
      <c r="M87" s="60"/>
      <c r="N87" s="41" t="s">
        <v>904</v>
      </c>
      <c r="O87" s="60"/>
      <c r="P87" s="41" t="s">
        <v>904</v>
      </c>
      <c r="Q87" s="69"/>
      <c r="R87" s="69"/>
      <c r="S87" s="69"/>
      <c r="T87" s="69"/>
      <c r="U87" s="70"/>
      <c r="V87" s="70"/>
      <c r="W87" s="71"/>
      <c r="X87" s="43"/>
      <c r="Y87" s="43"/>
      <c r="Z87" s="41" t="s">
        <v>904</v>
      </c>
      <c r="AA87" s="41" t="s">
        <v>904</v>
      </c>
      <c r="AB87" s="41"/>
      <c r="AC87" s="69"/>
      <c r="AD87" s="44"/>
    </row>
    <row r="88" spans="3:28" ht="20.100000000000001" customHeight="1" x14ac:dyDescent="0.25">
      <c r="C88" s="57" t="s">
        <v>904</v>
      </c>
      <c r="D88" s="57" t="s">
        <v>904</v>
      </c>
      <c r="E88" s="41" t="s">
        <v>904</v>
      </c>
      <c r="F88" s="41" t="s">
        <v>904</v>
      </c>
      <c r="G88" s="41" t="s">
        <v>904</v>
      </c>
      <c r="H88" s="41" t="s">
        <v>904</v>
      </c>
      <c r="I88" s="41" t="s">
        <v>904</v>
      </c>
      <c r="J88" s="41" t="s">
        <v>904</v>
      </c>
      <c r="K88" s="41" t="s">
        <v>904</v>
      </c>
      <c r="L88" s="41" t="s">
        <v>904</v>
      </c>
      <c r="M88" s="60"/>
      <c r="N88" s="41" t="s">
        <v>904</v>
      </c>
      <c r="O88" s="60"/>
      <c r="P88" s="41" t="s">
        <v>904</v>
      </c>
      <c r="Q88" s="69"/>
      <c r="R88" s="69"/>
      <c r="S88" s="69"/>
      <c r="T88" s="69"/>
      <c r="U88" s="70"/>
      <c r="V88" s="70"/>
      <c r="W88" s="71"/>
      <c r="X88" s="43"/>
      <c r="Y88" s="43"/>
      <c r="Z88" s="41" t="s">
        <v>904</v>
      </c>
      <c r="AA88" s="41" t="s">
        <v>904</v>
      </c>
      <c r="AB88" s="41"/>
      <c r="AC88" s="69"/>
      <c r="AD88" s="44"/>
    </row>
    <row r="89" spans="3:28" ht="20.100000000000001" customHeight="1" x14ac:dyDescent="0.25">
      <c r="C89" s="57" t="s">
        <v>904</v>
      </c>
      <c r="D89" s="57" t="s">
        <v>904</v>
      </c>
      <c r="E89" s="41" t="s">
        <v>904</v>
      </c>
      <c r="F89" s="41" t="s">
        <v>904</v>
      </c>
      <c r="G89" s="41" t="s">
        <v>904</v>
      </c>
      <c r="H89" s="41" t="s">
        <v>904</v>
      </c>
      <c r="I89" s="41" t="s">
        <v>904</v>
      </c>
      <c r="J89" s="41" t="s">
        <v>904</v>
      </c>
      <c r="K89" s="41" t="s">
        <v>904</v>
      </c>
      <c r="L89" s="41" t="s">
        <v>904</v>
      </c>
      <c r="M89" s="60"/>
      <c r="N89" s="41" t="s">
        <v>904</v>
      </c>
      <c r="O89" s="60"/>
      <c r="P89" s="41" t="s">
        <v>904</v>
      </c>
      <c r="Q89" s="69"/>
      <c r="R89" s="69"/>
      <c r="S89" s="69"/>
      <c r="T89" s="69"/>
      <c r="U89" s="70"/>
      <c r="V89" s="70"/>
      <c r="W89" s="71"/>
      <c r="X89" s="43"/>
      <c r="Y89" s="43"/>
      <c r="Z89" s="41" t="s">
        <v>904</v>
      </c>
      <c r="AA89" s="41" t="s">
        <v>904</v>
      </c>
      <c r="AB89" s="41"/>
      <c r="AC89" s="69"/>
      <c r="AD89" s="44"/>
    </row>
    <row r="90" spans="3:28" ht="20.100000000000001" customHeight="1" x14ac:dyDescent="0.25">
      <c r="C90" s="57" t="s">
        <v>904</v>
      </c>
      <c r="D90" s="57" t="s">
        <v>904</v>
      </c>
      <c r="E90" s="41" t="s">
        <v>904</v>
      </c>
      <c r="F90" s="41" t="s">
        <v>904</v>
      </c>
      <c r="G90" s="41" t="s">
        <v>904</v>
      </c>
      <c r="H90" s="41" t="s">
        <v>904</v>
      </c>
      <c r="I90" s="41" t="s">
        <v>904</v>
      </c>
      <c r="J90" s="41" t="s">
        <v>904</v>
      </c>
      <c r="K90" s="41" t="s">
        <v>904</v>
      </c>
      <c r="L90" s="41" t="s">
        <v>904</v>
      </c>
      <c r="M90" s="60"/>
      <c r="N90" s="41" t="s">
        <v>904</v>
      </c>
      <c r="O90" s="60"/>
      <c r="P90" s="41" t="s">
        <v>904</v>
      </c>
      <c r="Q90" s="69"/>
      <c r="R90" s="69"/>
      <c r="S90" s="69"/>
      <c r="T90" s="69"/>
      <c r="U90" s="70"/>
      <c r="V90" s="70"/>
      <c r="W90" s="71"/>
      <c r="X90" s="43"/>
      <c r="Y90" s="43"/>
      <c r="Z90" s="41" t="s">
        <v>904</v>
      </c>
      <c r="AA90" s="41" t="s">
        <v>904</v>
      </c>
      <c r="AB90" s="41"/>
      <c r="AC90" s="69"/>
      <c r="AD90" s="44"/>
    </row>
    <row r="91" spans="3:28" ht="20.100000000000001" customHeight="1" x14ac:dyDescent="0.25">
      <c r="C91" s="57" t="s">
        <v>904</v>
      </c>
      <c r="D91" s="57" t="s">
        <v>904</v>
      </c>
      <c r="E91" s="41" t="s">
        <v>904</v>
      </c>
      <c r="F91" s="41" t="s">
        <v>904</v>
      </c>
      <c r="G91" s="41" t="s">
        <v>904</v>
      </c>
      <c r="H91" s="41" t="s">
        <v>904</v>
      </c>
      <c r="I91" s="41" t="s">
        <v>904</v>
      </c>
      <c r="J91" s="41" t="s">
        <v>904</v>
      </c>
      <c r="K91" s="41" t="s">
        <v>904</v>
      </c>
      <c r="L91" s="41" t="s">
        <v>904</v>
      </c>
      <c r="M91" s="60"/>
      <c r="N91" s="41" t="s">
        <v>904</v>
      </c>
      <c r="O91" s="60"/>
      <c r="P91" s="41" t="s">
        <v>904</v>
      </c>
      <c r="Q91" s="69"/>
      <c r="R91" s="69"/>
      <c r="S91" s="69"/>
      <c r="T91" s="69"/>
      <c r="U91" s="70"/>
      <c r="V91" s="70"/>
      <c r="W91" s="71"/>
      <c r="X91" s="43"/>
      <c r="Y91" s="43"/>
      <c r="Z91" s="41" t="s">
        <v>904</v>
      </c>
      <c r="AA91" s="41" t="s">
        <v>904</v>
      </c>
      <c r="AB91" s="41"/>
      <c r="AC91" s="69"/>
      <c r="AD91" s="44"/>
    </row>
    <row r="92" spans="3:28" ht="20.100000000000001" customHeight="1" x14ac:dyDescent="0.25">
      <c r="C92" s="57" t="s">
        <v>904</v>
      </c>
      <c r="D92" s="57" t="s">
        <v>904</v>
      </c>
      <c r="E92" s="41" t="s">
        <v>904</v>
      </c>
      <c r="F92" s="41" t="s">
        <v>904</v>
      </c>
      <c r="G92" s="41" t="s">
        <v>904</v>
      </c>
      <c r="H92" s="41" t="s">
        <v>904</v>
      </c>
      <c r="I92" s="41" t="s">
        <v>904</v>
      </c>
      <c r="J92" s="41" t="s">
        <v>904</v>
      </c>
      <c r="K92" s="41" t="s">
        <v>904</v>
      </c>
      <c r="L92" s="41" t="s">
        <v>904</v>
      </c>
      <c r="M92" s="60"/>
      <c r="N92" s="41" t="s">
        <v>904</v>
      </c>
      <c r="O92" s="60"/>
      <c r="P92" s="41" t="s">
        <v>904</v>
      </c>
      <c r="Q92" s="69"/>
      <c r="R92" s="69"/>
      <c r="S92" s="69"/>
      <c r="T92" s="69"/>
      <c r="U92" s="70"/>
      <c r="V92" s="70"/>
      <c r="W92" s="71"/>
      <c r="X92" s="43"/>
      <c r="Y92" s="43"/>
      <c r="Z92" s="41" t="s">
        <v>904</v>
      </c>
      <c r="AA92" s="41" t="s">
        <v>904</v>
      </c>
      <c r="AB92" s="41"/>
      <c r="AC92" s="69"/>
      <c r="AD92" s="44"/>
    </row>
    <row r="93" spans="3:28" ht="20.100000000000001" customHeight="1" x14ac:dyDescent="0.25">
      <c r="C93" s="57" t="s">
        <v>904</v>
      </c>
      <c r="D93" s="57" t="s">
        <v>904</v>
      </c>
      <c r="E93" s="41" t="s">
        <v>904</v>
      </c>
      <c r="F93" s="41" t="s">
        <v>904</v>
      </c>
      <c r="G93" s="41" t="s">
        <v>904</v>
      </c>
      <c r="H93" s="41" t="s">
        <v>904</v>
      </c>
      <c r="I93" s="41" t="s">
        <v>904</v>
      </c>
      <c r="J93" s="41" t="s">
        <v>904</v>
      </c>
      <c r="K93" s="41" t="s">
        <v>904</v>
      </c>
      <c r="L93" s="41" t="s">
        <v>904</v>
      </c>
      <c r="M93" s="60"/>
      <c r="N93" s="41" t="s">
        <v>904</v>
      </c>
      <c r="O93" s="60"/>
      <c r="P93" s="41" t="s">
        <v>904</v>
      </c>
      <c r="Q93" s="69"/>
      <c r="R93" s="69"/>
      <c r="S93" s="69"/>
      <c r="T93" s="69"/>
      <c r="U93" s="70"/>
      <c r="V93" s="70"/>
      <c r="W93" s="71"/>
      <c r="X93" s="43"/>
      <c r="Y93" s="43"/>
      <c r="Z93" s="41" t="s">
        <v>904</v>
      </c>
      <c r="AA93" s="41" t="s">
        <v>904</v>
      </c>
      <c r="AB93" s="41"/>
      <c r="AC93" s="69"/>
      <c r="AD93" s="44"/>
    </row>
    <row r="94" spans="3:28" ht="20.100000000000001" customHeight="1" x14ac:dyDescent="0.25">
      <c r="C94" s="57" t="s">
        <v>904</v>
      </c>
      <c r="D94" s="57" t="s">
        <v>904</v>
      </c>
      <c r="E94" s="41" t="s">
        <v>904</v>
      </c>
      <c r="F94" s="41" t="s">
        <v>904</v>
      </c>
      <c r="G94" s="41" t="s">
        <v>904</v>
      </c>
      <c r="H94" s="41" t="s">
        <v>904</v>
      </c>
      <c r="I94" s="41" t="s">
        <v>904</v>
      </c>
      <c r="J94" s="41" t="s">
        <v>904</v>
      </c>
      <c r="K94" s="41" t="s">
        <v>904</v>
      </c>
      <c r="L94" s="41" t="s">
        <v>904</v>
      </c>
      <c r="M94" s="60"/>
      <c r="N94" s="41" t="s">
        <v>904</v>
      </c>
      <c r="O94" s="60"/>
      <c r="P94" s="41" t="s">
        <v>904</v>
      </c>
      <c r="Q94" s="69"/>
      <c r="R94" s="69"/>
      <c r="S94" s="69"/>
      <c r="T94" s="69"/>
      <c r="U94" s="70"/>
      <c r="V94" s="70"/>
      <c r="W94" s="71"/>
      <c r="X94" s="43"/>
      <c r="Y94" s="43"/>
      <c r="Z94" s="41" t="s">
        <v>904</v>
      </c>
      <c r="AA94" s="41" t="s">
        <v>904</v>
      </c>
      <c r="AB94" s="41"/>
      <c r="AC94" s="69"/>
      <c r="AD94" s="44"/>
    </row>
    <row r="95" spans="3:28" ht="20.100000000000001" customHeight="1" x14ac:dyDescent="0.25">
      <c r="C95" s="57" t="s">
        <v>904</v>
      </c>
      <c r="D95" s="57" t="s">
        <v>904</v>
      </c>
      <c r="E95" s="41" t="s">
        <v>904</v>
      </c>
      <c r="F95" s="41" t="s">
        <v>904</v>
      </c>
      <c r="G95" s="41" t="s">
        <v>904</v>
      </c>
      <c r="H95" s="41" t="s">
        <v>904</v>
      </c>
      <c r="I95" s="41" t="s">
        <v>904</v>
      </c>
      <c r="J95" s="41" t="s">
        <v>904</v>
      </c>
      <c r="K95" s="41" t="s">
        <v>904</v>
      </c>
      <c r="L95" s="41" t="s">
        <v>904</v>
      </c>
      <c r="M95" s="60"/>
      <c r="N95" s="41" t="s">
        <v>904</v>
      </c>
      <c r="O95" s="60"/>
      <c r="P95" s="41" t="s">
        <v>904</v>
      </c>
      <c r="Q95" s="69"/>
      <c r="R95" s="69"/>
      <c r="S95" s="69"/>
      <c r="T95" s="69"/>
      <c r="U95" s="70"/>
      <c r="V95" s="70"/>
      <c r="W95" s="71"/>
      <c r="X95" s="43"/>
      <c r="Y95" s="43"/>
      <c r="Z95" s="41" t="s">
        <v>904</v>
      </c>
      <c r="AA95" s="41" t="s">
        <v>904</v>
      </c>
      <c r="AB95" s="41"/>
      <c r="AC95" s="69"/>
      <c r="AD95" s="44"/>
    </row>
    <row r="96" spans="3:28" ht="20.100000000000001" customHeight="1" x14ac:dyDescent="0.25">
      <c r="C96" s="57" t="s">
        <v>904</v>
      </c>
      <c r="D96" s="57" t="s">
        <v>904</v>
      </c>
      <c r="E96" s="41" t="s">
        <v>904</v>
      </c>
      <c r="F96" s="41" t="s">
        <v>904</v>
      </c>
      <c r="G96" s="41" t="s">
        <v>904</v>
      </c>
      <c r="H96" s="41" t="s">
        <v>904</v>
      </c>
      <c r="I96" s="41" t="s">
        <v>904</v>
      </c>
      <c r="J96" s="41" t="s">
        <v>904</v>
      </c>
      <c r="K96" s="41" t="s">
        <v>904</v>
      </c>
      <c r="L96" s="41" t="s">
        <v>904</v>
      </c>
      <c r="M96" s="60"/>
      <c r="N96" s="41" t="s">
        <v>904</v>
      </c>
      <c r="O96" s="60"/>
      <c r="P96" s="41" t="s">
        <v>904</v>
      </c>
      <c r="Q96" s="69"/>
      <c r="R96" s="69"/>
      <c r="S96" s="69"/>
      <c r="T96" s="69"/>
      <c r="U96" s="70"/>
      <c r="V96" s="70"/>
      <c r="W96" s="71"/>
      <c r="X96" s="43"/>
      <c r="Y96" s="43"/>
      <c r="Z96" s="41" t="s">
        <v>904</v>
      </c>
      <c r="AA96" s="41" t="s">
        <v>904</v>
      </c>
      <c r="AB96" s="41"/>
      <c r="AC96" s="69"/>
      <c r="AD96" s="44"/>
    </row>
    <row r="97" spans="3:28" ht="20.100000000000001" customHeight="1" x14ac:dyDescent="0.25">
      <c r="C97" s="57" t="s">
        <v>904</v>
      </c>
      <c r="D97" s="57" t="s">
        <v>904</v>
      </c>
      <c r="E97" s="41" t="s">
        <v>904</v>
      </c>
      <c r="F97" s="41" t="s">
        <v>904</v>
      </c>
      <c r="G97" s="41" t="s">
        <v>904</v>
      </c>
      <c r="H97" s="41" t="s">
        <v>904</v>
      </c>
      <c r="I97" s="41" t="s">
        <v>904</v>
      </c>
      <c r="J97" s="41" t="s">
        <v>904</v>
      </c>
      <c r="K97" s="41" t="s">
        <v>904</v>
      </c>
      <c r="L97" s="41" t="s">
        <v>904</v>
      </c>
      <c r="M97" s="60"/>
      <c r="N97" s="41" t="s">
        <v>904</v>
      </c>
      <c r="O97" s="60"/>
      <c r="P97" s="41" t="s">
        <v>904</v>
      </c>
      <c r="Q97" s="69"/>
      <c r="R97" s="69"/>
      <c r="S97" s="69"/>
      <c r="T97" s="69"/>
      <c r="U97" s="70"/>
      <c r="V97" s="70"/>
      <c r="W97" s="71"/>
      <c r="X97" s="43"/>
      <c r="Y97" s="43"/>
      <c r="Z97" s="41" t="s">
        <v>904</v>
      </c>
      <c r="AA97" s="41" t="s">
        <v>904</v>
      </c>
      <c r="AB97" s="41"/>
      <c r="AC97" s="69"/>
      <c r="AD97" s="44"/>
    </row>
    <row r="98" spans="3:28" ht="20.100000000000001" customHeight="1" x14ac:dyDescent="0.25">
      <c r="C98" s="57" t="s">
        <v>904</v>
      </c>
      <c r="D98" s="57" t="s">
        <v>904</v>
      </c>
      <c r="E98" s="41" t="s">
        <v>904</v>
      </c>
      <c r="F98" s="41" t="s">
        <v>904</v>
      </c>
      <c r="G98" s="41" t="s">
        <v>904</v>
      </c>
      <c r="H98" s="41" t="s">
        <v>904</v>
      </c>
      <c r="I98" s="41" t="s">
        <v>904</v>
      </c>
      <c r="J98" s="41" t="s">
        <v>904</v>
      </c>
      <c r="K98" s="41" t="s">
        <v>904</v>
      </c>
      <c r="L98" s="41" t="s">
        <v>904</v>
      </c>
      <c r="M98" s="60"/>
      <c r="N98" s="41" t="s">
        <v>904</v>
      </c>
      <c r="O98" s="60"/>
      <c r="P98" s="41" t="s">
        <v>904</v>
      </c>
      <c r="Q98" s="69"/>
      <c r="R98" s="69"/>
      <c r="S98" s="69"/>
      <c r="T98" s="69"/>
      <c r="U98" s="70"/>
      <c r="V98" s="70"/>
      <c r="W98" s="71"/>
      <c r="X98" s="43"/>
      <c r="Y98" s="43"/>
      <c r="Z98" s="41" t="s">
        <v>904</v>
      </c>
      <c r="AA98" s="41" t="s">
        <v>904</v>
      </c>
      <c r="AB98" s="41"/>
      <c r="AC98" s="69"/>
      <c r="AD98" s="44"/>
    </row>
    <row r="99" spans="3:28" ht="20.100000000000001" customHeight="1" x14ac:dyDescent="0.25">
      <c r="C99" s="57" t="s">
        <v>904</v>
      </c>
      <c r="D99" s="57" t="s">
        <v>904</v>
      </c>
      <c r="E99" s="41" t="s">
        <v>904</v>
      </c>
      <c r="F99" s="41" t="s">
        <v>904</v>
      </c>
      <c r="G99" s="41" t="s">
        <v>904</v>
      </c>
      <c r="H99" s="41" t="s">
        <v>904</v>
      </c>
      <c r="I99" s="41" t="s">
        <v>904</v>
      </c>
      <c r="J99" s="41" t="s">
        <v>904</v>
      </c>
      <c r="K99" s="41" t="s">
        <v>904</v>
      </c>
      <c r="L99" s="41" t="s">
        <v>904</v>
      </c>
      <c r="M99" s="60"/>
      <c r="N99" s="41" t="s">
        <v>904</v>
      </c>
      <c r="O99" s="60"/>
      <c r="P99" s="41" t="s">
        <v>904</v>
      </c>
      <c r="Q99" s="69"/>
      <c r="R99" s="69"/>
      <c r="S99" s="69"/>
      <c r="T99" s="69"/>
      <c r="U99" s="70"/>
      <c r="V99" s="70"/>
      <c r="W99" s="71"/>
      <c r="X99" s="43"/>
      <c r="Y99" s="43"/>
      <c r="Z99" s="41" t="s">
        <v>904</v>
      </c>
      <c r="AA99" s="41" t="s">
        <v>904</v>
      </c>
      <c r="AB99" s="41"/>
      <c r="AC99" s="69"/>
      <c r="AD99" s="44"/>
    </row>
    <row r="100" spans="3:28" ht="20.100000000000001" customHeight="1" x14ac:dyDescent="0.25">
      <c r="C100" s="57" t="s">
        <v>904</v>
      </c>
      <c r="D100" s="57" t="s">
        <v>904</v>
      </c>
      <c r="E100" s="41" t="s">
        <v>904</v>
      </c>
      <c r="F100" s="41" t="s">
        <v>904</v>
      </c>
      <c r="G100" s="41" t="s">
        <v>904</v>
      </c>
      <c r="H100" s="41" t="s">
        <v>904</v>
      </c>
      <c r="I100" s="41" t="s">
        <v>904</v>
      </c>
      <c r="J100" s="41" t="s">
        <v>904</v>
      </c>
      <c r="K100" s="41" t="s">
        <v>904</v>
      </c>
      <c r="L100" s="41" t="s">
        <v>904</v>
      </c>
      <c r="M100" s="60"/>
      <c r="N100" s="41" t="s">
        <v>904</v>
      </c>
      <c r="O100" s="60"/>
      <c r="P100" s="41" t="s">
        <v>904</v>
      </c>
      <c r="Q100" s="69"/>
      <c r="R100" s="69"/>
      <c r="S100" s="69"/>
      <c r="T100" s="69"/>
      <c r="U100" s="70"/>
      <c r="V100" s="70"/>
      <c r="W100" s="71"/>
      <c r="X100" s="43"/>
      <c r="Y100" s="43"/>
      <c r="Z100" s="41" t="s">
        <v>904</v>
      </c>
      <c r="AA100" s="41" t="s">
        <v>904</v>
      </c>
      <c r="AB100" s="41"/>
      <c r="AC100" s="69"/>
      <c r="AD100" s="44"/>
    </row>
    <row r="101" spans="3:28" ht="20.100000000000001" customHeight="1" x14ac:dyDescent="0.25">
      <c r="C101" s="57" t="s">
        <v>904</v>
      </c>
      <c r="D101" s="57" t="s">
        <v>904</v>
      </c>
      <c r="E101" s="41" t="s">
        <v>904</v>
      </c>
      <c r="F101" s="41" t="s">
        <v>904</v>
      </c>
      <c r="G101" s="41" t="s">
        <v>904</v>
      </c>
      <c r="H101" s="41" t="s">
        <v>904</v>
      </c>
      <c r="I101" s="41" t="s">
        <v>904</v>
      </c>
      <c r="J101" s="41" t="s">
        <v>904</v>
      </c>
      <c r="K101" s="41" t="s">
        <v>904</v>
      </c>
      <c r="L101" s="41" t="s">
        <v>904</v>
      </c>
      <c r="M101" s="60"/>
      <c r="N101" s="41" t="s">
        <v>904</v>
      </c>
      <c r="O101" s="60"/>
      <c r="P101" s="41" t="s">
        <v>904</v>
      </c>
      <c r="Q101" s="69"/>
      <c r="R101" s="69"/>
      <c r="S101" s="69"/>
      <c r="T101" s="69"/>
      <c r="U101" s="70"/>
      <c r="V101" s="70"/>
      <c r="W101" s="71"/>
      <c r="X101" s="43"/>
      <c r="Y101" s="43"/>
      <c r="Z101" s="41" t="s">
        <v>904</v>
      </c>
      <c r="AA101" s="41" t="s">
        <v>904</v>
      </c>
      <c r="AB101" s="41"/>
      <c r="AC101" s="69"/>
      <c r="AD101" s="44"/>
    </row>
    <row r="102" spans="3:28" ht="20.100000000000001" customHeight="1" x14ac:dyDescent="0.25">
      <c r="C102" s="57" t="s">
        <v>904</v>
      </c>
      <c r="D102" s="57" t="s">
        <v>904</v>
      </c>
      <c r="E102" s="41" t="s">
        <v>904</v>
      </c>
      <c r="F102" s="41" t="s">
        <v>904</v>
      </c>
      <c r="G102" s="41" t="s">
        <v>904</v>
      </c>
      <c r="H102" s="41" t="s">
        <v>904</v>
      </c>
      <c r="I102" s="41" t="s">
        <v>904</v>
      </c>
      <c r="J102" s="41" t="s">
        <v>904</v>
      </c>
      <c r="K102" s="41" t="s">
        <v>904</v>
      </c>
      <c r="L102" s="41" t="s">
        <v>904</v>
      </c>
      <c r="M102" s="60"/>
      <c r="N102" s="41" t="s">
        <v>904</v>
      </c>
      <c r="O102" s="60"/>
      <c r="P102" s="41" t="s">
        <v>904</v>
      </c>
      <c r="Q102" s="69"/>
      <c r="R102" s="69"/>
      <c r="S102" s="69"/>
      <c r="T102" s="69"/>
      <c r="U102" s="70"/>
      <c r="V102" s="70"/>
      <c r="W102" s="71"/>
      <c r="X102" s="43"/>
      <c r="Y102" s="43"/>
      <c r="Z102" s="41" t="s">
        <v>904</v>
      </c>
      <c r="AA102" s="41" t="s">
        <v>904</v>
      </c>
      <c r="AB102" s="41"/>
      <c r="AC102" s="69"/>
      <c r="AD102" s="44"/>
    </row>
    <row r="103" spans="3:28" ht="20.100000000000001" customHeight="1" x14ac:dyDescent="0.25">
      <c r="C103" s="57" t="s">
        <v>904</v>
      </c>
      <c r="D103" s="57" t="s">
        <v>904</v>
      </c>
      <c r="E103" s="41" t="s">
        <v>904</v>
      </c>
      <c r="F103" s="41" t="s">
        <v>904</v>
      </c>
      <c r="G103" s="41" t="s">
        <v>904</v>
      </c>
      <c r="H103" s="41" t="s">
        <v>904</v>
      </c>
      <c r="I103" s="41" t="s">
        <v>904</v>
      </c>
      <c r="J103" s="41" t="s">
        <v>904</v>
      </c>
      <c r="K103" s="41" t="s">
        <v>904</v>
      </c>
      <c r="L103" s="41" t="s">
        <v>904</v>
      </c>
      <c r="M103" s="60"/>
      <c r="N103" s="41" t="s">
        <v>904</v>
      </c>
      <c r="O103" s="60"/>
      <c r="P103" s="41" t="s">
        <v>904</v>
      </c>
      <c r="Q103" s="69"/>
      <c r="R103" s="69"/>
      <c r="S103" s="69"/>
      <c r="T103" s="69"/>
      <c r="U103" s="70"/>
      <c r="V103" s="70"/>
      <c r="W103" s="71"/>
      <c r="X103" s="43"/>
      <c r="Y103" s="43"/>
      <c r="Z103" s="41" t="s">
        <v>904</v>
      </c>
      <c r="AA103" s="41" t="s">
        <v>904</v>
      </c>
      <c r="AB103" s="41"/>
      <c r="AC103" s="69"/>
      <c r="AD103" s="44"/>
    </row>
    <row r="104" spans="3:28" ht="20.100000000000001" customHeight="1" x14ac:dyDescent="0.25">
      <c r="C104" s="57" t="s">
        <v>904</v>
      </c>
      <c r="D104" s="57" t="s">
        <v>904</v>
      </c>
      <c r="E104" s="41" t="s">
        <v>904</v>
      </c>
      <c r="F104" s="41" t="s">
        <v>904</v>
      </c>
      <c r="G104" s="41" t="s">
        <v>904</v>
      </c>
      <c r="H104" s="41" t="s">
        <v>904</v>
      </c>
      <c r="I104" s="41" t="s">
        <v>904</v>
      </c>
      <c r="J104" s="41" t="s">
        <v>904</v>
      </c>
      <c r="K104" s="41" t="s">
        <v>904</v>
      </c>
      <c r="L104" s="41" t="s">
        <v>904</v>
      </c>
      <c r="M104" s="60"/>
      <c r="N104" s="41" t="s">
        <v>904</v>
      </c>
      <c r="O104" s="60"/>
      <c r="P104" s="41" t="s">
        <v>904</v>
      </c>
      <c r="Q104" s="69"/>
      <c r="R104" s="69"/>
      <c r="S104" s="69"/>
      <c r="T104" s="69"/>
      <c r="U104" s="70"/>
      <c r="V104" s="70"/>
      <c r="W104" s="71"/>
      <c r="X104" s="43"/>
      <c r="Y104" s="43"/>
      <c r="Z104" s="41" t="s">
        <v>904</v>
      </c>
      <c r="AA104" s="41" t="s">
        <v>904</v>
      </c>
      <c r="AB104" s="41"/>
      <c r="AC104" s="69"/>
      <c r="AD104" s="44"/>
    </row>
    <row r="105" spans="3:28" ht="20.100000000000001" customHeight="1" x14ac:dyDescent="0.25">
      <c r="C105" s="57" t="s">
        <v>904</v>
      </c>
      <c r="D105" s="57" t="s">
        <v>904</v>
      </c>
      <c r="E105" s="41" t="s">
        <v>904</v>
      </c>
      <c r="F105" s="41" t="s">
        <v>904</v>
      </c>
      <c r="G105" s="41" t="s">
        <v>904</v>
      </c>
      <c r="H105" s="41" t="s">
        <v>904</v>
      </c>
      <c r="I105" s="41" t="s">
        <v>904</v>
      </c>
      <c r="J105" s="41" t="s">
        <v>904</v>
      </c>
      <c r="K105" s="41" t="s">
        <v>904</v>
      </c>
      <c r="L105" s="41" t="s">
        <v>904</v>
      </c>
      <c r="M105" s="60"/>
      <c r="N105" s="41" t="s">
        <v>904</v>
      </c>
      <c r="O105" s="60"/>
      <c r="P105" s="41" t="s">
        <v>904</v>
      </c>
      <c r="Q105" s="69"/>
      <c r="R105" s="69"/>
      <c r="S105" s="69"/>
      <c r="T105" s="69"/>
      <c r="U105" s="70"/>
      <c r="V105" s="70"/>
      <c r="W105" s="71"/>
      <c r="X105" s="43"/>
      <c r="Y105" s="43"/>
      <c r="Z105" s="41" t="s">
        <v>904</v>
      </c>
      <c r="AA105" s="41" t="s">
        <v>904</v>
      </c>
      <c r="AB105" s="41"/>
      <c r="AC105" s="69"/>
      <c r="AD105" s="44"/>
    </row>
    <row r="106" spans="3:28" ht="20.100000000000001" customHeight="1" x14ac:dyDescent="0.25">
      <c r="C106" s="57" t="s">
        <v>904</v>
      </c>
      <c r="D106" s="57" t="s">
        <v>904</v>
      </c>
      <c r="E106" s="41" t="s">
        <v>904</v>
      </c>
      <c r="F106" s="41" t="s">
        <v>904</v>
      </c>
      <c r="G106" s="41" t="s">
        <v>904</v>
      </c>
      <c r="H106" s="41" t="s">
        <v>904</v>
      </c>
      <c r="I106" s="41" t="s">
        <v>904</v>
      </c>
      <c r="J106" s="41" t="s">
        <v>904</v>
      </c>
      <c r="K106" s="41" t="s">
        <v>904</v>
      </c>
      <c r="L106" s="41" t="s">
        <v>904</v>
      </c>
      <c r="M106" s="60"/>
      <c r="N106" s="41" t="s">
        <v>904</v>
      </c>
      <c r="O106" s="60"/>
      <c r="P106" s="41" t="s">
        <v>904</v>
      </c>
      <c r="Q106" s="69"/>
      <c r="R106" s="69"/>
      <c r="S106" s="69"/>
      <c r="T106" s="69"/>
      <c r="U106" s="70"/>
      <c r="V106" s="70"/>
      <c r="W106" s="71"/>
      <c r="X106" s="43"/>
      <c r="Y106" s="43"/>
      <c r="Z106" s="41" t="s">
        <v>904</v>
      </c>
      <c r="AA106" s="41" t="s">
        <v>904</v>
      </c>
      <c r="AB106" s="41"/>
      <c r="AC106" s="69"/>
      <c r="AD106" s="44"/>
    </row>
    <row r="107" spans="3:28" ht="20.100000000000001" customHeight="1" x14ac:dyDescent="0.25">
      <c r="C107" s="57" t="s">
        <v>904</v>
      </c>
      <c r="D107" s="57" t="s">
        <v>904</v>
      </c>
      <c r="E107" s="41" t="s">
        <v>904</v>
      </c>
      <c r="F107" s="41" t="s">
        <v>904</v>
      </c>
      <c r="G107" s="41" t="s">
        <v>904</v>
      </c>
      <c r="H107" s="41" t="s">
        <v>904</v>
      </c>
      <c r="I107" s="41" t="s">
        <v>904</v>
      </c>
      <c r="J107" s="41" t="s">
        <v>904</v>
      </c>
      <c r="K107" s="41" t="s">
        <v>904</v>
      </c>
      <c r="L107" s="41" t="s">
        <v>904</v>
      </c>
      <c r="M107" s="60"/>
      <c r="N107" s="41" t="s">
        <v>904</v>
      </c>
      <c r="O107" s="60"/>
      <c r="P107" s="41" t="s">
        <v>904</v>
      </c>
      <c r="Q107" s="69"/>
      <c r="R107" s="69"/>
      <c r="S107" s="69"/>
      <c r="T107" s="69"/>
      <c r="U107" s="70"/>
      <c r="V107" s="70"/>
      <c r="W107" s="71"/>
      <c r="X107" s="43"/>
      <c r="Y107" s="43"/>
      <c r="Z107" s="41" t="s">
        <v>904</v>
      </c>
      <c r="AA107" s="41" t="s">
        <v>904</v>
      </c>
      <c r="AB107" s="41"/>
      <c r="AC107" s="69"/>
      <c r="AD107" s="44"/>
    </row>
    <row r="108" spans="3:28" ht="20.100000000000001" customHeight="1" x14ac:dyDescent="0.25">
      <c r="C108" s="57" t="s">
        <v>904</v>
      </c>
      <c r="D108" s="57" t="s">
        <v>904</v>
      </c>
      <c r="E108" s="41" t="s">
        <v>904</v>
      </c>
      <c r="F108" s="41" t="s">
        <v>904</v>
      </c>
      <c r="G108" s="41" t="s">
        <v>904</v>
      </c>
      <c r="H108" s="41" t="s">
        <v>904</v>
      </c>
      <c r="I108" s="41" t="s">
        <v>904</v>
      </c>
      <c r="J108" s="41" t="s">
        <v>904</v>
      </c>
      <c r="K108" s="41" t="s">
        <v>904</v>
      </c>
      <c r="L108" s="41" t="s">
        <v>904</v>
      </c>
      <c r="M108" s="60"/>
      <c r="N108" s="41" t="s">
        <v>904</v>
      </c>
      <c r="O108" s="60"/>
      <c r="P108" s="41" t="s">
        <v>904</v>
      </c>
      <c r="Q108" s="69"/>
      <c r="R108" s="69"/>
      <c r="S108" s="69"/>
      <c r="T108" s="69"/>
      <c r="U108" s="70"/>
      <c r="V108" s="70"/>
      <c r="W108" s="71"/>
      <c r="X108" s="43"/>
      <c r="Y108" s="43"/>
      <c r="Z108" s="41" t="s">
        <v>904</v>
      </c>
      <c r="AA108" s="41" t="s">
        <v>904</v>
      </c>
      <c r="AB108" s="41"/>
      <c r="AC108" s="69"/>
      <c r="AD108" s="44"/>
    </row>
    <row r="109" spans="3:28" ht="20.100000000000001" customHeight="1" x14ac:dyDescent="0.25">
      <c r="C109" s="57" t="s">
        <v>904</v>
      </c>
      <c r="D109" s="57" t="s">
        <v>904</v>
      </c>
      <c r="E109" s="41" t="s">
        <v>904</v>
      </c>
      <c r="F109" s="41" t="s">
        <v>904</v>
      </c>
      <c r="G109" s="41" t="s">
        <v>904</v>
      </c>
      <c r="H109" s="41" t="s">
        <v>904</v>
      </c>
      <c r="I109" s="41" t="s">
        <v>904</v>
      </c>
      <c r="J109" s="41" t="s">
        <v>904</v>
      </c>
      <c r="K109" s="41" t="s">
        <v>904</v>
      </c>
      <c r="L109" s="41" t="s">
        <v>904</v>
      </c>
      <c r="M109" s="60"/>
      <c r="N109" s="41" t="s">
        <v>904</v>
      </c>
      <c r="O109" s="60"/>
      <c r="P109" s="41" t="s">
        <v>904</v>
      </c>
      <c r="Q109" s="69"/>
      <c r="R109" s="69"/>
      <c r="S109" s="69"/>
      <c r="T109" s="69"/>
      <c r="U109" s="70"/>
      <c r="V109" s="70"/>
      <c r="W109" s="71"/>
      <c r="X109" s="43"/>
      <c r="Y109" s="43"/>
      <c r="Z109" s="41" t="s">
        <v>904</v>
      </c>
      <c r="AA109" s="41" t="s">
        <v>904</v>
      </c>
      <c r="AB109" s="41"/>
      <c r="AC109" s="69"/>
      <c r="AD109" s="44"/>
    </row>
    <row r="110" spans="3:28" ht="20.100000000000001" customHeight="1" x14ac:dyDescent="0.25">
      <c r="C110" s="57" t="s">
        <v>904</v>
      </c>
      <c r="D110" s="57" t="s">
        <v>904</v>
      </c>
      <c r="E110" s="41" t="s">
        <v>904</v>
      </c>
      <c r="F110" s="41" t="s">
        <v>904</v>
      </c>
      <c r="G110" s="41" t="s">
        <v>904</v>
      </c>
      <c r="H110" s="41" t="s">
        <v>904</v>
      </c>
      <c r="I110" s="41" t="s">
        <v>904</v>
      </c>
      <c r="J110" s="41" t="s">
        <v>904</v>
      </c>
      <c r="K110" s="41" t="s">
        <v>904</v>
      </c>
      <c r="L110" s="41" t="s">
        <v>904</v>
      </c>
      <c r="M110" s="60"/>
      <c r="N110" s="41" t="s">
        <v>904</v>
      </c>
      <c r="O110" s="60"/>
      <c r="P110" s="41" t="s">
        <v>904</v>
      </c>
      <c r="Q110" s="69"/>
      <c r="R110" s="69"/>
      <c r="S110" s="69"/>
      <c r="T110" s="69"/>
      <c r="U110" s="70"/>
      <c r="V110" s="70"/>
      <c r="W110" s="71"/>
      <c r="X110" s="43"/>
      <c r="Y110" s="43"/>
      <c r="Z110" s="41" t="s">
        <v>904</v>
      </c>
      <c r="AA110" s="41" t="s">
        <v>904</v>
      </c>
      <c r="AB110" s="41"/>
      <c r="AC110" s="69"/>
      <c r="AD110" s="44"/>
    </row>
    <row r="111" spans="3:28" ht="20.100000000000001" customHeight="1" x14ac:dyDescent="0.25">
      <c r="C111" s="57" t="s">
        <v>904</v>
      </c>
      <c r="D111" s="57" t="s">
        <v>904</v>
      </c>
      <c r="E111" s="41" t="s">
        <v>904</v>
      </c>
      <c r="F111" s="41" t="s">
        <v>904</v>
      </c>
      <c r="G111" s="41" t="s">
        <v>904</v>
      </c>
      <c r="H111" s="41" t="s">
        <v>904</v>
      </c>
      <c r="I111" s="41" t="s">
        <v>904</v>
      </c>
      <c r="J111" s="41" t="s">
        <v>904</v>
      </c>
      <c r="K111" s="41" t="s">
        <v>904</v>
      </c>
      <c r="L111" s="41" t="s">
        <v>904</v>
      </c>
      <c r="M111" s="60"/>
      <c r="N111" s="41" t="s">
        <v>904</v>
      </c>
      <c r="O111" s="60"/>
      <c r="P111" s="41" t="s">
        <v>904</v>
      </c>
      <c r="Q111" s="69"/>
      <c r="R111" s="69"/>
      <c r="S111" s="69"/>
      <c r="T111" s="69"/>
      <c r="U111" s="70"/>
      <c r="V111" s="70"/>
      <c r="W111" s="71"/>
      <c r="X111" s="43"/>
      <c r="Y111" s="43"/>
      <c r="Z111" s="41" t="s">
        <v>904</v>
      </c>
      <c r="AA111" s="41" t="s">
        <v>904</v>
      </c>
      <c r="AB111" s="41"/>
      <c r="AC111" s="69"/>
      <c r="AD111" s="44"/>
    </row>
    <row r="112" spans="3:28" ht="20.100000000000001" customHeight="1" x14ac:dyDescent="0.25">
      <c r="C112" s="57" t="s">
        <v>904</v>
      </c>
      <c r="D112" s="57" t="s">
        <v>904</v>
      </c>
      <c r="E112" s="41" t="s">
        <v>904</v>
      </c>
      <c r="F112" s="41" t="s">
        <v>904</v>
      </c>
      <c r="G112" s="41" t="s">
        <v>904</v>
      </c>
      <c r="H112" s="41" t="s">
        <v>904</v>
      </c>
      <c r="I112" s="41" t="s">
        <v>904</v>
      </c>
      <c r="J112" s="41" t="s">
        <v>904</v>
      </c>
      <c r="K112" s="41" t="s">
        <v>904</v>
      </c>
      <c r="L112" s="41" t="s">
        <v>904</v>
      </c>
      <c r="M112" s="60"/>
      <c r="N112" s="41" t="s">
        <v>904</v>
      </c>
      <c r="O112" s="60"/>
      <c r="P112" s="41" t="s">
        <v>904</v>
      </c>
      <c r="Q112" s="69"/>
      <c r="R112" s="69"/>
      <c r="S112" s="69"/>
      <c r="T112" s="69"/>
      <c r="U112" s="70"/>
      <c r="V112" s="70"/>
      <c r="W112" s="71"/>
      <c r="X112" s="43"/>
      <c r="Y112" s="43"/>
      <c r="Z112" s="41" t="s">
        <v>904</v>
      </c>
      <c r="AA112" s="41" t="s">
        <v>904</v>
      </c>
      <c r="AB112" s="41"/>
      <c r="AC112" s="69"/>
      <c r="AD112" s="44"/>
    </row>
    <row r="113" spans="3:28" ht="20.100000000000001" customHeight="1" x14ac:dyDescent="0.25">
      <c r="C113" s="57" t="s">
        <v>904</v>
      </c>
      <c r="D113" s="57" t="s">
        <v>904</v>
      </c>
      <c r="E113" s="41" t="s">
        <v>904</v>
      </c>
      <c r="F113" s="41" t="s">
        <v>904</v>
      </c>
      <c r="G113" s="41" t="s">
        <v>904</v>
      </c>
      <c r="H113" s="41" t="s">
        <v>904</v>
      </c>
      <c r="I113" s="41" t="s">
        <v>904</v>
      </c>
      <c r="J113" s="41" t="s">
        <v>904</v>
      </c>
      <c r="K113" s="41" t="s">
        <v>904</v>
      </c>
      <c r="L113" s="41" t="s">
        <v>904</v>
      </c>
      <c r="M113" s="60"/>
      <c r="N113" s="41" t="s">
        <v>904</v>
      </c>
      <c r="O113" s="60"/>
      <c r="P113" s="41" t="s">
        <v>904</v>
      </c>
      <c r="Q113" s="69"/>
      <c r="R113" s="69"/>
      <c r="S113" s="69"/>
      <c r="T113" s="69"/>
      <c r="U113" s="70"/>
      <c r="V113" s="70"/>
      <c r="W113" s="71"/>
      <c r="X113" s="43"/>
      <c r="Y113" s="43"/>
      <c r="Z113" s="41" t="s">
        <v>904</v>
      </c>
      <c r="AA113" s="41" t="s">
        <v>904</v>
      </c>
      <c r="AB113" s="41"/>
      <c r="AC113" s="69"/>
      <c r="AD113" s="44"/>
    </row>
    <row r="114" spans="3:28" ht="20.100000000000001" customHeight="1" x14ac:dyDescent="0.25">
      <c r="C114" s="57" t="s">
        <v>904</v>
      </c>
      <c r="D114" s="57" t="s">
        <v>904</v>
      </c>
      <c r="E114" s="41" t="s">
        <v>904</v>
      </c>
      <c r="F114" s="41" t="s">
        <v>904</v>
      </c>
      <c r="G114" s="41" t="s">
        <v>904</v>
      </c>
      <c r="H114" s="41" t="s">
        <v>904</v>
      </c>
      <c r="I114" s="41" t="s">
        <v>904</v>
      </c>
      <c r="J114" s="41" t="s">
        <v>904</v>
      </c>
      <c r="K114" s="41" t="s">
        <v>904</v>
      </c>
      <c r="L114" s="41" t="s">
        <v>904</v>
      </c>
      <c r="M114" s="60"/>
      <c r="N114" s="41" t="s">
        <v>904</v>
      </c>
      <c r="O114" s="60"/>
      <c r="P114" s="41" t="s">
        <v>904</v>
      </c>
      <c r="Q114" s="69"/>
      <c r="R114" s="69"/>
      <c r="S114" s="69"/>
      <c r="T114" s="69"/>
      <c r="U114" s="70"/>
      <c r="V114" s="70"/>
      <c r="W114" s="71"/>
      <c r="X114" s="43"/>
      <c r="Y114" s="43"/>
      <c r="Z114" s="41" t="s">
        <v>904</v>
      </c>
      <c r="AA114" s="41" t="s">
        <v>904</v>
      </c>
      <c r="AB114" s="41"/>
      <c r="AC114" s="69"/>
      <c r="AD114" s="44"/>
    </row>
    <row r="115" spans="3:28" ht="20.100000000000001" customHeight="1" x14ac:dyDescent="0.25">
      <c r="C115" s="57" t="s">
        <v>904</v>
      </c>
      <c r="D115" s="57" t="s">
        <v>904</v>
      </c>
      <c r="E115" s="41" t="s">
        <v>904</v>
      </c>
      <c r="F115" s="41" t="s">
        <v>904</v>
      </c>
      <c r="G115" s="41" t="s">
        <v>904</v>
      </c>
      <c r="H115" s="41" t="s">
        <v>904</v>
      </c>
      <c r="I115" s="41" t="s">
        <v>904</v>
      </c>
      <c r="J115" s="41" t="s">
        <v>904</v>
      </c>
      <c r="K115" s="41" t="s">
        <v>904</v>
      </c>
      <c r="L115" s="41" t="s">
        <v>904</v>
      </c>
      <c r="M115" s="60"/>
      <c r="N115" s="41" t="s">
        <v>904</v>
      </c>
      <c r="O115" s="60"/>
      <c r="P115" s="41" t="s">
        <v>904</v>
      </c>
      <c r="Q115" s="69"/>
      <c r="R115" s="69"/>
      <c r="S115" s="69"/>
      <c r="T115" s="69"/>
      <c r="U115" s="70"/>
      <c r="V115" s="70"/>
      <c r="W115" s="71"/>
      <c r="X115" s="43"/>
      <c r="Y115" s="43"/>
      <c r="Z115" s="41" t="s">
        <v>904</v>
      </c>
      <c r="AA115" s="41" t="s">
        <v>904</v>
      </c>
      <c r="AB115" s="41"/>
      <c r="AC115" s="69"/>
      <c r="AD115" s="44"/>
    </row>
    <row r="116" spans="3:28" ht="20.100000000000001" customHeight="1" x14ac:dyDescent="0.25">
      <c r="C116" s="57" t="s">
        <v>904</v>
      </c>
      <c r="D116" s="57" t="s">
        <v>904</v>
      </c>
      <c r="E116" s="41" t="s">
        <v>904</v>
      </c>
      <c r="F116" s="41" t="s">
        <v>904</v>
      </c>
      <c r="G116" s="41" t="s">
        <v>904</v>
      </c>
      <c r="H116" s="41" t="s">
        <v>904</v>
      </c>
      <c r="I116" s="41" t="s">
        <v>904</v>
      </c>
      <c r="J116" s="41" t="s">
        <v>904</v>
      </c>
      <c r="K116" s="41" t="s">
        <v>904</v>
      </c>
      <c r="L116" s="41" t="s">
        <v>904</v>
      </c>
      <c r="M116" s="60"/>
      <c r="N116" s="41" t="s">
        <v>904</v>
      </c>
      <c r="O116" s="60"/>
      <c r="P116" s="41" t="s">
        <v>904</v>
      </c>
      <c r="Q116" s="69"/>
      <c r="R116" s="69"/>
      <c r="S116" s="69"/>
      <c r="T116" s="69"/>
      <c r="U116" s="70"/>
      <c r="V116" s="70"/>
      <c r="W116" s="71"/>
      <c r="X116" s="43"/>
      <c r="Y116" s="43"/>
      <c r="Z116" s="41" t="s">
        <v>904</v>
      </c>
      <c r="AA116" s="41" t="s">
        <v>904</v>
      </c>
      <c r="AB116" s="41"/>
      <c r="AC116" s="69"/>
      <c r="AD116" s="44"/>
    </row>
    <row r="117" spans="3:28" ht="20.100000000000001" customHeight="1" x14ac:dyDescent="0.25">
      <c r="C117" s="57" t="s">
        <v>904</v>
      </c>
      <c r="D117" s="57" t="s">
        <v>904</v>
      </c>
      <c r="E117" s="41" t="s">
        <v>904</v>
      </c>
      <c r="F117" s="41" t="s">
        <v>904</v>
      </c>
      <c r="G117" s="41" t="s">
        <v>904</v>
      </c>
      <c r="H117" s="41" t="s">
        <v>904</v>
      </c>
      <c r="I117" s="41" t="s">
        <v>904</v>
      </c>
      <c r="J117" s="41" t="s">
        <v>904</v>
      </c>
      <c r="K117" s="41" t="s">
        <v>904</v>
      </c>
      <c r="L117" s="41" t="s">
        <v>904</v>
      </c>
      <c r="M117" s="60"/>
      <c r="N117" s="41" t="s">
        <v>904</v>
      </c>
      <c r="O117" s="60"/>
      <c r="P117" s="41" t="s">
        <v>904</v>
      </c>
      <c r="Q117" s="69"/>
      <c r="R117" s="69"/>
      <c r="S117" s="69"/>
      <c r="T117" s="69"/>
      <c r="U117" s="70"/>
      <c r="V117" s="70"/>
      <c r="W117" s="71"/>
      <c r="X117" s="43"/>
      <c r="Y117" s="43"/>
      <c r="Z117" s="41" t="s">
        <v>904</v>
      </c>
      <c r="AA117" s="41" t="s">
        <v>904</v>
      </c>
      <c r="AB117" s="41"/>
      <c r="AC117" s="69"/>
      <c r="AD117" s="44"/>
    </row>
    <row r="118" spans="3:28" ht="20.100000000000001" customHeight="1" x14ac:dyDescent="0.25">
      <c r="C118" s="57" t="s">
        <v>904</v>
      </c>
      <c r="D118" s="57" t="s">
        <v>904</v>
      </c>
      <c r="E118" s="41" t="s">
        <v>904</v>
      </c>
      <c r="F118" s="41" t="s">
        <v>904</v>
      </c>
      <c r="G118" s="41" t="s">
        <v>904</v>
      </c>
      <c r="H118" s="41" t="s">
        <v>904</v>
      </c>
      <c r="I118" s="41" t="s">
        <v>904</v>
      </c>
      <c r="J118" s="41" t="s">
        <v>904</v>
      </c>
      <c r="K118" s="41" t="s">
        <v>904</v>
      </c>
      <c r="L118" s="41" t="s">
        <v>904</v>
      </c>
      <c r="M118" s="60"/>
      <c r="N118" s="41" t="s">
        <v>904</v>
      </c>
      <c r="O118" s="60"/>
      <c r="P118" s="41" t="s">
        <v>904</v>
      </c>
      <c r="Q118" s="69"/>
      <c r="R118" s="69"/>
      <c r="S118" s="69"/>
      <c r="T118" s="69"/>
      <c r="U118" s="70"/>
      <c r="V118" s="70"/>
      <c r="W118" s="71"/>
      <c r="X118" s="43"/>
      <c r="Y118" s="43"/>
      <c r="Z118" s="41" t="s">
        <v>904</v>
      </c>
      <c r="AA118" s="41" t="s">
        <v>904</v>
      </c>
      <c r="AB118" s="41"/>
      <c r="AC118" s="69"/>
      <c r="AD118" s="44"/>
    </row>
    <row r="119" spans="3:28" ht="20.100000000000001" customHeight="1" x14ac:dyDescent="0.25">
      <c r="C119" s="57" t="s">
        <v>904</v>
      </c>
      <c r="D119" s="57" t="s">
        <v>904</v>
      </c>
      <c r="E119" s="41" t="s">
        <v>904</v>
      </c>
      <c r="F119" s="41" t="s">
        <v>904</v>
      </c>
      <c r="G119" s="41" t="s">
        <v>904</v>
      </c>
      <c r="H119" s="41" t="s">
        <v>904</v>
      </c>
      <c r="I119" s="41" t="s">
        <v>904</v>
      </c>
      <c r="J119" s="41" t="s">
        <v>904</v>
      </c>
      <c r="K119" s="41" t="s">
        <v>904</v>
      </c>
      <c r="L119" s="41" t="s">
        <v>904</v>
      </c>
      <c r="M119" s="60"/>
      <c r="N119" s="41" t="s">
        <v>904</v>
      </c>
      <c r="O119" s="60"/>
      <c r="P119" s="41" t="s">
        <v>904</v>
      </c>
      <c r="Q119" s="69"/>
      <c r="R119" s="69"/>
      <c r="S119" s="69"/>
      <c r="T119" s="69"/>
      <c r="U119" s="70"/>
      <c r="V119" s="70"/>
      <c r="W119" s="71"/>
      <c r="X119" s="43"/>
      <c r="Y119" s="43"/>
      <c r="Z119" s="41" t="s">
        <v>904</v>
      </c>
      <c r="AA119" s="41" t="s">
        <v>904</v>
      </c>
      <c r="AB119" s="41"/>
      <c r="AC119" s="69"/>
      <c r="AD119" s="44"/>
    </row>
    <row r="120" spans="3:28" ht="20.100000000000001" customHeight="1" x14ac:dyDescent="0.25">
      <c r="C120" s="57" t="s">
        <v>904</v>
      </c>
      <c r="D120" s="57" t="s">
        <v>904</v>
      </c>
      <c r="E120" s="41" t="s">
        <v>904</v>
      </c>
      <c r="F120" s="41" t="s">
        <v>904</v>
      </c>
      <c r="G120" s="41" t="s">
        <v>904</v>
      </c>
      <c r="H120" s="41" t="s">
        <v>904</v>
      </c>
      <c r="I120" s="41" t="s">
        <v>904</v>
      </c>
      <c r="J120" s="41" t="s">
        <v>904</v>
      </c>
      <c r="K120" s="41" t="s">
        <v>904</v>
      </c>
      <c r="L120" s="41" t="s">
        <v>904</v>
      </c>
      <c r="M120" s="60"/>
      <c r="N120" s="41" t="s">
        <v>904</v>
      </c>
      <c r="O120" s="60"/>
      <c r="P120" s="41" t="s">
        <v>904</v>
      </c>
      <c r="Q120" s="69"/>
      <c r="R120" s="69"/>
      <c r="S120" s="69"/>
      <c r="T120" s="69"/>
      <c r="U120" s="70"/>
      <c r="V120" s="70"/>
      <c r="W120" s="71"/>
      <c r="X120" s="43"/>
      <c r="Y120" s="43"/>
      <c r="Z120" s="41" t="s">
        <v>904</v>
      </c>
      <c r="AA120" s="41" t="s">
        <v>904</v>
      </c>
      <c r="AB120" s="41"/>
      <c r="AC120" s="69"/>
      <c r="AD120" s="44"/>
    </row>
    <row r="121" spans="3:28" ht="20.100000000000001" customHeight="1" x14ac:dyDescent="0.25">
      <c r="C121" s="57" t="s">
        <v>904</v>
      </c>
      <c r="D121" s="57" t="s">
        <v>904</v>
      </c>
      <c r="E121" s="41" t="s">
        <v>904</v>
      </c>
      <c r="F121" s="41" t="s">
        <v>904</v>
      </c>
      <c r="G121" s="41" t="s">
        <v>904</v>
      </c>
      <c r="H121" s="41" t="s">
        <v>904</v>
      </c>
      <c r="I121" s="41" t="s">
        <v>904</v>
      </c>
      <c r="J121" s="41" t="s">
        <v>904</v>
      </c>
      <c r="K121" s="41" t="s">
        <v>904</v>
      </c>
      <c r="L121" s="41" t="s">
        <v>904</v>
      </c>
      <c r="M121" s="60"/>
      <c r="N121" s="41" t="s">
        <v>904</v>
      </c>
      <c r="O121" s="60"/>
      <c r="P121" s="41" t="s">
        <v>904</v>
      </c>
      <c r="Q121" s="69"/>
      <c r="R121" s="69"/>
      <c r="S121" s="69"/>
      <c r="T121" s="69"/>
      <c r="U121" s="70"/>
      <c r="V121" s="70"/>
      <c r="W121" s="71"/>
      <c r="X121" s="43"/>
      <c r="Y121" s="43"/>
      <c r="Z121" s="41" t="s">
        <v>904</v>
      </c>
      <c r="AA121" s="41" t="s">
        <v>904</v>
      </c>
      <c r="AB121" s="41"/>
      <c r="AC121" s="69"/>
      <c r="AD121" s="44"/>
    </row>
    <row r="122" spans="3:28" ht="20.100000000000001" customHeight="1" x14ac:dyDescent="0.25">
      <c r="C122" s="57" t="s">
        <v>904</v>
      </c>
      <c r="D122" s="57" t="s">
        <v>904</v>
      </c>
      <c r="E122" s="41" t="s">
        <v>904</v>
      </c>
      <c r="F122" s="41" t="s">
        <v>904</v>
      </c>
      <c r="G122" s="41" t="s">
        <v>904</v>
      </c>
      <c r="H122" s="41" t="s">
        <v>904</v>
      </c>
      <c r="I122" s="41" t="s">
        <v>904</v>
      </c>
      <c r="J122" s="41" t="s">
        <v>904</v>
      </c>
      <c r="K122" s="41" t="s">
        <v>904</v>
      </c>
      <c r="L122" s="41" t="s">
        <v>904</v>
      </c>
      <c r="M122" s="60"/>
      <c r="N122" s="41" t="s">
        <v>904</v>
      </c>
      <c r="O122" s="60"/>
      <c r="P122" s="41" t="s">
        <v>904</v>
      </c>
      <c r="Q122" s="69"/>
      <c r="R122" s="69"/>
      <c r="S122" s="69"/>
      <c r="T122" s="69"/>
      <c r="U122" s="70"/>
      <c r="V122" s="70"/>
      <c r="W122" s="71"/>
      <c r="X122" s="43"/>
      <c r="Y122" s="43"/>
      <c r="Z122" s="41" t="s">
        <v>904</v>
      </c>
      <c r="AA122" s="41" t="s">
        <v>904</v>
      </c>
      <c r="AB122" s="41"/>
      <c r="AC122" s="69"/>
      <c r="AD122" s="44"/>
    </row>
    <row r="123" spans="3:28" ht="20.100000000000001" customHeight="1" x14ac:dyDescent="0.25">
      <c r="C123" s="57" t="s">
        <v>904</v>
      </c>
      <c r="D123" s="57" t="s">
        <v>904</v>
      </c>
      <c r="E123" s="41" t="s">
        <v>904</v>
      </c>
      <c r="F123" s="41" t="s">
        <v>904</v>
      </c>
      <c r="G123" s="41" t="s">
        <v>904</v>
      </c>
      <c r="H123" s="41" t="s">
        <v>904</v>
      </c>
      <c r="I123" s="41" t="s">
        <v>904</v>
      </c>
      <c r="J123" s="41" t="s">
        <v>904</v>
      </c>
      <c r="K123" s="41" t="s">
        <v>904</v>
      </c>
      <c r="L123" s="41" t="s">
        <v>904</v>
      </c>
      <c r="M123" s="60"/>
      <c r="N123" s="41" t="s">
        <v>904</v>
      </c>
      <c r="O123" s="60"/>
      <c r="P123" s="41" t="s">
        <v>904</v>
      </c>
      <c r="Q123" s="69"/>
      <c r="R123" s="69"/>
      <c r="S123" s="69"/>
      <c r="T123" s="69"/>
      <c r="U123" s="70"/>
      <c r="V123" s="70"/>
      <c r="W123" s="71"/>
      <c r="X123" s="43"/>
      <c r="Y123" s="43"/>
      <c r="Z123" s="41" t="s">
        <v>904</v>
      </c>
      <c r="AA123" s="41" t="s">
        <v>904</v>
      </c>
      <c r="AB123" s="41"/>
      <c r="AC123" s="69"/>
      <c r="AD123" s="44"/>
    </row>
    <row r="124" spans="3:28" ht="20.100000000000001" customHeight="1" x14ac:dyDescent="0.25">
      <c r="C124" s="57" t="s">
        <v>904</v>
      </c>
      <c r="D124" s="57" t="s">
        <v>904</v>
      </c>
      <c r="E124" s="41" t="s">
        <v>904</v>
      </c>
      <c r="F124" s="41" t="s">
        <v>904</v>
      </c>
      <c r="G124" s="41" t="s">
        <v>904</v>
      </c>
      <c r="H124" s="41" t="s">
        <v>904</v>
      </c>
      <c r="I124" s="41" t="s">
        <v>904</v>
      </c>
      <c r="J124" s="41" t="s">
        <v>904</v>
      </c>
      <c r="K124" s="41" t="s">
        <v>904</v>
      </c>
      <c r="L124" s="41" t="s">
        <v>904</v>
      </c>
      <c r="M124" s="60"/>
      <c r="N124" s="41" t="s">
        <v>904</v>
      </c>
      <c r="O124" s="60"/>
      <c r="P124" s="41" t="s">
        <v>904</v>
      </c>
      <c r="Q124" s="69"/>
      <c r="R124" s="69"/>
      <c r="S124" s="69"/>
      <c r="T124" s="69"/>
      <c r="U124" s="70"/>
      <c r="V124" s="70"/>
      <c r="W124" s="71"/>
      <c r="X124" s="43"/>
      <c r="Y124" s="43"/>
      <c r="Z124" s="41" t="s">
        <v>904</v>
      </c>
      <c r="AA124" s="41" t="s">
        <v>904</v>
      </c>
      <c r="AB124" s="41"/>
      <c r="AC124" s="69"/>
      <c r="AD124" s="44"/>
    </row>
    <row r="125" spans="3:28" ht="20.100000000000001" customHeight="1" x14ac:dyDescent="0.25">
      <c r="C125" s="57" t="s">
        <v>904</v>
      </c>
      <c r="D125" s="57" t="s">
        <v>904</v>
      </c>
      <c r="E125" s="41" t="s">
        <v>904</v>
      </c>
      <c r="F125" s="41" t="s">
        <v>904</v>
      </c>
      <c r="G125" s="41" t="s">
        <v>904</v>
      </c>
      <c r="H125" s="41" t="s">
        <v>904</v>
      </c>
      <c r="I125" s="41" t="s">
        <v>904</v>
      </c>
      <c r="J125" s="41" t="s">
        <v>904</v>
      </c>
      <c r="K125" s="41" t="s">
        <v>904</v>
      </c>
      <c r="L125" s="41" t="s">
        <v>904</v>
      </c>
      <c r="M125" s="60"/>
      <c r="N125" s="41" t="s">
        <v>904</v>
      </c>
      <c r="O125" s="60"/>
      <c r="P125" s="41" t="s">
        <v>904</v>
      </c>
      <c r="Q125" s="69"/>
      <c r="R125" s="69"/>
      <c r="S125" s="69"/>
      <c r="T125" s="69"/>
      <c r="U125" s="70"/>
      <c r="V125" s="70"/>
      <c r="W125" s="71"/>
      <c r="X125" s="43"/>
      <c r="Y125" s="43"/>
      <c r="Z125" s="41" t="s">
        <v>904</v>
      </c>
      <c r="AA125" s="41" t="s">
        <v>904</v>
      </c>
      <c r="AB125" s="41"/>
      <c r="AC125" s="69"/>
      <c r="AD125" s="44"/>
    </row>
    <row r="126" spans="3:28" ht="20.100000000000001" customHeight="1" x14ac:dyDescent="0.25">
      <c r="C126" s="57" t="s">
        <v>904</v>
      </c>
      <c r="D126" s="57" t="s">
        <v>904</v>
      </c>
      <c r="E126" s="41" t="s">
        <v>904</v>
      </c>
      <c r="F126" s="41" t="s">
        <v>904</v>
      </c>
      <c r="G126" s="41" t="s">
        <v>904</v>
      </c>
      <c r="H126" s="41" t="s">
        <v>904</v>
      </c>
      <c r="I126" s="41" t="s">
        <v>904</v>
      </c>
      <c r="J126" s="41" t="s">
        <v>904</v>
      </c>
      <c r="K126" s="41" t="s">
        <v>904</v>
      </c>
      <c r="L126" s="41" t="s">
        <v>904</v>
      </c>
      <c r="M126" s="60"/>
      <c r="N126" s="41" t="s">
        <v>904</v>
      </c>
      <c r="O126" s="60"/>
      <c r="P126" s="41" t="s">
        <v>904</v>
      </c>
      <c r="Q126" s="69"/>
      <c r="R126" s="69"/>
      <c r="S126" s="69"/>
      <c r="T126" s="69"/>
      <c r="U126" s="70"/>
      <c r="V126" s="70"/>
      <c r="W126" s="71"/>
      <c r="X126" s="43"/>
      <c r="Y126" s="43"/>
      <c r="Z126" s="41" t="s">
        <v>904</v>
      </c>
      <c r="AA126" s="41" t="s">
        <v>904</v>
      </c>
      <c r="AB126" s="41"/>
      <c r="AC126" s="69"/>
      <c r="AD126" s="44"/>
    </row>
    <row r="127" spans="3:28" ht="20.100000000000001" customHeight="1" x14ac:dyDescent="0.25">
      <c r="C127" s="57" t="s">
        <v>904</v>
      </c>
      <c r="D127" s="57" t="s">
        <v>904</v>
      </c>
      <c r="E127" s="41" t="s">
        <v>904</v>
      </c>
      <c r="F127" s="41" t="s">
        <v>904</v>
      </c>
      <c r="G127" s="41" t="s">
        <v>904</v>
      </c>
      <c r="H127" s="41" t="s">
        <v>904</v>
      </c>
      <c r="I127" s="41" t="s">
        <v>904</v>
      </c>
      <c r="J127" s="41" t="s">
        <v>904</v>
      </c>
      <c r="K127" s="41" t="s">
        <v>904</v>
      </c>
      <c r="L127" s="41" t="s">
        <v>904</v>
      </c>
      <c r="M127" s="60"/>
      <c r="N127" s="41" t="s">
        <v>904</v>
      </c>
      <c r="O127" s="60"/>
      <c r="P127" s="41" t="s">
        <v>904</v>
      </c>
      <c r="Q127" s="69"/>
      <c r="R127" s="69"/>
      <c r="S127" s="69"/>
      <c r="T127" s="69"/>
      <c r="U127" s="70"/>
      <c r="V127" s="70"/>
      <c r="W127" s="71"/>
      <c r="X127" s="43"/>
      <c r="Y127" s="43"/>
      <c r="Z127" s="41" t="s">
        <v>904</v>
      </c>
      <c r="AA127" s="41" t="s">
        <v>904</v>
      </c>
      <c r="AB127" s="41"/>
      <c r="AC127" s="69"/>
      <c r="AD127" s="44"/>
    </row>
    <row r="128" spans="3:28" ht="20.100000000000001" customHeight="1" x14ac:dyDescent="0.25">
      <c r="C128" s="57" t="s">
        <v>904</v>
      </c>
      <c r="D128" s="57" t="s">
        <v>904</v>
      </c>
      <c r="E128" s="41" t="s">
        <v>904</v>
      </c>
      <c r="F128" s="41" t="s">
        <v>904</v>
      </c>
      <c r="G128" s="41" t="s">
        <v>904</v>
      </c>
      <c r="H128" s="41" t="s">
        <v>904</v>
      </c>
      <c r="I128" s="41" t="s">
        <v>904</v>
      </c>
      <c r="J128" s="41" t="s">
        <v>904</v>
      </c>
      <c r="K128" s="41" t="s">
        <v>904</v>
      </c>
      <c r="L128" s="41" t="s">
        <v>904</v>
      </c>
      <c r="M128" s="60"/>
      <c r="N128" s="41" t="s">
        <v>904</v>
      </c>
      <c r="O128" s="60"/>
      <c r="P128" s="41" t="s">
        <v>904</v>
      </c>
      <c r="Q128" s="69"/>
      <c r="R128" s="69"/>
      <c r="S128" s="69"/>
      <c r="T128" s="69"/>
      <c r="U128" s="70"/>
      <c r="V128" s="70"/>
      <c r="W128" s="71"/>
      <c r="X128" s="43"/>
      <c r="Y128" s="43"/>
      <c r="Z128" s="41" t="s">
        <v>904</v>
      </c>
      <c r="AA128" s="41" t="s">
        <v>904</v>
      </c>
      <c r="AB128" s="41"/>
      <c r="AC128" s="69"/>
      <c r="AD128" s="44"/>
    </row>
    <row r="129" spans="3:28" ht="20.100000000000001" customHeight="1" x14ac:dyDescent="0.25">
      <c r="C129" s="57" t="s">
        <v>904</v>
      </c>
      <c r="D129" s="57" t="s">
        <v>904</v>
      </c>
      <c r="E129" s="41" t="s">
        <v>904</v>
      </c>
      <c r="F129" s="41" t="s">
        <v>904</v>
      </c>
      <c r="G129" s="41" t="s">
        <v>904</v>
      </c>
      <c r="H129" s="41" t="s">
        <v>904</v>
      </c>
      <c r="I129" s="41" t="s">
        <v>904</v>
      </c>
      <c r="J129" s="41" t="s">
        <v>904</v>
      </c>
      <c r="K129" s="41" t="s">
        <v>904</v>
      </c>
      <c r="L129" s="41" t="s">
        <v>904</v>
      </c>
      <c r="M129" s="60"/>
      <c r="N129" s="41" t="s">
        <v>904</v>
      </c>
      <c r="O129" s="60"/>
      <c r="P129" s="41" t="s">
        <v>904</v>
      </c>
      <c r="Q129" s="69"/>
      <c r="R129" s="69"/>
      <c r="S129" s="69"/>
      <c r="T129" s="69"/>
      <c r="U129" s="70"/>
      <c r="V129" s="70"/>
      <c r="W129" s="71"/>
      <c r="X129" s="43"/>
      <c r="Y129" s="43"/>
      <c r="Z129" s="41" t="s">
        <v>904</v>
      </c>
      <c r="AA129" s="41" t="s">
        <v>904</v>
      </c>
      <c r="AB129" s="41"/>
      <c r="AC129" s="69"/>
      <c r="AD129" s="44"/>
    </row>
    <row r="130" spans="3:28" ht="20.100000000000001" customHeight="1" x14ac:dyDescent="0.25">
      <c r="C130" s="57" t="s">
        <v>904</v>
      </c>
      <c r="D130" s="57" t="s">
        <v>904</v>
      </c>
      <c r="E130" s="41" t="s">
        <v>904</v>
      </c>
      <c r="F130" s="41" t="s">
        <v>904</v>
      </c>
      <c r="G130" s="41" t="s">
        <v>904</v>
      </c>
      <c r="H130" s="41" t="s">
        <v>904</v>
      </c>
      <c r="I130" s="41" t="s">
        <v>904</v>
      </c>
      <c r="J130" s="41" t="s">
        <v>904</v>
      </c>
      <c r="K130" s="41" t="s">
        <v>904</v>
      </c>
      <c r="L130" s="41" t="s">
        <v>904</v>
      </c>
      <c r="M130" s="60"/>
      <c r="N130" s="41" t="s">
        <v>904</v>
      </c>
      <c r="O130" s="60"/>
      <c r="P130" s="41" t="s">
        <v>904</v>
      </c>
      <c r="Q130" s="69"/>
      <c r="R130" s="69"/>
      <c r="S130" s="69"/>
      <c r="T130" s="69"/>
      <c r="U130" s="70"/>
      <c r="V130" s="70"/>
      <c r="W130" s="71"/>
      <c r="X130" s="43"/>
      <c r="Y130" s="43"/>
      <c r="Z130" s="41" t="s">
        <v>904</v>
      </c>
      <c r="AA130" s="41" t="s">
        <v>904</v>
      </c>
      <c r="AB130" s="41"/>
      <c r="AC130" s="69"/>
      <c r="AD130" s="44"/>
    </row>
    <row r="131" spans="3:28" ht="20.100000000000001" customHeight="1" x14ac:dyDescent="0.25">
      <c r="C131" s="57" t="s">
        <v>904</v>
      </c>
      <c r="D131" s="57" t="s">
        <v>904</v>
      </c>
      <c r="E131" s="41" t="s">
        <v>904</v>
      </c>
      <c r="F131" s="41" t="s">
        <v>904</v>
      </c>
      <c r="G131" s="41" t="s">
        <v>904</v>
      </c>
      <c r="H131" s="41" t="s">
        <v>904</v>
      </c>
      <c r="I131" s="41" t="s">
        <v>904</v>
      </c>
      <c r="J131" s="41" t="s">
        <v>904</v>
      </c>
      <c r="K131" s="41" t="s">
        <v>904</v>
      </c>
      <c r="L131" s="41" t="s">
        <v>904</v>
      </c>
      <c r="M131" s="60"/>
      <c r="N131" s="41" t="s">
        <v>904</v>
      </c>
      <c r="O131" s="60"/>
      <c r="P131" s="41" t="s">
        <v>904</v>
      </c>
      <c r="Q131" s="69"/>
      <c r="R131" s="69"/>
      <c r="S131" s="69"/>
      <c r="T131" s="69"/>
      <c r="U131" s="70"/>
      <c r="V131" s="70"/>
      <c r="W131" s="71"/>
      <c r="X131" s="43"/>
      <c r="Y131" s="43"/>
      <c r="Z131" s="41" t="s">
        <v>904</v>
      </c>
      <c r="AA131" s="41" t="s">
        <v>904</v>
      </c>
      <c r="AB131" s="41"/>
      <c r="AC131" s="69"/>
      <c r="AD131" s="44"/>
    </row>
    <row r="132" spans="3:28" ht="20.100000000000001" customHeight="1" x14ac:dyDescent="0.25">
      <c r="C132" s="57" t="s">
        <v>904</v>
      </c>
      <c r="D132" s="57" t="s">
        <v>904</v>
      </c>
      <c r="E132" s="41" t="s">
        <v>904</v>
      </c>
      <c r="F132" s="41" t="s">
        <v>904</v>
      </c>
      <c r="G132" s="41" t="s">
        <v>904</v>
      </c>
      <c r="H132" s="41" t="s">
        <v>904</v>
      </c>
      <c r="I132" s="41" t="s">
        <v>904</v>
      </c>
      <c r="J132" s="41" t="s">
        <v>904</v>
      </c>
      <c r="K132" s="41" t="s">
        <v>904</v>
      </c>
      <c r="L132" s="41" t="s">
        <v>904</v>
      </c>
      <c r="M132" s="60"/>
      <c r="N132" s="41" t="s">
        <v>904</v>
      </c>
      <c r="O132" s="60"/>
      <c r="P132" s="41" t="s">
        <v>904</v>
      </c>
      <c r="Q132" s="69"/>
      <c r="R132" s="69"/>
      <c r="S132" s="69"/>
      <c r="T132" s="69"/>
      <c r="U132" s="70"/>
      <c r="V132" s="70"/>
      <c r="W132" s="71"/>
      <c r="X132" s="43"/>
      <c r="Y132" s="43"/>
      <c r="Z132" s="41" t="s">
        <v>904</v>
      </c>
      <c r="AA132" s="41" t="s">
        <v>904</v>
      </c>
      <c r="AB132" s="41"/>
      <c r="AC132" s="69"/>
      <c r="AD132" s="44"/>
    </row>
    <row r="133" spans="3:28" ht="20.100000000000001" customHeight="1" x14ac:dyDescent="0.25">
      <c r="C133" s="57" t="s">
        <v>904</v>
      </c>
      <c r="D133" s="57" t="s">
        <v>904</v>
      </c>
      <c r="E133" s="41" t="s">
        <v>904</v>
      </c>
      <c r="F133" s="41" t="s">
        <v>904</v>
      </c>
      <c r="G133" s="41" t="s">
        <v>904</v>
      </c>
      <c r="H133" s="41" t="s">
        <v>904</v>
      </c>
      <c r="I133" s="41" t="s">
        <v>904</v>
      </c>
      <c r="J133" s="41" t="s">
        <v>904</v>
      </c>
      <c r="K133" s="41" t="s">
        <v>904</v>
      </c>
      <c r="L133" s="41" t="s">
        <v>904</v>
      </c>
      <c r="M133" s="60"/>
      <c r="N133" s="41" t="s">
        <v>904</v>
      </c>
      <c r="O133" s="60"/>
      <c r="P133" s="41" t="s">
        <v>904</v>
      </c>
      <c r="Q133" s="69"/>
      <c r="R133" s="69"/>
      <c r="S133" s="69"/>
      <c r="T133" s="69"/>
      <c r="U133" s="70"/>
      <c r="V133" s="70"/>
      <c r="W133" s="71"/>
      <c r="X133" s="43"/>
      <c r="Y133" s="43"/>
      <c r="Z133" s="41" t="s">
        <v>904</v>
      </c>
      <c r="AA133" s="41" t="s">
        <v>904</v>
      </c>
      <c r="AB133" s="41"/>
      <c r="AC133" s="69"/>
      <c r="AD133" s="44"/>
    </row>
    <row r="134" spans="3:28" ht="20.100000000000001" customHeight="1" x14ac:dyDescent="0.25">
      <c r="C134" s="57" t="s">
        <v>904</v>
      </c>
      <c r="D134" s="57" t="s">
        <v>904</v>
      </c>
      <c r="E134" s="41" t="s">
        <v>904</v>
      </c>
      <c r="F134" s="41" t="s">
        <v>904</v>
      </c>
      <c r="G134" s="41" t="s">
        <v>904</v>
      </c>
      <c r="H134" s="41" t="s">
        <v>904</v>
      </c>
      <c r="I134" s="41" t="s">
        <v>904</v>
      </c>
      <c r="J134" s="41" t="s">
        <v>904</v>
      </c>
      <c r="K134" s="41" t="s">
        <v>904</v>
      </c>
      <c r="L134" s="41" t="s">
        <v>904</v>
      </c>
      <c r="M134" s="60"/>
      <c r="N134" s="41" t="s">
        <v>904</v>
      </c>
      <c r="O134" s="60"/>
      <c r="P134" s="41" t="s">
        <v>904</v>
      </c>
      <c r="Q134" s="69"/>
      <c r="R134" s="69"/>
      <c r="S134" s="69"/>
      <c r="T134" s="69"/>
      <c r="U134" s="70"/>
      <c r="V134" s="70"/>
      <c r="W134" s="71"/>
      <c r="X134" s="43"/>
      <c r="Y134" s="43"/>
      <c r="Z134" s="41" t="s">
        <v>904</v>
      </c>
      <c r="AA134" s="41" t="s">
        <v>904</v>
      </c>
      <c r="AB134" s="41"/>
      <c r="AC134" s="69"/>
      <c r="AD134" s="44"/>
    </row>
    <row r="135" spans="3:28" ht="20.100000000000001" customHeight="1" x14ac:dyDescent="0.25">
      <c r="C135" s="57" t="s">
        <v>904</v>
      </c>
      <c r="D135" s="57" t="s">
        <v>904</v>
      </c>
      <c r="E135" s="41" t="s">
        <v>904</v>
      </c>
      <c r="F135" s="41" t="s">
        <v>904</v>
      </c>
      <c r="G135" s="41" t="s">
        <v>904</v>
      </c>
      <c r="H135" s="41" t="s">
        <v>904</v>
      </c>
      <c r="I135" s="41" t="s">
        <v>904</v>
      </c>
      <c r="J135" s="41" t="s">
        <v>904</v>
      </c>
      <c r="K135" s="41" t="s">
        <v>904</v>
      </c>
      <c r="L135" s="41" t="s">
        <v>904</v>
      </c>
      <c r="M135" s="60"/>
      <c r="N135" s="41" t="s">
        <v>904</v>
      </c>
      <c r="O135" s="60"/>
      <c r="P135" s="41" t="s">
        <v>904</v>
      </c>
      <c r="Q135" s="69"/>
      <c r="R135" s="69"/>
      <c r="S135" s="69"/>
      <c r="T135" s="69"/>
      <c r="U135" s="70"/>
      <c r="V135" s="70"/>
      <c r="W135" s="71"/>
      <c r="X135" s="43"/>
      <c r="Y135" s="43"/>
      <c r="Z135" s="41" t="s">
        <v>904</v>
      </c>
      <c r="AA135" s="41" t="s">
        <v>904</v>
      </c>
      <c r="AB135" s="41"/>
      <c r="AC135" s="69"/>
      <c r="AD135" s="44"/>
    </row>
    <row r="136" spans="3:28" ht="20.100000000000001" customHeight="1" x14ac:dyDescent="0.25">
      <c r="C136" s="57" t="s">
        <v>904</v>
      </c>
      <c r="D136" s="57" t="s">
        <v>904</v>
      </c>
      <c r="E136" s="41" t="s">
        <v>904</v>
      </c>
      <c r="F136" s="41" t="s">
        <v>904</v>
      </c>
      <c r="G136" s="41" t="s">
        <v>904</v>
      </c>
      <c r="H136" s="41" t="s">
        <v>904</v>
      </c>
      <c r="I136" s="41" t="s">
        <v>904</v>
      </c>
      <c r="J136" s="41" t="s">
        <v>904</v>
      </c>
      <c r="K136" s="41" t="s">
        <v>904</v>
      </c>
      <c r="L136" s="41" t="s">
        <v>904</v>
      </c>
      <c r="M136" s="60"/>
      <c r="N136" s="41" t="s">
        <v>904</v>
      </c>
      <c r="O136" s="60"/>
      <c r="P136" s="41" t="s">
        <v>904</v>
      </c>
      <c r="Q136" s="69"/>
      <c r="R136" s="69"/>
      <c r="S136" s="69"/>
      <c r="T136" s="69"/>
      <c r="U136" s="70"/>
      <c r="V136" s="70"/>
      <c r="W136" s="71"/>
      <c r="X136" s="43"/>
      <c r="Y136" s="43"/>
      <c r="Z136" s="41" t="s">
        <v>904</v>
      </c>
      <c r="AA136" s="41" t="s">
        <v>904</v>
      </c>
      <c r="AB136" s="41"/>
      <c r="AC136" s="69"/>
      <c r="AD136" s="44"/>
    </row>
    <row r="137" spans="3:28" ht="20.100000000000001" customHeight="1" x14ac:dyDescent="0.25">
      <c r="C137" s="57" t="s">
        <v>904</v>
      </c>
      <c r="D137" s="57" t="s">
        <v>904</v>
      </c>
      <c r="E137" s="41" t="s">
        <v>904</v>
      </c>
      <c r="F137" s="41" t="s">
        <v>904</v>
      </c>
      <c r="G137" s="41" t="s">
        <v>904</v>
      </c>
      <c r="H137" s="41" t="s">
        <v>904</v>
      </c>
      <c r="I137" s="41" t="s">
        <v>904</v>
      </c>
      <c r="J137" s="41" t="s">
        <v>904</v>
      </c>
      <c r="K137" s="41" t="s">
        <v>904</v>
      </c>
      <c r="L137" s="41" t="s">
        <v>904</v>
      </c>
      <c r="M137" s="60"/>
      <c r="N137" s="41" t="s">
        <v>904</v>
      </c>
      <c r="O137" s="60"/>
      <c r="P137" s="41" t="s">
        <v>904</v>
      </c>
      <c r="Q137" s="69"/>
      <c r="R137" s="69"/>
      <c r="S137" s="69"/>
      <c r="T137" s="69"/>
      <c r="U137" s="70"/>
      <c r="V137" s="70"/>
      <c r="W137" s="71"/>
      <c r="X137" s="43"/>
      <c r="Y137" s="43"/>
      <c r="Z137" s="41" t="s">
        <v>904</v>
      </c>
      <c r="AA137" s="41" t="s">
        <v>904</v>
      </c>
      <c r="AB137" s="41"/>
      <c r="AC137" s="69"/>
      <c r="AD137" s="44"/>
    </row>
    <row r="138" spans="3:28" ht="20.100000000000001" customHeight="1" x14ac:dyDescent="0.25">
      <c r="C138" s="57" t="s">
        <v>904</v>
      </c>
      <c r="D138" s="57" t="s">
        <v>904</v>
      </c>
      <c r="E138" s="41" t="s">
        <v>904</v>
      </c>
      <c r="F138" s="41" t="s">
        <v>904</v>
      </c>
      <c r="G138" s="41" t="s">
        <v>904</v>
      </c>
      <c r="H138" s="41" t="s">
        <v>904</v>
      </c>
      <c r="I138" s="41" t="s">
        <v>904</v>
      </c>
      <c r="J138" s="41" t="s">
        <v>904</v>
      </c>
      <c r="K138" s="41" t="s">
        <v>904</v>
      </c>
      <c r="L138" s="41" t="s">
        <v>904</v>
      </c>
      <c r="M138" s="60"/>
      <c r="N138" s="41" t="s">
        <v>904</v>
      </c>
      <c r="O138" s="60"/>
      <c r="P138" s="41" t="s">
        <v>904</v>
      </c>
      <c r="Q138" s="69"/>
      <c r="R138" s="69"/>
      <c r="S138" s="69"/>
      <c r="T138" s="69"/>
      <c r="U138" s="70"/>
      <c r="V138" s="70"/>
      <c r="W138" s="71"/>
      <c r="X138" s="43"/>
      <c r="Y138" s="43"/>
      <c r="Z138" s="41" t="s">
        <v>904</v>
      </c>
      <c r="AA138" s="41" t="s">
        <v>904</v>
      </c>
      <c r="AB138" s="41"/>
      <c r="AC138" s="69"/>
      <c r="AD138" s="44"/>
    </row>
    <row r="139" spans="3:28" ht="20.100000000000001" customHeight="1" x14ac:dyDescent="0.25">
      <c r="C139" s="57" t="s">
        <v>904</v>
      </c>
      <c r="D139" s="57" t="s">
        <v>904</v>
      </c>
      <c r="E139" s="41" t="s">
        <v>904</v>
      </c>
      <c r="F139" s="41" t="s">
        <v>904</v>
      </c>
      <c r="G139" s="41" t="s">
        <v>904</v>
      </c>
      <c r="H139" s="41" t="s">
        <v>904</v>
      </c>
      <c r="I139" s="41" t="s">
        <v>904</v>
      </c>
      <c r="J139" s="41" t="s">
        <v>904</v>
      </c>
      <c r="K139" s="41" t="s">
        <v>904</v>
      </c>
      <c r="L139" s="41" t="s">
        <v>904</v>
      </c>
      <c r="M139" s="60"/>
      <c r="N139" s="41" t="s">
        <v>904</v>
      </c>
      <c r="O139" s="60"/>
      <c r="P139" s="41" t="s">
        <v>904</v>
      </c>
      <c r="Q139" s="69"/>
      <c r="R139" s="69"/>
      <c r="S139" s="69"/>
      <c r="T139" s="69"/>
      <c r="U139" s="70"/>
      <c r="V139" s="70"/>
      <c r="W139" s="71"/>
      <c r="X139" s="43"/>
      <c r="Y139" s="43"/>
      <c r="Z139" s="41" t="s">
        <v>904</v>
      </c>
      <c r="AA139" s="41" t="s">
        <v>904</v>
      </c>
      <c r="AB139" s="41"/>
      <c r="AC139" s="69"/>
      <c r="AD139" s="44"/>
    </row>
    <row r="140" spans="3:28" ht="20.100000000000001" customHeight="1" x14ac:dyDescent="0.25">
      <c r="C140" s="57" t="s">
        <v>904</v>
      </c>
      <c r="D140" s="57" t="s">
        <v>904</v>
      </c>
      <c r="E140" s="41" t="s">
        <v>904</v>
      </c>
      <c r="F140" s="41" t="s">
        <v>904</v>
      </c>
      <c r="G140" s="41" t="s">
        <v>904</v>
      </c>
      <c r="H140" s="41" t="s">
        <v>904</v>
      </c>
      <c r="I140" s="41" t="s">
        <v>904</v>
      </c>
      <c r="J140" s="41" t="s">
        <v>904</v>
      </c>
      <c r="K140" s="41" t="s">
        <v>904</v>
      </c>
      <c r="L140" s="41" t="s">
        <v>904</v>
      </c>
      <c r="M140" s="60"/>
      <c r="N140" s="41" t="s">
        <v>904</v>
      </c>
      <c r="O140" s="60"/>
      <c r="P140" s="41" t="s">
        <v>904</v>
      </c>
      <c r="Q140" s="69"/>
      <c r="R140" s="69"/>
      <c r="S140" s="69"/>
      <c r="T140" s="69"/>
      <c r="U140" s="70"/>
      <c r="V140" s="70"/>
      <c r="W140" s="71"/>
      <c r="X140" s="43"/>
      <c r="Y140" s="43"/>
      <c r="Z140" s="41" t="s">
        <v>904</v>
      </c>
      <c r="AA140" s="41" t="s">
        <v>904</v>
      </c>
      <c r="AB140" s="41"/>
      <c r="AC140" s="69"/>
      <c r="AD140" s="44"/>
    </row>
    <row r="141" spans="3:28" ht="20.100000000000001" customHeight="1" x14ac:dyDescent="0.25">
      <c r="C141" s="57" t="s">
        <v>904</v>
      </c>
      <c r="D141" s="57" t="s">
        <v>904</v>
      </c>
      <c r="E141" s="41" t="s">
        <v>904</v>
      </c>
      <c r="F141" s="41" t="s">
        <v>904</v>
      </c>
      <c r="G141" s="41" t="s">
        <v>904</v>
      </c>
      <c r="H141" s="41" t="s">
        <v>904</v>
      </c>
      <c r="I141" s="41" t="s">
        <v>904</v>
      </c>
      <c r="J141" s="41" t="s">
        <v>904</v>
      </c>
      <c r="K141" s="41" t="s">
        <v>904</v>
      </c>
      <c r="L141" s="41" t="s">
        <v>904</v>
      </c>
      <c r="M141" s="60"/>
      <c r="N141" s="41" t="s">
        <v>904</v>
      </c>
      <c r="O141" s="60"/>
      <c r="P141" s="41" t="s">
        <v>904</v>
      </c>
      <c r="Q141" s="69"/>
      <c r="R141" s="69"/>
      <c r="S141" s="69"/>
      <c r="T141" s="69"/>
      <c r="U141" s="70"/>
      <c r="V141" s="70"/>
      <c r="W141" s="71"/>
      <c r="X141" s="43"/>
      <c r="Y141" s="43"/>
      <c r="Z141" s="41" t="s">
        <v>904</v>
      </c>
      <c r="AA141" s="41" t="s">
        <v>904</v>
      </c>
      <c r="AB141" s="41"/>
      <c r="AC141" s="69"/>
      <c r="AD141" s="44"/>
    </row>
    <row r="142" spans="3:28" ht="20.100000000000001" customHeight="1" x14ac:dyDescent="0.25">
      <c r="C142" s="57" t="s">
        <v>904</v>
      </c>
      <c r="D142" s="57" t="s">
        <v>904</v>
      </c>
      <c r="E142" s="41" t="s">
        <v>904</v>
      </c>
      <c r="F142" s="41" t="s">
        <v>904</v>
      </c>
      <c r="G142" s="41" t="s">
        <v>904</v>
      </c>
      <c r="H142" s="41" t="s">
        <v>904</v>
      </c>
      <c r="I142" s="41" t="s">
        <v>904</v>
      </c>
      <c r="J142" s="41" t="s">
        <v>904</v>
      </c>
      <c r="K142" s="41" t="s">
        <v>904</v>
      </c>
      <c r="L142" s="41" t="s">
        <v>904</v>
      </c>
      <c r="M142" s="60"/>
      <c r="N142" s="41" t="s">
        <v>904</v>
      </c>
      <c r="O142" s="60"/>
      <c r="P142" s="41" t="s">
        <v>904</v>
      </c>
      <c r="Q142" s="69"/>
      <c r="R142" s="69"/>
      <c r="S142" s="69"/>
      <c r="T142" s="69"/>
      <c r="U142" s="70"/>
      <c r="V142" s="70"/>
      <c r="W142" s="71"/>
      <c r="X142" s="43"/>
      <c r="Y142" s="43"/>
      <c r="Z142" s="41" t="s">
        <v>904</v>
      </c>
      <c r="AA142" s="41" t="s">
        <v>904</v>
      </c>
      <c r="AB142" s="41"/>
      <c r="AC142" s="69"/>
      <c r="AD142" s="44"/>
    </row>
    <row r="143" spans="3:28" ht="20.100000000000001" customHeight="1" x14ac:dyDescent="0.25">
      <c r="C143" s="57" t="s">
        <v>904</v>
      </c>
      <c r="D143" s="57" t="s">
        <v>904</v>
      </c>
      <c r="E143" s="41" t="s">
        <v>904</v>
      </c>
      <c r="F143" s="41" t="s">
        <v>904</v>
      </c>
      <c r="G143" s="41" t="s">
        <v>904</v>
      </c>
      <c r="H143" s="41" t="s">
        <v>904</v>
      </c>
      <c r="I143" s="41" t="s">
        <v>904</v>
      </c>
      <c r="J143" s="41" t="s">
        <v>904</v>
      </c>
      <c r="K143" s="41" t="s">
        <v>904</v>
      </c>
      <c r="L143" s="41" t="s">
        <v>904</v>
      </c>
      <c r="M143" s="60"/>
      <c r="N143" s="41" t="s">
        <v>904</v>
      </c>
      <c r="O143" s="60"/>
      <c r="P143" s="41" t="s">
        <v>904</v>
      </c>
      <c r="Q143" s="69"/>
      <c r="R143" s="69"/>
      <c r="S143" s="69"/>
      <c r="T143" s="69"/>
      <c r="U143" s="70"/>
      <c r="V143" s="70"/>
      <c r="W143" s="71"/>
      <c r="X143" s="43"/>
      <c r="Y143" s="43"/>
      <c r="Z143" s="41" t="s">
        <v>904</v>
      </c>
      <c r="AA143" s="41" t="s">
        <v>904</v>
      </c>
      <c r="AB143" s="41"/>
      <c r="AC143" s="69"/>
      <c r="AD143" s="44"/>
    </row>
    <row r="144" spans="3:28" ht="20.100000000000001" customHeight="1" x14ac:dyDescent="0.25">
      <c r="C144" s="57" t="s">
        <v>904</v>
      </c>
      <c r="D144" s="57" t="s">
        <v>904</v>
      </c>
      <c r="E144" s="41" t="s">
        <v>904</v>
      </c>
      <c r="F144" s="41" t="s">
        <v>904</v>
      </c>
      <c r="G144" s="41" t="s">
        <v>904</v>
      </c>
      <c r="H144" s="41" t="s">
        <v>904</v>
      </c>
      <c r="I144" s="41" t="s">
        <v>904</v>
      </c>
      <c r="J144" s="41" t="s">
        <v>904</v>
      </c>
      <c r="K144" s="41" t="s">
        <v>904</v>
      </c>
      <c r="L144" s="41" t="s">
        <v>904</v>
      </c>
      <c r="M144" s="60"/>
      <c r="N144" s="41" t="s">
        <v>904</v>
      </c>
      <c r="O144" s="60"/>
      <c r="P144" s="41" t="s">
        <v>904</v>
      </c>
      <c r="Q144" s="69"/>
      <c r="R144" s="69"/>
      <c r="S144" s="69"/>
      <c r="T144" s="69"/>
      <c r="U144" s="70"/>
      <c r="V144" s="70"/>
      <c r="W144" s="71"/>
      <c r="X144" s="43"/>
      <c r="Y144" s="43"/>
      <c r="Z144" s="41" t="s">
        <v>904</v>
      </c>
      <c r="AA144" s="41" t="s">
        <v>904</v>
      </c>
      <c r="AB144" s="41"/>
      <c r="AC144" s="69"/>
      <c r="AD144" s="44"/>
    </row>
    <row r="145" spans="3:28" ht="20.100000000000001" customHeight="1" x14ac:dyDescent="0.25">
      <c r="C145" s="57" t="s">
        <v>904</v>
      </c>
      <c r="D145" s="57" t="s">
        <v>904</v>
      </c>
      <c r="E145" s="41" t="s">
        <v>904</v>
      </c>
      <c r="F145" s="41" t="s">
        <v>904</v>
      </c>
      <c r="G145" s="41" t="s">
        <v>904</v>
      </c>
      <c r="H145" s="41" t="s">
        <v>904</v>
      </c>
      <c r="I145" s="41" t="s">
        <v>904</v>
      </c>
      <c r="J145" s="41" t="s">
        <v>904</v>
      </c>
      <c r="K145" s="41" t="s">
        <v>904</v>
      </c>
      <c r="L145" s="41" t="s">
        <v>904</v>
      </c>
      <c r="M145" s="60"/>
      <c r="N145" s="41" t="s">
        <v>904</v>
      </c>
      <c r="O145" s="60"/>
      <c r="P145" s="41" t="s">
        <v>904</v>
      </c>
      <c r="Q145" s="69"/>
      <c r="R145" s="69"/>
      <c r="S145" s="69"/>
      <c r="T145" s="69"/>
      <c r="U145" s="70"/>
      <c r="V145" s="70"/>
      <c r="W145" s="71"/>
      <c r="X145" s="43"/>
      <c r="Y145" s="43"/>
      <c r="Z145" s="41" t="s">
        <v>904</v>
      </c>
      <c r="AA145" s="41" t="s">
        <v>904</v>
      </c>
      <c r="AB145" s="41"/>
      <c r="AC145" s="69"/>
      <c r="AD145" s="44"/>
    </row>
    <row r="146" spans="3:28" ht="20.100000000000001" customHeight="1" x14ac:dyDescent="0.25">
      <c r="C146" s="57" t="s">
        <v>904</v>
      </c>
      <c r="D146" s="57" t="s">
        <v>904</v>
      </c>
      <c r="E146" s="41" t="s">
        <v>904</v>
      </c>
      <c r="F146" s="41" t="s">
        <v>904</v>
      </c>
      <c r="G146" s="41" t="s">
        <v>904</v>
      </c>
      <c r="H146" s="41" t="s">
        <v>904</v>
      </c>
      <c r="I146" s="41" t="s">
        <v>904</v>
      </c>
      <c r="J146" s="41" t="s">
        <v>904</v>
      </c>
      <c r="K146" s="41" t="s">
        <v>904</v>
      </c>
      <c r="L146" s="41" t="s">
        <v>904</v>
      </c>
      <c r="M146" s="60"/>
      <c r="N146" s="41" t="s">
        <v>904</v>
      </c>
      <c r="O146" s="60"/>
      <c r="P146" s="41" t="s">
        <v>904</v>
      </c>
      <c r="Q146" s="69"/>
      <c r="R146" s="69"/>
      <c r="S146" s="69"/>
      <c r="T146" s="69"/>
      <c r="U146" s="70"/>
      <c r="V146" s="70"/>
      <c r="W146" s="71"/>
      <c r="X146" s="43"/>
      <c r="Y146" s="43"/>
      <c r="Z146" s="41" t="s">
        <v>904</v>
      </c>
      <c r="AA146" s="41" t="s">
        <v>904</v>
      </c>
      <c r="AB146" s="41"/>
      <c r="AC146" s="69"/>
      <c r="AD146" s="44"/>
    </row>
    <row r="147" spans="3:28" ht="20.100000000000001" customHeight="1" x14ac:dyDescent="0.25">
      <c r="C147" s="57" t="s">
        <v>904</v>
      </c>
      <c r="D147" s="57" t="s">
        <v>904</v>
      </c>
      <c r="E147" s="41" t="s">
        <v>904</v>
      </c>
      <c r="F147" s="41" t="s">
        <v>904</v>
      </c>
      <c r="G147" s="41" t="s">
        <v>904</v>
      </c>
      <c r="H147" s="41" t="s">
        <v>904</v>
      </c>
      <c r="I147" s="41" t="s">
        <v>904</v>
      </c>
      <c r="J147" s="41" t="s">
        <v>904</v>
      </c>
      <c r="K147" s="41" t="s">
        <v>904</v>
      </c>
      <c r="L147" s="41" t="s">
        <v>904</v>
      </c>
      <c r="M147" s="60"/>
      <c r="N147" s="41" t="s">
        <v>904</v>
      </c>
      <c r="O147" s="60"/>
      <c r="P147" s="41" t="s">
        <v>904</v>
      </c>
      <c r="Q147" s="69"/>
      <c r="R147" s="69"/>
      <c r="S147" s="69"/>
      <c r="T147" s="69"/>
      <c r="U147" s="70"/>
      <c r="V147" s="70"/>
      <c r="W147" s="71"/>
      <c r="X147" s="43"/>
      <c r="Y147" s="43"/>
      <c r="Z147" s="41" t="s">
        <v>904</v>
      </c>
      <c r="AA147" s="41" t="s">
        <v>904</v>
      </c>
      <c r="AB147" s="41"/>
      <c r="AC147" s="69"/>
      <c r="AD147" s="44"/>
    </row>
    <row r="148" spans="3:28" ht="20.100000000000001" customHeight="1" x14ac:dyDescent="0.25">
      <c r="C148" s="57" t="s">
        <v>904</v>
      </c>
      <c r="D148" s="57" t="s">
        <v>904</v>
      </c>
      <c r="E148" s="41" t="s">
        <v>904</v>
      </c>
      <c r="F148" s="41" t="s">
        <v>904</v>
      </c>
      <c r="G148" s="41" t="s">
        <v>904</v>
      </c>
      <c r="H148" s="41" t="s">
        <v>904</v>
      </c>
      <c r="I148" s="41" t="s">
        <v>904</v>
      </c>
      <c r="J148" s="41" t="s">
        <v>904</v>
      </c>
      <c r="K148" s="41" t="s">
        <v>904</v>
      </c>
      <c r="L148" s="41" t="s">
        <v>904</v>
      </c>
      <c r="M148" s="60"/>
      <c r="N148" s="41" t="s">
        <v>904</v>
      </c>
      <c r="O148" s="60"/>
      <c r="P148" s="41" t="s">
        <v>904</v>
      </c>
      <c r="Q148" s="69"/>
      <c r="R148" s="69"/>
      <c r="S148" s="69"/>
      <c r="T148" s="69"/>
      <c r="U148" s="70"/>
      <c r="V148" s="70"/>
      <c r="W148" s="71"/>
      <c r="X148" s="43"/>
      <c r="Y148" s="43"/>
      <c r="Z148" s="41" t="s">
        <v>904</v>
      </c>
      <c r="AA148" s="41" t="s">
        <v>904</v>
      </c>
      <c r="AB148" s="41"/>
      <c r="AC148" s="69"/>
      <c r="AD148" s="44"/>
    </row>
    <row r="149" spans="3:28" ht="20.100000000000001" customHeight="1" x14ac:dyDescent="0.25">
      <c r="C149" s="57" t="s">
        <v>904</v>
      </c>
      <c r="D149" s="57" t="s">
        <v>904</v>
      </c>
      <c r="E149" s="41" t="s">
        <v>904</v>
      </c>
      <c r="F149" s="41" t="s">
        <v>904</v>
      </c>
      <c r="G149" s="41" t="s">
        <v>904</v>
      </c>
      <c r="H149" s="41" t="s">
        <v>904</v>
      </c>
      <c r="I149" s="41" t="s">
        <v>904</v>
      </c>
      <c r="J149" s="41" t="s">
        <v>904</v>
      </c>
      <c r="K149" s="41" t="s">
        <v>904</v>
      </c>
      <c r="L149" s="41" t="s">
        <v>904</v>
      </c>
      <c r="M149" s="60"/>
      <c r="N149" s="41" t="s">
        <v>904</v>
      </c>
      <c r="O149" s="60"/>
      <c r="P149" s="41" t="s">
        <v>904</v>
      </c>
      <c r="Q149" s="69"/>
      <c r="R149" s="69"/>
      <c r="S149" s="69"/>
      <c r="T149" s="69"/>
      <c r="U149" s="70"/>
      <c r="V149" s="70"/>
      <c r="W149" s="71"/>
      <c r="X149" s="43"/>
      <c r="Y149" s="43"/>
      <c r="Z149" s="41" t="s">
        <v>904</v>
      </c>
      <c r="AA149" s="41" t="s">
        <v>904</v>
      </c>
      <c r="AB149" s="41"/>
      <c r="AC149" s="69"/>
      <c r="AD149" s="44"/>
    </row>
    <row r="150" spans="3:28" ht="20.100000000000001" customHeight="1" x14ac:dyDescent="0.25">
      <c r="C150" s="57" t="s">
        <v>904</v>
      </c>
      <c r="D150" s="57" t="s">
        <v>904</v>
      </c>
      <c r="E150" s="41" t="s">
        <v>904</v>
      </c>
      <c r="F150" s="41" t="s">
        <v>904</v>
      </c>
      <c r="G150" s="41" t="s">
        <v>904</v>
      </c>
      <c r="H150" s="41" t="s">
        <v>904</v>
      </c>
      <c r="I150" s="41" t="s">
        <v>904</v>
      </c>
      <c r="J150" s="41" t="s">
        <v>904</v>
      </c>
      <c r="K150" s="41" t="s">
        <v>904</v>
      </c>
      <c r="L150" s="41" t="s">
        <v>904</v>
      </c>
      <c r="M150" s="60"/>
      <c r="N150" s="41" t="s">
        <v>904</v>
      </c>
      <c r="O150" s="60"/>
      <c r="P150" s="41" t="s">
        <v>904</v>
      </c>
      <c r="Q150" s="69"/>
      <c r="R150" s="69"/>
      <c r="S150" s="69"/>
      <c r="T150" s="69"/>
      <c r="U150" s="70"/>
      <c r="V150" s="70"/>
      <c r="W150" s="71"/>
      <c r="X150" s="43"/>
      <c r="Y150" s="43"/>
      <c r="Z150" s="41" t="s">
        <v>904</v>
      </c>
      <c r="AA150" s="41" t="s">
        <v>904</v>
      </c>
      <c r="AB150" s="41"/>
      <c r="AC150" s="69"/>
      <c r="AD150" s="44"/>
    </row>
    <row r="151" spans="3:28" ht="20.100000000000001" customHeight="1" x14ac:dyDescent="0.25">
      <c r="C151" s="57" t="s">
        <v>904</v>
      </c>
      <c r="D151" s="57" t="s">
        <v>904</v>
      </c>
      <c r="E151" s="41" t="s">
        <v>904</v>
      </c>
      <c r="F151" s="41" t="s">
        <v>904</v>
      </c>
      <c r="G151" s="41" t="s">
        <v>904</v>
      </c>
      <c r="H151" s="41" t="s">
        <v>904</v>
      </c>
      <c r="I151" s="41" t="s">
        <v>904</v>
      </c>
      <c r="J151" s="41" t="s">
        <v>904</v>
      </c>
      <c r="K151" s="41" t="s">
        <v>904</v>
      </c>
      <c r="L151" s="41" t="s">
        <v>904</v>
      </c>
      <c r="M151" s="60"/>
      <c r="N151" s="41" t="s">
        <v>904</v>
      </c>
      <c r="O151" s="60"/>
      <c r="P151" s="41" t="s">
        <v>904</v>
      </c>
      <c r="Q151" s="69"/>
      <c r="R151" s="69"/>
      <c r="S151" s="69"/>
      <c r="T151" s="69"/>
      <c r="U151" s="70"/>
      <c r="V151" s="70"/>
      <c r="W151" s="71"/>
      <c r="X151" s="43"/>
      <c r="Y151" s="43"/>
      <c r="Z151" s="41" t="s">
        <v>904</v>
      </c>
      <c r="AA151" s="41" t="s">
        <v>904</v>
      </c>
      <c r="AB151" s="41"/>
      <c r="AC151" s="69"/>
      <c r="AD151" s="44"/>
    </row>
    <row r="152" spans="3:28" ht="20.100000000000001" customHeight="1" x14ac:dyDescent="0.25">
      <c r="C152" s="57" t="s">
        <v>904</v>
      </c>
      <c r="D152" s="57" t="s">
        <v>904</v>
      </c>
      <c r="E152" s="41" t="s">
        <v>904</v>
      </c>
      <c r="F152" s="41" t="s">
        <v>904</v>
      </c>
      <c r="G152" s="41" t="s">
        <v>904</v>
      </c>
      <c r="H152" s="41" t="s">
        <v>904</v>
      </c>
      <c r="I152" s="41" t="s">
        <v>904</v>
      </c>
      <c r="J152" s="41" t="s">
        <v>904</v>
      </c>
      <c r="K152" s="41" t="s">
        <v>904</v>
      </c>
      <c r="L152" s="41" t="s">
        <v>904</v>
      </c>
      <c r="M152" s="60"/>
      <c r="N152" s="41" t="s">
        <v>904</v>
      </c>
      <c r="O152" s="60"/>
      <c r="P152" s="41" t="s">
        <v>904</v>
      </c>
      <c r="Q152" s="69"/>
      <c r="R152" s="69"/>
      <c r="S152" s="69"/>
      <c r="T152" s="69"/>
      <c r="U152" s="70"/>
      <c r="V152" s="70"/>
      <c r="W152" s="71"/>
      <c r="X152" s="43"/>
      <c r="Y152" s="43"/>
      <c r="Z152" s="41" t="s">
        <v>904</v>
      </c>
      <c r="AA152" s="41" t="s">
        <v>904</v>
      </c>
      <c r="AB152" s="41"/>
      <c r="AC152" s="69"/>
      <c r="AD152" s="44"/>
    </row>
    <row r="153" spans="3:28" ht="20.100000000000001" customHeight="1" x14ac:dyDescent="0.25">
      <c r="C153" s="57" t="s">
        <v>904</v>
      </c>
      <c r="D153" s="57" t="s">
        <v>904</v>
      </c>
      <c r="E153" s="41" t="s">
        <v>904</v>
      </c>
      <c r="F153" s="41" t="s">
        <v>904</v>
      </c>
      <c r="G153" s="41" t="s">
        <v>904</v>
      </c>
      <c r="H153" s="41" t="s">
        <v>904</v>
      </c>
      <c r="I153" s="41" t="s">
        <v>904</v>
      </c>
      <c r="J153" s="41" t="s">
        <v>904</v>
      </c>
      <c r="K153" s="41" t="s">
        <v>904</v>
      </c>
      <c r="L153" s="41" t="s">
        <v>904</v>
      </c>
      <c r="M153" s="60"/>
      <c r="N153" s="41" t="s">
        <v>904</v>
      </c>
      <c r="O153" s="60"/>
      <c r="P153" s="41" t="s">
        <v>904</v>
      </c>
      <c r="Q153" s="69"/>
      <c r="R153" s="69"/>
      <c r="S153" s="69"/>
      <c r="T153" s="69"/>
      <c r="U153" s="70"/>
      <c r="V153" s="70"/>
      <c r="W153" s="71"/>
      <c r="X153" s="43"/>
      <c r="Y153" s="43"/>
      <c r="Z153" s="41" t="s">
        <v>904</v>
      </c>
      <c r="AA153" s="41" t="s">
        <v>904</v>
      </c>
      <c r="AB153" s="41"/>
      <c r="AC153" s="69"/>
      <c r="AD153" s="44"/>
    </row>
    <row r="154" spans="3:28" ht="20.100000000000001" customHeight="1" x14ac:dyDescent="0.25">
      <c r="C154" s="57" t="s">
        <v>904</v>
      </c>
      <c r="D154" s="57" t="s">
        <v>904</v>
      </c>
      <c r="E154" s="41" t="s">
        <v>904</v>
      </c>
      <c r="F154" s="41" t="s">
        <v>904</v>
      </c>
      <c r="G154" s="41" t="s">
        <v>904</v>
      </c>
      <c r="H154" s="41" t="s">
        <v>904</v>
      </c>
      <c r="I154" s="41" t="s">
        <v>904</v>
      </c>
      <c r="J154" s="41" t="s">
        <v>904</v>
      </c>
      <c r="K154" s="41" t="s">
        <v>904</v>
      </c>
      <c r="L154" s="41" t="s">
        <v>904</v>
      </c>
      <c r="M154" s="60"/>
      <c r="N154" s="41" t="s">
        <v>904</v>
      </c>
      <c r="O154" s="60"/>
      <c r="P154" s="41" t="s">
        <v>904</v>
      </c>
      <c r="Q154" s="69"/>
      <c r="R154" s="69"/>
      <c r="S154" s="69"/>
      <c r="T154" s="69"/>
      <c r="U154" s="70"/>
      <c r="V154" s="70"/>
      <c r="W154" s="71"/>
      <c r="X154" s="43"/>
      <c r="Y154" s="43"/>
      <c r="Z154" s="41" t="s">
        <v>904</v>
      </c>
      <c r="AA154" s="41" t="s">
        <v>904</v>
      </c>
      <c r="AB154" s="41"/>
      <c r="AC154" s="69"/>
      <c r="AD154" s="44"/>
    </row>
    <row r="155" spans="3:28" ht="20.100000000000001" customHeight="1" x14ac:dyDescent="0.25">
      <c r="C155" s="57" t="s">
        <v>904</v>
      </c>
      <c r="D155" s="57" t="s">
        <v>904</v>
      </c>
      <c r="E155" s="41" t="s">
        <v>904</v>
      </c>
      <c r="F155" s="41" t="s">
        <v>904</v>
      </c>
      <c r="G155" s="41" t="s">
        <v>904</v>
      </c>
      <c r="H155" s="41" t="s">
        <v>904</v>
      </c>
      <c r="I155" s="41" t="s">
        <v>904</v>
      </c>
      <c r="J155" s="41" t="s">
        <v>904</v>
      </c>
      <c r="K155" s="41" t="s">
        <v>904</v>
      </c>
      <c r="L155" s="41" t="s">
        <v>904</v>
      </c>
      <c r="M155" s="60"/>
      <c r="N155" s="41" t="s">
        <v>904</v>
      </c>
      <c r="O155" s="60"/>
      <c r="P155" s="41" t="s">
        <v>904</v>
      </c>
      <c r="Q155" s="69"/>
      <c r="R155" s="69"/>
      <c r="S155" s="69"/>
      <c r="T155" s="69"/>
      <c r="U155" s="70"/>
      <c r="V155" s="70"/>
      <c r="W155" s="71"/>
      <c r="X155" s="43"/>
      <c r="Y155" s="43"/>
      <c r="Z155" s="41" t="s">
        <v>904</v>
      </c>
      <c r="AA155" s="41" t="s">
        <v>904</v>
      </c>
      <c r="AB155" s="41"/>
      <c r="AC155" s="69"/>
      <c r="AD155" s="44"/>
    </row>
    <row r="156" spans="3:28" ht="20.100000000000001" customHeight="1" x14ac:dyDescent="0.25">
      <c r="C156" s="57" t="s">
        <v>904</v>
      </c>
      <c r="D156" s="57" t="s">
        <v>904</v>
      </c>
      <c r="E156" s="41" t="s">
        <v>904</v>
      </c>
      <c r="F156" s="41" t="s">
        <v>904</v>
      </c>
      <c r="G156" s="41" t="s">
        <v>904</v>
      </c>
      <c r="H156" s="41" t="s">
        <v>904</v>
      </c>
      <c r="I156" s="41" t="s">
        <v>904</v>
      </c>
      <c r="J156" s="41" t="s">
        <v>904</v>
      </c>
      <c r="K156" s="41" t="s">
        <v>904</v>
      </c>
      <c r="L156" s="41" t="s">
        <v>904</v>
      </c>
      <c r="M156" s="60"/>
      <c r="N156" s="41" t="s">
        <v>904</v>
      </c>
      <c r="O156" s="60"/>
      <c r="P156" s="41" t="s">
        <v>904</v>
      </c>
      <c r="Q156" s="69"/>
      <c r="R156" s="69"/>
      <c r="S156" s="69"/>
      <c r="T156" s="69"/>
      <c r="U156" s="70"/>
      <c r="V156" s="70"/>
      <c r="W156" s="71"/>
      <c r="X156" s="43"/>
      <c r="Y156" s="43"/>
      <c r="Z156" s="41" t="s">
        <v>904</v>
      </c>
      <c r="AA156" s="41" t="s">
        <v>904</v>
      </c>
      <c r="AB156" s="41"/>
      <c r="AC156" s="69"/>
      <c r="AD156" s="44"/>
    </row>
    <row r="157" spans="3:28" ht="20.100000000000001" customHeight="1" x14ac:dyDescent="0.25">
      <c r="C157" s="57" t="s">
        <v>904</v>
      </c>
      <c r="D157" s="57" t="s">
        <v>904</v>
      </c>
      <c r="E157" s="41" t="s">
        <v>904</v>
      </c>
      <c r="F157" s="41" t="s">
        <v>904</v>
      </c>
      <c r="G157" s="41" t="s">
        <v>904</v>
      </c>
      <c r="H157" s="41" t="s">
        <v>904</v>
      </c>
      <c r="I157" s="41" t="s">
        <v>904</v>
      </c>
      <c r="J157" s="41" t="s">
        <v>904</v>
      </c>
      <c r="K157" s="41" t="s">
        <v>904</v>
      </c>
      <c r="L157" s="41" t="s">
        <v>904</v>
      </c>
      <c r="M157" s="60"/>
      <c r="N157" s="41" t="s">
        <v>904</v>
      </c>
      <c r="O157" s="60"/>
      <c r="P157" s="41" t="s">
        <v>904</v>
      </c>
      <c r="Q157" s="69"/>
      <c r="R157" s="69"/>
      <c r="S157" s="69"/>
      <c r="T157" s="69"/>
      <c r="U157" s="70"/>
      <c r="V157" s="70"/>
      <c r="W157" s="71"/>
      <c r="X157" s="43"/>
      <c r="Y157" s="43"/>
      <c r="Z157" s="41" t="s">
        <v>904</v>
      </c>
      <c r="AA157" s="41" t="s">
        <v>904</v>
      </c>
      <c r="AB157" s="41"/>
      <c r="AC157" s="69"/>
      <c r="AD157" s="44"/>
    </row>
    <row r="158" spans="3:28" ht="20.100000000000001" customHeight="1" x14ac:dyDescent="0.25">
      <c r="C158" s="57" t="s">
        <v>904</v>
      </c>
      <c r="D158" s="57" t="s">
        <v>904</v>
      </c>
      <c r="E158" s="41" t="s">
        <v>904</v>
      </c>
      <c r="F158" s="41" t="s">
        <v>904</v>
      </c>
      <c r="G158" s="41" t="s">
        <v>904</v>
      </c>
      <c r="H158" s="41" t="s">
        <v>904</v>
      </c>
      <c r="I158" s="41" t="s">
        <v>904</v>
      </c>
      <c r="J158" s="41" t="s">
        <v>904</v>
      </c>
      <c r="K158" s="41" t="s">
        <v>904</v>
      </c>
      <c r="L158" s="41" t="s">
        <v>904</v>
      </c>
      <c r="M158" s="60"/>
      <c r="N158" s="41" t="s">
        <v>904</v>
      </c>
      <c r="O158" s="60"/>
      <c r="P158" s="41" t="s">
        <v>904</v>
      </c>
      <c r="Q158" s="69"/>
      <c r="R158" s="69"/>
      <c r="S158" s="69"/>
      <c r="T158" s="69"/>
      <c r="U158" s="70"/>
      <c r="V158" s="70"/>
      <c r="W158" s="71"/>
      <c r="X158" s="43"/>
      <c r="Y158" s="43"/>
      <c r="Z158" s="41" t="s">
        <v>904</v>
      </c>
      <c r="AA158" s="41" t="s">
        <v>904</v>
      </c>
      <c r="AB158" s="41"/>
      <c r="AC158" s="69"/>
      <c r="AD158" s="44"/>
    </row>
    <row r="159" spans="3:28" ht="20.100000000000001" customHeight="1" x14ac:dyDescent="0.25">
      <c r="C159" s="57" t="s">
        <v>904</v>
      </c>
      <c r="D159" s="57" t="s">
        <v>904</v>
      </c>
      <c r="E159" s="41" t="s">
        <v>904</v>
      </c>
      <c r="F159" s="41" t="s">
        <v>904</v>
      </c>
      <c r="G159" s="41" t="s">
        <v>904</v>
      </c>
      <c r="H159" s="41" t="s">
        <v>904</v>
      </c>
      <c r="I159" s="41" t="s">
        <v>904</v>
      </c>
      <c r="J159" s="41" t="s">
        <v>904</v>
      </c>
      <c r="K159" s="41" t="s">
        <v>904</v>
      </c>
      <c r="L159" s="41" t="s">
        <v>904</v>
      </c>
      <c r="M159" s="60"/>
      <c r="N159" s="41" t="s">
        <v>904</v>
      </c>
      <c r="O159" s="60"/>
      <c r="P159" s="41" t="s">
        <v>904</v>
      </c>
      <c r="Q159" s="69"/>
      <c r="R159" s="69"/>
      <c r="S159" s="69"/>
      <c r="T159" s="69"/>
      <c r="U159" s="70"/>
      <c r="V159" s="70"/>
      <c r="W159" s="71"/>
      <c r="X159" s="43"/>
      <c r="Y159" s="43"/>
      <c r="Z159" s="41" t="s">
        <v>904</v>
      </c>
      <c r="AA159" s="41" t="s">
        <v>904</v>
      </c>
      <c r="AB159" s="41"/>
      <c r="AC159" s="69"/>
      <c r="AD159" s="44"/>
    </row>
    <row r="160" spans="3:28" ht="20.100000000000001" customHeight="1" x14ac:dyDescent="0.25">
      <c r="C160" s="57" t="s">
        <v>904</v>
      </c>
      <c r="D160" s="57" t="s">
        <v>904</v>
      </c>
      <c r="E160" s="41" t="s">
        <v>904</v>
      </c>
      <c r="F160" s="41" t="s">
        <v>904</v>
      </c>
      <c r="G160" s="41" t="s">
        <v>904</v>
      </c>
      <c r="H160" s="41" t="s">
        <v>904</v>
      </c>
      <c r="I160" s="41" t="s">
        <v>904</v>
      </c>
      <c r="J160" s="41" t="s">
        <v>904</v>
      </c>
      <c r="K160" s="41" t="s">
        <v>904</v>
      </c>
      <c r="L160" s="41" t="s">
        <v>904</v>
      </c>
      <c r="M160" s="60"/>
      <c r="N160" s="41" t="s">
        <v>904</v>
      </c>
      <c r="O160" s="60"/>
      <c r="P160" s="41" t="s">
        <v>904</v>
      </c>
      <c r="Q160" s="69"/>
      <c r="R160" s="69"/>
      <c r="S160" s="69"/>
      <c r="T160" s="69"/>
      <c r="U160" s="70"/>
      <c r="V160" s="70"/>
      <c r="W160" s="71"/>
      <c r="X160" s="43"/>
      <c r="Y160" s="43"/>
      <c r="Z160" s="41" t="s">
        <v>904</v>
      </c>
      <c r="AA160" s="41" t="s">
        <v>904</v>
      </c>
      <c r="AB160" s="41"/>
      <c r="AC160" s="69"/>
      <c r="AD160" s="44"/>
    </row>
    <row r="161" spans="3:28" ht="20.100000000000001" customHeight="1" x14ac:dyDescent="0.25">
      <c r="C161" s="57" t="s">
        <v>904</v>
      </c>
      <c r="D161" s="57" t="s">
        <v>904</v>
      </c>
      <c r="E161" s="41" t="s">
        <v>904</v>
      </c>
      <c r="F161" s="41" t="s">
        <v>904</v>
      </c>
      <c r="G161" s="41" t="s">
        <v>904</v>
      </c>
      <c r="H161" s="41" t="s">
        <v>904</v>
      </c>
      <c r="I161" s="41" t="s">
        <v>904</v>
      </c>
      <c r="J161" s="41" t="s">
        <v>904</v>
      </c>
      <c r="K161" s="41" t="s">
        <v>904</v>
      </c>
      <c r="L161" s="41" t="s">
        <v>904</v>
      </c>
      <c r="M161" s="60"/>
      <c r="N161" s="41" t="s">
        <v>904</v>
      </c>
      <c r="O161" s="60"/>
      <c r="P161" s="41" t="s">
        <v>904</v>
      </c>
      <c r="Q161" s="69"/>
      <c r="R161" s="69"/>
      <c r="S161" s="69"/>
      <c r="T161" s="69"/>
      <c r="U161" s="70"/>
      <c r="V161" s="70"/>
      <c r="W161" s="71"/>
      <c r="X161" s="43"/>
      <c r="Y161" s="43"/>
      <c r="Z161" s="41" t="s">
        <v>904</v>
      </c>
      <c r="AA161" s="41" t="s">
        <v>904</v>
      </c>
      <c r="AB161" s="41"/>
      <c r="AC161" s="69"/>
      <c r="AD161" s="44"/>
    </row>
    <row r="162" spans="3:28" ht="20.100000000000001" customHeight="1" x14ac:dyDescent="0.25">
      <c r="C162" s="57" t="s">
        <v>904</v>
      </c>
      <c r="D162" s="57" t="s">
        <v>904</v>
      </c>
      <c r="E162" s="41" t="s">
        <v>904</v>
      </c>
      <c r="F162" s="41" t="s">
        <v>904</v>
      </c>
      <c r="G162" s="41" t="s">
        <v>904</v>
      </c>
      <c r="H162" s="41" t="s">
        <v>904</v>
      </c>
      <c r="I162" s="41" t="s">
        <v>904</v>
      </c>
      <c r="J162" s="41" t="s">
        <v>904</v>
      </c>
      <c r="K162" s="41" t="s">
        <v>904</v>
      </c>
      <c r="L162" s="41" t="s">
        <v>904</v>
      </c>
      <c r="M162" s="60"/>
      <c r="N162" s="41" t="s">
        <v>904</v>
      </c>
      <c r="O162" s="60"/>
      <c r="P162" s="41" t="s">
        <v>904</v>
      </c>
      <c r="Q162" s="69"/>
      <c r="R162" s="69"/>
      <c r="S162" s="69"/>
      <c r="T162" s="69"/>
      <c r="U162" s="70"/>
      <c r="V162" s="70"/>
      <c r="W162" s="71"/>
      <c r="X162" s="43"/>
      <c r="Y162" s="43"/>
      <c r="Z162" s="41" t="s">
        <v>904</v>
      </c>
      <c r="AA162" s="41" t="s">
        <v>904</v>
      </c>
      <c r="AB162" s="41"/>
      <c r="AC162" s="69"/>
      <c r="AD162" s="44"/>
    </row>
    <row r="163" spans="3:28" ht="20.100000000000001" customHeight="1" x14ac:dyDescent="0.25">
      <c r="C163" s="57" t="s">
        <v>904</v>
      </c>
      <c r="D163" s="57" t="s">
        <v>904</v>
      </c>
      <c r="E163" s="41" t="s">
        <v>904</v>
      </c>
      <c r="F163" s="41" t="s">
        <v>904</v>
      </c>
      <c r="G163" s="41" t="s">
        <v>904</v>
      </c>
      <c r="H163" s="41" t="s">
        <v>904</v>
      </c>
      <c r="I163" s="41" t="s">
        <v>904</v>
      </c>
      <c r="J163" s="41" t="s">
        <v>904</v>
      </c>
      <c r="K163" s="41" t="s">
        <v>904</v>
      </c>
      <c r="L163" s="41" t="s">
        <v>904</v>
      </c>
      <c r="M163" s="60"/>
      <c r="N163" s="41" t="s">
        <v>904</v>
      </c>
      <c r="O163" s="60"/>
      <c r="P163" s="41" t="s">
        <v>904</v>
      </c>
      <c r="Q163" s="69"/>
      <c r="R163" s="69"/>
      <c r="S163" s="69"/>
      <c r="T163" s="69"/>
      <c r="U163" s="70"/>
      <c r="V163" s="70"/>
      <c r="W163" s="71"/>
      <c r="X163" s="43"/>
      <c r="Y163" s="43"/>
      <c r="Z163" s="41" t="s">
        <v>904</v>
      </c>
      <c r="AA163" s="41" t="s">
        <v>904</v>
      </c>
      <c r="AB163" s="41"/>
      <c r="AC163" s="69"/>
      <c r="AD163" s="44"/>
    </row>
    <row r="164" spans="3:28" ht="20.100000000000001" customHeight="1" x14ac:dyDescent="0.25">
      <c r="C164" s="57" t="s">
        <v>904</v>
      </c>
      <c r="D164" s="57" t="s">
        <v>904</v>
      </c>
      <c r="E164" s="41" t="s">
        <v>904</v>
      </c>
      <c r="F164" s="41" t="s">
        <v>904</v>
      </c>
      <c r="G164" s="41" t="s">
        <v>904</v>
      </c>
      <c r="H164" s="41" t="s">
        <v>904</v>
      </c>
      <c r="I164" s="41" t="s">
        <v>904</v>
      </c>
      <c r="J164" s="41" t="s">
        <v>904</v>
      </c>
      <c r="K164" s="41" t="s">
        <v>904</v>
      </c>
      <c r="L164" s="41" t="s">
        <v>904</v>
      </c>
      <c r="M164" s="60"/>
      <c r="N164" s="41" t="s">
        <v>904</v>
      </c>
      <c r="O164" s="60"/>
      <c r="P164" s="41" t="s">
        <v>904</v>
      </c>
      <c r="Q164" s="69"/>
      <c r="R164" s="69"/>
      <c r="S164" s="69"/>
      <c r="T164" s="69"/>
      <c r="U164" s="70"/>
      <c r="V164" s="70"/>
      <c r="W164" s="71"/>
      <c r="X164" s="43"/>
      <c r="Y164" s="43"/>
      <c r="Z164" s="41" t="s">
        <v>904</v>
      </c>
      <c r="AA164" s="41" t="s">
        <v>904</v>
      </c>
      <c r="AB164" s="41"/>
      <c r="AC164" s="69"/>
      <c r="AD164" s="44"/>
    </row>
    <row r="165" spans="3:28" ht="20.100000000000001" customHeight="1" x14ac:dyDescent="0.25">
      <c r="C165" s="57" t="s">
        <v>904</v>
      </c>
      <c r="D165" s="57" t="s">
        <v>904</v>
      </c>
      <c r="E165" s="41" t="s">
        <v>904</v>
      </c>
      <c r="F165" s="41" t="s">
        <v>904</v>
      </c>
      <c r="G165" s="41" t="s">
        <v>904</v>
      </c>
      <c r="H165" s="41" t="s">
        <v>904</v>
      </c>
      <c r="I165" s="41" t="s">
        <v>904</v>
      </c>
      <c r="J165" s="41" t="s">
        <v>904</v>
      </c>
      <c r="K165" s="41" t="s">
        <v>904</v>
      </c>
      <c r="L165" s="41" t="s">
        <v>904</v>
      </c>
      <c r="M165" s="60"/>
      <c r="N165" s="41" t="s">
        <v>904</v>
      </c>
      <c r="O165" s="60"/>
      <c r="P165" s="41" t="s">
        <v>904</v>
      </c>
      <c r="Q165" s="69"/>
      <c r="R165" s="69"/>
      <c r="S165" s="69"/>
      <c r="T165" s="69"/>
      <c r="U165" s="70"/>
      <c r="V165" s="70"/>
      <c r="W165" s="71"/>
      <c r="X165" s="43"/>
      <c r="Y165" s="43"/>
      <c r="Z165" s="41" t="s">
        <v>904</v>
      </c>
      <c r="AA165" s="41" t="s">
        <v>904</v>
      </c>
      <c r="AB165" s="41"/>
      <c r="AC165" s="69"/>
      <c r="AD165" s="44"/>
    </row>
    <row r="166" spans="3:28" ht="20.100000000000001" customHeight="1" x14ac:dyDescent="0.25">
      <c r="C166" s="57" t="s">
        <v>904</v>
      </c>
      <c r="D166" s="57" t="s">
        <v>904</v>
      </c>
      <c r="E166" s="41" t="s">
        <v>904</v>
      </c>
      <c r="F166" s="41" t="s">
        <v>904</v>
      </c>
      <c r="G166" s="41" t="s">
        <v>904</v>
      </c>
      <c r="H166" s="41" t="s">
        <v>904</v>
      </c>
      <c r="I166" s="41" t="s">
        <v>904</v>
      </c>
      <c r="J166" s="41" t="s">
        <v>904</v>
      </c>
      <c r="K166" s="41" t="s">
        <v>904</v>
      </c>
      <c r="L166" s="41" t="s">
        <v>904</v>
      </c>
      <c r="M166" s="60"/>
      <c r="N166" s="41" t="s">
        <v>904</v>
      </c>
      <c r="O166" s="60"/>
      <c r="P166" s="41" t="s">
        <v>904</v>
      </c>
      <c r="Q166" s="69"/>
      <c r="R166" s="69"/>
      <c r="S166" s="69"/>
      <c r="T166" s="69"/>
      <c r="U166" s="70"/>
      <c r="V166" s="70"/>
      <c r="W166" s="71"/>
      <c r="X166" s="43"/>
      <c r="Y166" s="43"/>
      <c r="Z166" s="41" t="s">
        <v>904</v>
      </c>
      <c r="AA166" s="41" t="s">
        <v>904</v>
      </c>
      <c r="AB166" s="41"/>
      <c r="AC166" s="69"/>
      <c r="AD166" s="44"/>
    </row>
    <row r="167" spans="3:28" ht="20.100000000000001" customHeight="1" x14ac:dyDescent="0.25">
      <c r="C167" s="57" t="s">
        <v>904</v>
      </c>
      <c r="D167" s="57" t="s">
        <v>904</v>
      </c>
      <c r="E167" s="41" t="s">
        <v>904</v>
      </c>
      <c r="F167" s="41" t="s">
        <v>904</v>
      </c>
      <c r="G167" s="41" t="s">
        <v>904</v>
      </c>
      <c r="H167" s="41" t="s">
        <v>904</v>
      </c>
      <c r="I167" s="41" t="s">
        <v>904</v>
      </c>
      <c r="J167" s="41" t="s">
        <v>904</v>
      </c>
      <c r="K167" s="41" t="s">
        <v>904</v>
      </c>
      <c r="L167" s="41" t="s">
        <v>904</v>
      </c>
      <c r="M167" s="60"/>
      <c r="N167" s="41" t="s">
        <v>904</v>
      </c>
      <c r="O167" s="60"/>
      <c r="P167" s="41" t="s">
        <v>904</v>
      </c>
      <c r="Q167" s="69"/>
      <c r="R167" s="69"/>
      <c r="S167" s="69"/>
      <c r="T167" s="69"/>
      <c r="U167" s="70"/>
      <c r="V167" s="70"/>
      <c r="W167" s="71"/>
      <c r="X167" s="43"/>
      <c r="Y167" s="43"/>
      <c r="Z167" s="41" t="s">
        <v>904</v>
      </c>
      <c r="AA167" s="41" t="s">
        <v>904</v>
      </c>
      <c r="AB167" s="41"/>
      <c r="AC167" s="69"/>
      <c r="AD167" s="44"/>
    </row>
    <row r="168" spans="3:28" ht="20.100000000000001" customHeight="1" x14ac:dyDescent="0.25">
      <c r="C168" s="57" t="s">
        <v>904</v>
      </c>
      <c r="D168" s="57" t="s">
        <v>904</v>
      </c>
      <c r="E168" s="41" t="s">
        <v>904</v>
      </c>
      <c r="F168" s="41" t="s">
        <v>904</v>
      </c>
      <c r="G168" s="41" t="s">
        <v>904</v>
      </c>
      <c r="H168" s="41" t="s">
        <v>904</v>
      </c>
      <c r="I168" s="41" t="s">
        <v>904</v>
      </c>
      <c r="J168" s="41" t="s">
        <v>904</v>
      </c>
      <c r="K168" s="41" t="s">
        <v>904</v>
      </c>
      <c r="L168" s="41" t="s">
        <v>904</v>
      </c>
      <c r="M168" s="60"/>
      <c r="N168" s="41" t="s">
        <v>904</v>
      </c>
      <c r="O168" s="60"/>
      <c r="P168" s="41" t="s">
        <v>904</v>
      </c>
      <c r="Q168" s="69"/>
      <c r="R168" s="69"/>
      <c r="S168" s="69"/>
      <c r="T168" s="69"/>
      <c r="U168" s="70"/>
      <c r="V168" s="70"/>
      <c r="W168" s="71"/>
      <c r="X168" s="43"/>
      <c r="Y168" s="43"/>
      <c r="Z168" s="41" t="s">
        <v>904</v>
      </c>
      <c r="AA168" s="41" t="s">
        <v>904</v>
      </c>
      <c r="AB168" s="41"/>
      <c r="AC168" s="69"/>
      <c r="AD168" s="44"/>
    </row>
    <row r="169" spans="3:28" ht="20.100000000000001" customHeight="1" x14ac:dyDescent="0.25">
      <c r="C169" s="57" t="s">
        <v>904</v>
      </c>
      <c r="D169" s="57" t="s">
        <v>904</v>
      </c>
      <c r="E169" s="41" t="s">
        <v>904</v>
      </c>
      <c r="F169" s="41" t="s">
        <v>904</v>
      </c>
      <c r="G169" s="41" t="s">
        <v>904</v>
      </c>
      <c r="H169" s="41" t="s">
        <v>904</v>
      </c>
      <c r="I169" s="41" t="s">
        <v>904</v>
      </c>
      <c r="J169" s="41" t="s">
        <v>904</v>
      </c>
      <c r="K169" s="41" t="s">
        <v>904</v>
      </c>
      <c r="L169" s="41" t="s">
        <v>904</v>
      </c>
      <c r="M169" s="60"/>
      <c r="N169" s="41" t="s">
        <v>904</v>
      </c>
      <c r="O169" s="60"/>
      <c r="P169" s="41" t="s">
        <v>904</v>
      </c>
      <c r="Q169" s="69"/>
      <c r="R169" s="69"/>
      <c r="S169" s="69"/>
      <c r="T169" s="69"/>
      <c r="U169" s="70"/>
      <c r="V169" s="70"/>
      <c r="W169" s="71"/>
      <c r="X169" s="43"/>
      <c r="Y169" s="43"/>
      <c r="Z169" s="41" t="s">
        <v>904</v>
      </c>
      <c r="AA169" s="41" t="s">
        <v>904</v>
      </c>
      <c r="AB169" s="41"/>
      <c r="AC169" s="69"/>
      <c r="AD169" s="44"/>
    </row>
    <row r="170" spans="3:28" ht="20.100000000000001" customHeight="1" x14ac:dyDescent="0.25">
      <c r="C170" s="57" t="s">
        <v>904</v>
      </c>
      <c r="D170" s="57" t="s">
        <v>904</v>
      </c>
      <c r="E170" s="41" t="s">
        <v>904</v>
      </c>
      <c r="F170" s="41" t="s">
        <v>904</v>
      </c>
      <c r="G170" s="41" t="s">
        <v>904</v>
      </c>
      <c r="H170" s="41" t="s">
        <v>904</v>
      </c>
      <c r="I170" s="41" t="s">
        <v>904</v>
      </c>
      <c r="J170" s="41" t="s">
        <v>904</v>
      </c>
      <c r="K170" s="41" t="s">
        <v>904</v>
      </c>
      <c r="L170" s="41" t="s">
        <v>904</v>
      </c>
      <c r="M170" s="60"/>
      <c r="N170" s="41" t="s">
        <v>904</v>
      </c>
      <c r="O170" s="60"/>
      <c r="P170" s="41" t="s">
        <v>904</v>
      </c>
      <c r="Q170" s="69"/>
      <c r="R170" s="69"/>
      <c r="S170" s="69"/>
      <c r="T170" s="69"/>
      <c r="U170" s="70"/>
      <c r="V170" s="70"/>
      <c r="W170" s="71"/>
      <c r="X170" s="43"/>
      <c r="Y170" s="43"/>
      <c r="Z170" s="41" t="s">
        <v>904</v>
      </c>
      <c r="AA170" s="41" t="s">
        <v>904</v>
      </c>
      <c r="AB170" s="41"/>
      <c r="AC170" s="69"/>
      <c r="AD170" s="44"/>
    </row>
    <row r="171" spans="3:28" ht="20.100000000000001" customHeight="1" x14ac:dyDescent="0.25">
      <c r="C171" s="57" t="s">
        <v>904</v>
      </c>
      <c r="D171" s="57" t="s">
        <v>904</v>
      </c>
      <c r="E171" s="41" t="s">
        <v>904</v>
      </c>
      <c r="F171" s="41" t="s">
        <v>904</v>
      </c>
      <c r="G171" s="41" t="s">
        <v>904</v>
      </c>
      <c r="H171" s="41" t="s">
        <v>904</v>
      </c>
      <c r="I171" s="41" t="s">
        <v>904</v>
      </c>
      <c r="J171" s="41" t="s">
        <v>904</v>
      </c>
      <c r="K171" s="41" t="s">
        <v>904</v>
      </c>
      <c r="L171" s="41" t="s">
        <v>904</v>
      </c>
      <c r="M171" s="60"/>
      <c r="N171" s="41" t="s">
        <v>904</v>
      </c>
      <c r="O171" s="60"/>
      <c r="P171" s="41" t="s">
        <v>904</v>
      </c>
      <c r="Q171" s="69"/>
      <c r="R171" s="69"/>
      <c r="S171" s="69"/>
      <c r="T171" s="69"/>
      <c r="U171" s="70"/>
      <c r="V171" s="70"/>
      <c r="W171" s="71"/>
      <c r="X171" s="43"/>
      <c r="Y171" s="43"/>
      <c r="Z171" s="41" t="s">
        <v>904</v>
      </c>
      <c r="AA171" s="41" t="s">
        <v>904</v>
      </c>
      <c r="AB171" s="41"/>
      <c r="AC171" s="69"/>
      <c r="AD171" s="44"/>
    </row>
    <row r="172" spans="3:28" ht="20.100000000000001" customHeight="1" x14ac:dyDescent="0.25">
      <c r="C172" s="57" t="s">
        <v>904</v>
      </c>
      <c r="D172" s="57" t="s">
        <v>904</v>
      </c>
      <c r="E172" s="41" t="s">
        <v>904</v>
      </c>
      <c r="F172" s="41" t="s">
        <v>904</v>
      </c>
      <c r="G172" s="41" t="s">
        <v>904</v>
      </c>
      <c r="H172" s="41" t="s">
        <v>904</v>
      </c>
      <c r="I172" s="41" t="s">
        <v>904</v>
      </c>
      <c r="J172" s="41" t="s">
        <v>904</v>
      </c>
      <c r="K172" s="41" t="s">
        <v>904</v>
      </c>
      <c r="L172" s="41" t="s">
        <v>904</v>
      </c>
      <c r="M172" s="60"/>
      <c r="N172" s="41" t="s">
        <v>904</v>
      </c>
      <c r="O172" s="60"/>
      <c r="P172" s="41" t="s">
        <v>904</v>
      </c>
      <c r="Q172" s="69"/>
      <c r="R172" s="69"/>
      <c r="S172" s="69"/>
      <c r="T172" s="69"/>
      <c r="U172" s="70"/>
      <c r="V172" s="70"/>
      <c r="W172" s="71"/>
      <c r="X172" s="43"/>
      <c r="Y172" s="43"/>
      <c r="Z172" s="41" t="s">
        <v>904</v>
      </c>
      <c r="AA172" s="41" t="s">
        <v>904</v>
      </c>
      <c r="AB172" s="41"/>
      <c r="AC172" s="69"/>
      <c r="AD172" s="44"/>
    </row>
    <row r="173" spans="3:28" ht="20.100000000000001" customHeight="1" x14ac:dyDescent="0.25">
      <c r="C173" s="57" t="s">
        <v>904</v>
      </c>
      <c r="D173" s="57" t="s">
        <v>904</v>
      </c>
      <c r="E173" s="41" t="s">
        <v>904</v>
      </c>
      <c r="F173" s="41" t="s">
        <v>904</v>
      </c>
      <c r="G173" s="41" t="s">
        <v>904</v>
      </c>
      <c r="H173" s="41" t="s">
        <v>904</v>
      </c>
      <c r="I173" s="41" t="s">
        <v>904</v>
      </c>
      <c r="J173" s="41" t="s">
        <v>904</v>
      </c>
      <c r="K173" s="41" t="s">
        <v>904</v>
      </c>
      <c r="L173" s="41" t="s">
        <v>904</v>
      </c>
      <c r="M173" s="60"/>
      <c r="N173" s="41" t="s">
        <v>904</v>
      </c>
      <c r="O173" s="60"/>
      <c r="P173" s="41" t="s">
        <v>904</v>
      </c>
      <c r="Q173" s="69"/>
      <c r="R173" s="69"/>
      <c r="S173" s="69"/>
      <c r="T173" s="69"/>
      <c r="U173" s="70"/>
      <c r="V173" s="70"/>
      <c r="W173" s="71"/>
      <c r="X173" s="43"/>
      <c r="Y173" s="43"/>
      <c r="Z173" s="41" t="s">
        <v>904</v>
      </c>
      <c r="AA173" s="41" t="s">
        <v>904</v>
      </c>
      <c r="AB173" s="41"/>
      <c r="AC173" s="69"/>
      <c r="AD173" s="44"/>
    </row>
    <row r="174" spans="3:28" ht="20.100000000000001" customHeight="1" x14ac:dyDescent="0.25">
      <c r="C174" s="57" t="s">
        <v>904</v>
      </c>
      <c r="D174" s="57" t="s">
        <v>904</v>
      </c>
      <c r="E174" s="41" t="s">
        <v>904</v>
      </c>
      <c r="F174" s="41" t="s">
        <v>904</v>
      </c>
      <c r="G174" s="41" t="s">
        <v>904</v>
      </c>
      <c r="H174" s="41" t="s">
        <v>904</v>
      </c>
      <c r="I174" s="41" t="s">
        <v>904</v>
      </c>
      <c r="J174" s="41" t="s">
        <v>904</v>
      </c>
      <c r="K174" s="41" t="s">
        <v>904</v>
      </c>
      <c r="L174" s="41" t="s">
        <v>904</v>
      </c>
      <c r="M174" s="60"/>
      <c r="N174" s="41" t="s">
        <v>904</v>
      </c>
      <c r="O174" s="60"/>
      <c r="P174" s="41" t="s">
        <v>904</v>
      </c>
      <c r="Q174" s="69"/>
      <c r="R174" s="69"/>
      <c r="S174" s="69"/>
      <c r="T174" s="69"/>
      <c r="U174" s="70"/>
      <c r="V174" s="70"/>
      <c r="W174" s="71"/>
      <c r="X174" s="43"/>
      <c r="Y174" s="43"/>
      <c r="Z174" s="41" t="s">
        <v>904</v>
      </c>
      <c r="AA174" s="41" t="s">
        <v>904</v>
      </c>
      <c r="AB174" s="41"/>
      <c r="AC174" s="69"/>
      <c r="AD174" s="44"/>
    </row>
    <row r="175" spans="3:28" ht="20.100000000000001" customHeight="1" x14ac:dyDescent="0.25">
      <c r="C175" s="57" t="s">
        <v>904</v>
      </c>
      <c r="D175" s="57" t="s">
        <v>904</v>
      </c>
      <c r="E175" s="41" t="s">
        <v>904</v>
      </c>
      <c r="F175" s="41" t="s">
        <v>904</v>
      </c>
      <c r="G175" s="41" t="s">
        <v>904</v>
      </c>
      <c r="H175" s="41" t="s">
        <v>904</v>
      </c>
      <c r="I175" s="41" t="s">
        <v>904</v>
      </c>
      <c r="J175" s="41" t="s">
        <v>904</v>
      </c>
      <c r="K175" s="41" t="s">
        <v>904</v>
      </c>
      <c r="L175" s="41" t="s">
        <v>904</v>
      </c>
      <c r="M175" s="60"/>
      <c r="N175" s="41" t="s">
        <v>904</v>
      </c>
      <c r="O175" s="60"/>
      <c r="P175" s="41" t="s">
        <v>904</v>
      </c>
      <c r="Q175" s="69"/>
      <c r="R175" s="69"/>
      <c r="S175" s="69"/>
      <c r="T175" s="69"/>
      <c r="U175" s="70"/>
      <c r="V175" s="70"/>
      <c r="W175" s="71"/>
      <c r="X175" s="43"/>
      <c r="Y175" s="43"/>
      <c r="Z175" s="41" t="s">
        <v>904</v>
      </c>
      <c r="AA175" s="41" t="s">
        <v>904</v>
      </c>
      <c r="AB175" s="41"/>
      <c r="AC175" s="69"/>
      <c r="AD175" s="44"/>
    </row>
    <row r="176" spans="3:28" ht="20.100000000000001" customHeight="1" x14ac:dyDescent="0.25">
      <c r="C176" s="57" t="s">
        <v>904</v>
      </c>
      <c r="D176" s="57" t="s">
        <v>904</v>
      </c>
      <c r="E176" s="41" t="s">
        <v>904</v>
      </c>
      <c r="F176" s="41" t="s">
        <v>904</v>
      </c>
      <c r="G176" s="41" t="s">
        <v>904</v>
      </c>
      <c r="H176" s="41" t="s">
        <v>904</v>
      </c>
      <c r="I176" s="41" t="s">
        <v>904</v>
      </c>
      <c r="J176" s="41" t="s">
        <v>904</v>
      </c>
      <c r="K176" s="41" t="s">
        <v>904</v>
      </c>
      <c r="L176" s="41" t="s">
        <v>904</v>
      </c>
      <c r="M176" s="60"/>
      <c r="N176" s="41" t="s">
        <v>904</v>
      </c>
      <c r="O176" s="60"/>
      <c r="P176" s="41" t="s">
        <v>904</v>
      </c>
      <c r="Q176" s="69"/>
      <c r="R176" s="69"/>
      <c r="S176" s="69"/>
      <c r="T176" s="69"/>
      <c r="U176" s="70"/>
      <c r="V176" s="70"/>
      <c r="W176" s="71"/>
      <c r="X176" s="43"/>
      <c r="Y176" s="43"/>
      <c r="Z176" s="41" t="s">
        <v>904</v>
      </c>
      <c r="AA176" s="41" t="s">
        <v>904</v>
      </c>
      <c r="AB176" s="41"/>
      <c r="AC176" s="69"/>
      <c r="AD176" s="44"/>
    </row>
    <row r="177" spans="3:28" ht="20.100000000000001" customHeight="1" x14ac:dyDescent="0.25">
      <c r="C177" s="57" t="s">
        <v>904</v>
      </c>
      <c r="D177" s="57" t="s">
        <v>904</v>
      </c>
      <c r="E177" s="41" t="s">
        <v>904</v>
      </c>
      <c r="F177" s="41" t="s">
        <v>904</v>
      </c>
      <c r="G177" s="41" t="s">
        <v>904</v>
      </c>
      <c r="H177" s="41" t="s">
        <v>904</v>
      </c>
      <c r="I177" s="41" t="s">
        <v>904</v>
      </c>
      <c r="J177" s="41" t="s">
        <v>904</v>
      </c>
      <c r="K177" s="41" t="s">
        <v>904</v>
      </c>
      <c r="L177" s="41" t="s">
        <v>904</v>
      </c>
      <c r="M177" s="60"/>
      <c r="N177" s="41" t="s">
        <v>904</v>
      </c>
      <c r="O177" s="60"/>
      <c r="P177" s="41" t="s">
        <v>904</v>
      </c>
      <c r="Q177" s="69"/>
      <c r="R177" s="69"/>
      <c r="S177" s="69"/>
      <c r="T177" s="69"/>
      <c r="U177" s="70"/>
      <c r="V177" s="70"/>
      <c r="W177" s="71"/>
      <c r="X177" s="43"/>
      <c r="Y177" s="43"/>
      <c r="Z177" s="41" t="s">
        <v>904</v>
      </c>
      <c r="AA177" s="41" t="s">
        <v>904</v>
      </c>
      <c r="AB177" s="41"/>
      <c r="AC177" s="69"/>
      <c r="AD177" s="44"/>
    </row>
    <row r="178" spans="3:28" ht="20.100000000000001" customHeight="1" x14ac:dyDescent="0.25">
      <c r="C178" s="57" t="s">
        <v>904</v>
      </c>
      <c r="D178" s="57" t="s">
        <v>904</v>
      </c>
      <c r="E178" s="41" t="s">
        <v>904</v>
      </c>
      <c r="F178" s="41" t="s">
        <v>904</v>
      </c>
      <c r="G178" s="41" t="s">
        <v>904</v>
      </c>
      <c r="H178" s="41" t="s">
        <v>904</v>
      </c>
      <c r="I178" s="41" t="s">
        <v>904</v>
      </c>
      <c r="J178" s="41" t="s">
        <v>904</v>
      </c>
      <c r="K178" s="41" t="s">
        <v>904</v>
      </c>
      <c r="L178" s="41" t="s">
        <v>904</v>
      </c>
      <c r="M178" s="60"/>
      <c r="N178" s="41" t="s">
        <v>904</v>
      </c>
      <c r="O178" s="60"/>
      <c r="P178" s="41" t="s">
        <v>904</v>
      </c>
      <c r="Q178" s="69"/>
      <c r="R178" s="69"/>
      <c r="S178" s="69"/>
      <c r="T178" s="69"/>
      <c r="U178" s="70"/>
      <c r="V178" s="70"/>
      <c r="W178" s="71"/>
      <c r="X178" s="43"/>
      <c r="Y178" s="43"/>
      <c r="Z178" s="41" t="s">
        <v>904</v>
      </c>
      <c r="AA178" s="41" t="s">
        <v>904</v>
      </c>
      <c r="AB178" s="41"/>
      <c r="AC178" s="69"/>
      <c r="AD178" s="44"/>
    </row>
    <row r="179" spans="3:28" ht="20.100000000000001" customHeight="1" x14ac:dyDescent="0.25">
      <c r="C179" s="57" t="s">
        <v>904</v>
      </c>
      <c r="D179" s="57" t="s">
        <v>904</v>
      </c>
      <c r="E179" s="41" t="s">
        <v>904</v>
      </c>
      <c r="F179" s="41" t="s">
        <v>904</v>
      </c>
      <c r="G179" s="41" t="s">
        <v>904</v>
      </c>
      <c r="H179" s="41" t="s">
        <v>904</v>
      </c>
      <c r="I179" s="41" t="s">
        <v>904</v>
      </c>
      <c r="J179" s="41" t="s">
        <v>904</v>
      </c>
      <c r="K179" s="41" t="s">
        <v>904</v>
      </c>
      <c r="L179" s="41" t="s">
        <v>904</v>
      </c>
      <c r="M179" s="60"/>
      <c r="N179" s="41" t="s">
        <v>904</v>
      </c>
      <c r="O179" s="60"/>
      <c r="P179" s="41" t="s">
        <v>904</v>
      </c>
      <c r="Q179" s="69"/>
      <c r="R179" s="69"/>
      <c r="S179" s="69"/>
      <c r="T179" s="69"/>
      <c r="U179" s="70"/>
      <c r="V179" s="70"/>
      <c r="W179" s="71"/>
      <c r="X179" s="43"/>
      <c r="Y179" s="43"/>
      <c r="Z179" s="41" t="s">
        <v>904</v>
      </c>
      <c r="AA179" s="41" t="s">
        <v>904</v>
      </c>
      <c r="AB179" s="41"/>
      <c r="AC179" s="69"/>
      <c r="AD179" s="44"/>
    </row>
    <row r="180" spans="3:28" ht="20.100000000000001" customHeight="1" x14ac:dyDescent="0.25">
      <c r="C180" s="57" t="s">
        <v>904</v>
      </c>
      <c r="D180" s="57" t="s">
        <v>904</v>
      </c>
      <c r="E180" s="41" t="s">
        <v>904</v>
      </c>
      <c r="F180" s="41" t="s">
        <v>904</v>
      </c>
      <c r="G180" s="41" t="s">
        <v>904</v>
      </c>
      <c r="H180" s="41" t="s">
        <v>904</v>
      </c>
      <c r="I180" s="41" t="s">
        <v>904</v>
      </c>
      <c r="J180" s="41" t="s">
        <v>904</v>
      </c>
      <c r="K180" s="41" t="s">
        <v>904</v>
      </c>
      <c r="L180" s="41" t="s">
        <v>904</v>
      </c>
      <c r="M180" s="60"/>
      <c r="N180" s="41" t="s">
        <v>904</v>
      </c>
      <c r="O180" s="60"/>
      <c r="P180" s="41" t="s">
        <v>904</v>
      </c>
      <c r="Q180" s="69"/>
      <c r="R180" s="69"/>
      <c r="S180" s="69"/>
      <c r="T180" s="69"/>
      <c r="U180" s="70"/>
      <c r="V180" s="70"/>
      <c r="W180" s="71"/>
      <c r="X180" s="43"/>
      <c r="Y180" s="43"/>
      <c r="Z180" s="41" t="s">
        <v>904</v>
      </c>
      <c r="AA180" s="41" t="s">
        <v>904</v>
      </c>
      <c r="AB180" s="41"/>
      <c r="AC180" s="69"/>
      <c r="AD180" s="44"/>
    </row>
    <row r="181" spans="3:28" ht="20.100000000000001" customHeight="1" x14ac:dyDescent="0.25">
      <c r="C181" s="57" t="s">
        <v>904</v>
      </c>
      <c r="D181" s="57" t="s">
        <v>904</v>
      </c>
      <c r="E181" s="41" t="s">
        <v>904</v>
      </c>
      <c r="F181" s="41" t="s">
        <v>904</v>
      </c>
      <c r="G181" s="41" t="s">
        <v>904</v>
      </c>
      <c r="H181" s="41" t="s">
        <v>904</v>
      </c>
      <c r="I181" s="41" t="s">
        <v>904</v>
      </c>
      <c r="J181" s="41" t="s">
        <v>904</v>
      </c>
      <c r="K181" s="41" t="s">
        <v>904</v>
      </c>
      <c r="L181" s="41" t="s">
        <v>904</v>
      </c>
      <c r="M181" s="60"/>
      <c r="N181" s="41" t="s">
        <v>904</v>
      </c>
      <c r="O181" s="60"/>
      <c r="P181" s="41" t="s">
        <v>904</v>
      </c>
      <c r="Q181" s="69"/>
      <c r="R181" s="69"/>
      <c r="S181" s="69"/>
      <c r="T181" s="69"/>
      <c r="U181" s="70"/>
      <c r="V181" s="70"/>
      <c r="W181" s="71"/>
      <c r="X181" s="43"/>
      <c r="Y181" s="43"/>
      <c r="Z181" s="41" t="s">
        <v>904</v>
      </c>
      <c r="AA181" s="41" t="s">
        <v>904</v>
      </c>
      <c r="AB181" s="41"/>
      <c r="AC181" s="69"/>
      <c r="AD181" s="44"/>
    </row>
    <row r="182" spans="3:28" ht="20.100000000000001" customHeight="1" x14ac:dyDescent="0.25">
      <c r="C182" s="57" t="s">
        <v>904</v>
      </c>
      <c r="D182" s="57" t="s">
        <v>904</v>
      </c>
      <c r="E182" s="41" t="s">
        <v>904</v>
      </c>
      <c r="F182" s="41" t="s">
        <v>904</v>
      </c>
      <c r="G182" s="41" t="s">
        <v>904</v>
      </c>
      <c r="H182" s="41" t="s">
        <v>904</v>
      </c>
      <c r="I182" s="41" t="s">
        <v>904</v>
      </c>
      <c r="J182" s="41" t="s">
        <v>904</v>
      </c>
      <c r="K182" s="41" t="s">
        <v>904</v>
      </c>
      <c r="L182" s="41" t="s">
        <v>904</v>
      </c>
      <c r="M182" s="60"/>
      <c r="N182" s="41" t="s">
        <v>904</v>
      </c>
      <c r="O182" s="60"/>
      <c r="P182" s="41" t="s">
        <v>904</v>
      </c>
      <c r="Q182" s="69"/>
      <c r="R182" s="69"/>
      <c r="S182" s="69"/>
      <c r="T182" s="69"/>
      <c r="U182" s="70"/>
      <c r="V182" s="70"/>
      <c r="W182" s="71"/>
      <c r="X182" s="43"/>
      <c r="Y182" s="43"/>
      <c r="Z182" s="41" t="s">
        <v>904</v>
      </c>
      <c r="AA182" s="41" t="s">
        <v>904</v>
      </c>
      <c r="AB182" s="41"/>
      <c r="AC182" s="69"/>
      <c r="AD182" s="44"/>
    </row>
    <row r="183" spans="3:28" ht="20.100000000000001" customHeight="1" x14ac:dyDescent="0.25">
      <c r="C183" s="57" t="s">
        <v>904</v>
      </c>
      <c r="D183" s="57" t="s">
        <v>904</v>
      </c>
      <c r="E183" s="41" t="s">
        <v>904</v>
      </c>
      <c r="F183" s="41" t="s">
        <v>904</v>
      </c>
      <c r="G183" s="41" t="s">
        <v>904</v>
      </c>
      <c r="H183" s="41" t="s">
        <v>904</v>
      </c>
      <c r="I183" s="41" t="s">
        <v>904</v>
      </c>
      <c r="J183" s="41" t="s">
        <v>904</v>
      </c>
      <c r="K183" s="41" t="s">
        <v>904</v>
      </c>
      <c r="L183" s="41" t="s">
        <v>904</v>
      </c>
      <c r="M183" s="60"/>
      <c r="N183" s="41" t="s">
        <v>904</v>
      </c>
      <c r="O183" s="60"/>
      <c r="P183" s="41" t="s">
        <v>904</v>
      </c>
      <c r="Q183" s="69"/>
      <c r="R183" s="69"/>
      <c r="S183" s="69"/>
      <c r="T183" s="69"/>
      <c r="U183" s="70"/>
      <c r="V183" s="70"/>
      <c r="W183" s="71"/>
      <c r="X183" s="43"/>
      <c r="Y183" s="43"/>
      <c r="Z183" s="41" t="s">
        <v>904</v>
      </c>
      <c r="AA183" s="41" t="s">
        <v>904</v>
      </c>
      <c r="AB183" s="41"/>
      <c r="AC183" s="69"/>
      <c r="AD183" s="44"/>
    </row>
    <row r="184" spans="3:28" ht="20.100000000000001" customHeight="1" x14ac:dyDescent="0.25">
      <c r="C184" s="57" t="s">
        <v>904</v>
      </c>
      <c r="D184" s="57" t="s">
        <v>904</v>
      </c>
      <c r="E184" s="41" t="s">
        <v>904</v>
      </c>
      <c r="F184" s="41" t="s">
        <v>904</v>
      </c>
      <c r="G184" s="41" t="s">
        <v>904</v>
      </c>
      <c r="H184" s="41" t="s">
        <v>904</v>
      </c>
      <c r="I184" s="41" t="s">
        <v>904</v>
      </c>
      <c r="J184" s="41" t="s">
        <v>904</v>
      </c>
      <c r="K184" s="41" t="s">
        <v>904</v>
      </c>
      <c r="L184" s="41" t="s">
        <v>904</v>
      </c>
      <c r="M184" s="60"/>
      <c r="N184" s="41" t="s">
        <v>904</v>
      </c>
      <c r="O184" s="60"/>
      <c r="P184" s="41" t="s">
        <v>904</v>
      </c>
      <c r="Q184" s="69"/>
      <c r="R184" s="69"/>
      <c r="S184" s="69"/>
      <c r="T184" s="69"/>
      <c r="U184" s="70"/>
      <c r="V184" s="70"/>
      <c r="W184" s="71"/>
      <c r="X184" s="43"/>
      <c r="Y184" s="43"/>
      <c r="Z184" s="41" t="s">
        <v>904</v>
      </c>
      <c r="AA184" s="41" t="s">
        <v>904</v>
      </c>
      <c r="AB184" s="41"/>
      <c r="AC184" s="69"/>
      <c r="AD184" s="44"/>
    </row>
    <row r="185" spans="3:28" ht="20.100000000000001" customHeight="1" x14ac:dyDescent="0.25">
      <c r="C185" s="57" t="s">
        <v>904</v>
      </c>
      <c r="D185" s="57" t="s">
        <v>904</v>
      </c>
      <c r="E185" s="41" t="s">
        <v>904</v>
      </c>
      <c r="F185" s="41" t="s">
        <v>904</v>
      </c>
      <c r="G185" s="41" t="s">
        <v>904</v>
      </c>
      <c r="H185" s="41" t="s">
        <v>904</v>
      </c>
      <c r="I185" s="41" t="s">
        <v>904</v>
      </c>
      <c r="J185" s="41" t="s">
        <v>904</v>
      </c>
      <c r="K185" s="41" t="s">
        <v>904</v>
      </c>
      <c r="L185" s="41" t="s">
        <v>904</v>
      </c>
      <c r="M185" s="60"/>
      <c r="N185" s="41" t="s">
        <v>904</v>
      </c>
      <c r="O185" s="60"/>
      <c r="P185" s="41" t="s">
        <v>904</v>
      </c>
      <c r="Q185" s="69"/>
      <c r="R185" s="69"/>
      <c r="S185" s="69"/>
      <c r="T185" s="69"/>
      <c r="U185" s="70"/>
      <c r="V185" s="70"/>
      <c r="W185" s="71"/>
      <c r="X185" s="43"/>
      <c r="Y185" s="43"/>
      <c r="Z185" s="41" t="s">
        <v>904</v>
      </c>
      <c r="AA185" s="41" t="s">
        <v>904</v>
      </c>
      <c r="AB185" s="41"/>
      <c r="AC185" s="69"/>
      <c r="AD185" s="44"/>
    </row>
    <row r="186" spans="3:28" ht="20.100000000000001" customHeight="1" x14ac:dyDescent="0.25">
      <c r="C186" s="57" t="s">
        <v>904</v>
      </c>
      <c r="D186" s="57" t="s">
        <v>904</v>
      </c>
      <c r="E186" s="41" t="s">
        <v>904</v>
      </c>
      <c r="F186" s="41" t="s">
        <v>904</v>
      </c>
      <c r="G186" s="41" t="s">
        <v>904</v>
      </c>
      <c r="H186" s="41" t="s">
        <v>904</v>
      </c>
      <c r="I186" s="41" t="s">
        <v>904</v>
      </c>
      <c r="J186" s="41" t="s">
        <v>904</v>
      </c>
      <c r="K186" s="41" t="s">
        <v>904</v>
      </c>
      <c r="L186" s="41" t="s">
        <v>904</v>
      </c>
      <c r="M186" s="60"/>
      <c r="N186" s="41" t="s">
        <v>904</v>
      </c>
      <c r="O186" s="60"/>
      <c r="P186" s="41" t="s">
        <v>904</v>
      </c>
      <c r="Q186" s="69"/>
      <c r="R186" s="69"/>
      <c r="S186" s="69"/>
      <c r="T186" s="69"/>
      <c r="U186" s="70"/>
      <c r="V186" s="70"/>
      <c r="W186" s="71"/>
      <c r="X186" s="43"/>
      <c r="Y186" s="43"/>
      <c r="Z186" s="41" t="s">
        <v>904</v>
      </c>
      <c r="AA186" s="41" t="s">
        <v>904</v>
      </c>
      <c r="AB186" s="41"/>
      <c r="AC186" s="69"/>
      <c r="AD186" s="44"/>
    </row>
    <row r="187" spans="3:28" ht="20.100000000000001" customHeight="1" x14ac:dyDescent="0.25">
      <c r="C187" s="57" t="s">
        <v>904</v>
      </c>
      <c r="D187" s="57" t="s">
        <v>904</v>
      </c>
      <c r="E187" s="41" t="s">
        <v>904</v>
      </c>
      <c r="F187" s="41" t="s">
        <v>904</v>
      </c>
      <c r="G187" s="41" t="s">
        <v>904</v>
      </c>
      <c r="H187" s="41" t="s">
        <v>904</v>
      </c>
      <c r="I187" s="41" t="s">
        <v>904</v>
      </c>
      <c r="J187" s="41" t="s">
        <v>904</v>
      </c>
      <c r="K187" s="41" t="s">
        <v>904</v>
      </c>
      <c r="L187" s="41" t="s">
        <v>904</v>
      </c>
      <c r="M187" s="60"/>
      <c r="N187" s="41" t="s">
        <v>904</v>
      </c>
      <c r="O187" s="60"/>
      <c r="P187" s="41" t="s">
        <v>904</v>
      </c>
      <c r="Q187" s="69"/>
      <c r="R187" s="69"/>
      <c r="S187" s="69"/>
      <c r="T187" s="69"/>
      <c r="U187" s="70"/>
      <c r="V187" s="70"/>
      <c r="W187" s="71"/>
      <c r="X187" s="43"/>
      <c r="Y187" s="43"/>
      <c r="Z187" s="41" t="s">
        <v>904</v>
      </c>
      <c r="AA187" s="41" t="s">
        <v>904</v>
      </c>
      <c r="AB187" s="41"/>
      <c r="AC187" s="69"/>
      <c r="AD187" s="44"/>
    </row>
    <row r="188" spans="3:28" ht="20.100000000000001" customHeight="1" x14ac:dyDescent="0.25">
      <c r="C188" s="57" t="s">
        <v>904</v>
      </c>
      <c r="D188" s="57" t="s">
        <v>904</v>
      </c>
      <c r="E188" s="41" t="s">
        <v>904</v>
      </c>
      <c r="F188" s="41" t="s">
        <v>904</v>
      </c>
      <c r="G188" s="41" t="s">
        <v>904</v>
      </c>
      <c r="H188" s="41" t="s">
        <v>904</v>
      </c>
      <c r="I188" s="41" t="s">
        <v>904</v>
      </c>
      <c r="J188" s="41" t="s">
        <v>904</v>
      </c>
      <c r="K188" s="41" t="s">
        <v>904</v>
      </c>
      <c r="L188" s="41" t="s">
        <v>904</v>
      </c>
      <c r="M188" s="60"/>
      <c r="N188" s="41" t="s">
        <v>904</v>
      </c>
      <c r="O188" s="60"/>
      <c r="P188" s="41" t="s">
        <v>904</v>
      </c>
      <c r="Q188" s="69"/>
      <c r="R188" s="69"/>
      <c r="S188" s="69"/>
      <c r="T188" s="69"/>
      <c r="U188" s="70"/>
      <c r="V188" s="70"/>
      <c r="W188" s="71"/>
      <c r="X188" s="43"/>
      <c r="Y188" s="43"/>
      <c r="Z188" s="41" t="s">
        <v>904</v>
      </c>
      <c r="AA188" s="41" t="s">
        <v>904</v>
      </c>
      <c r="AB188" s="41"/>
      <c r="AC188" s="69"/>
      <c r="AD188" s="44"/>
    </row>
    <row r="189" spans="3:28" ht="20.100000000000001" customHeight="1" x14ac:dyDescent="0.25">
      <c r="C189" s="57" t="s">
        <v>904</v>
      </c>
      <c r="D189" s="57" t="s">
        <v>904</v>
      </c>
      <c r="E189" s="41" t="s">
        <v>904</v>
      </c>
      <c r="F189" s="41" t="s">
        <v>904</v>
      </c>
      <c r="G189" s="41" t="s">
        <v>904</v>
      </c>
      <c r="H189" s="41" t="s">
        <v>904</v>
      </c>
      <c r="I189" s="41" t="s">
        <v>904</v>
      </c>
      <c r="J189" s="41" t="s">
        <v>904</v>
      </c>
      <c r="K189" s="41" t="s">
        <v>904</v>
      </c>
      <c r="L189" s="41" t="s">
        <v>904</v>
      </c>
      <c r="M189" s="60"/>
      <c r="N189" s="41" t="s">
        <v>904</v>
      </c>
      <c r="O189" s="60"/>
      <c r="P189" s="41" t="s">
        <v>904</v>
      </c>
      <c r="Q189" s="69"/>
      <c r="R189" s="69"/>
      <c r="S189" s="69"/>
      <c r="T189" s="69"/>
      <c r="U189" s="70"/>
      <c r="V189" s="70"/>
      <c r="W189" s="71"/>
      <c r="X189" s="43"/>
      <c r="Y189" s="43"/>
      <c r="Z189" s="41" t="s">
        <v>904</v>
      </c>
      <c r="AA189" s="41" t="s">
        <v>904</v>
      </c>
      <c r="AB189" s="41"/>
      <c r="AC189" s="69"/>
      <c r="AD189" s="44"/>
    </row>
    <row r="190" spans="3:28" ht="20.100000000000001" customHeight="1" x14ac:dyDescent="0.25">
      <c r="C190" s="57" t="s">
        <v>904</v>
      </c>
      <c r="D190" s="57" t="s">
        <v>904</v>
      </c>
      <c r="E190" s="41" t="s">
        <v>904</v>
      </c>
      <c r="F190" s="41" t="s">
        <v>904</v>
      </c>
      <c r="G190" s="41" t="s">
        <v>904</v>
      </c>
      <c r="H190" s="41" t="s">
        <v>904</v>
      </c>
      <c r="I190" s="41" t="s">
        <v>904</v>
      </c>
      <c r="J190" s="41" t="s">
        <v>904</v>
      </c>
      <c r="K190" s="41" t="s">
        <v>904</v>
      </c>
      <c r="L190" s="41" t="s">
        <v>904</v>
      </c>
      <c r="M190" s="60"/>
      <c r="N190" s="41" t="s">
        <v>904</v>
      </c>
      <c r="O190" s="60"/>
      <c r="P190" s="41" t="s">
        <v>904</v>
      </c>
      <c r="Q190" s="69"/>
      <c r="R190" s="69"/>
      <c r="S190" s="69"/>
      <c r="T190" s="69"/>
      <c r="U190" s="70"/>
      <c r="V190" s="70"/>
      <c r="W190" s="71"/>
      <c r="X190" s="43"/>
      <c r="Y190" s="43"/>
      <c r="Z190" s="41" t="s">
        <v>904</v>
      </c>
      <c r="AA190" s="41" t="s">
        <v>904</v>
      </c>
      <c r="AB190" s="41"/>
      <c r="AC190" s="69"/>
      <c r="AD190" s="44"/>
    </row>
    <row r="191" spans="3:28" ht="20.100000000000001" customHeight="1" x14ac:dyDescent="0.25">
      <c r="C191" s="57" t="s">
        <v>904</v>
      </c>
      <c r="D191" s="57" t="s">
        <v>904</v>
      </c>
      <c r="E191" s="41" t="s">
        <v>904</v>
      </c>
      <c r="F191" s="41" t="s">
        <v>904</v>
      </c>
      <c r="G191" s="41" t="s">
        <v>904</v>
      </c>
      <c r="H191" s="41" t="s">
        <v>904</v>
      </c>
      <c r="I191" s="41" t="s">
        <v>904</v>
      </c>
      <c r="J191" s="41" t="s">
        <v>904</v>
      </c>
      <c r="K191" s="41" t="s">
        <v>904</v>
      </c>
      <c r="L191" s="41" t="s">
        <v>904</v>
      </c>
      <c r="M191" s="60"/>
      <c r="N191" s="41" t="s">
        <v>904</v>
      </c>
      <c r="O191" s="60"/>
      <c r="P191" s="41" t="s">
        <v>904</v>
      </c>
      <c r="Q191" s="69"/>
      <c r="R191" s="69"/>
      <c r="S191" s="69"/>
      <c r="T191" s="69"/>
      <c r="U191" s="70"/>
      <c r="V191" s="70"/>
      <c r="W191" s="71"/>
      <c r="X191" s="43"/>
      <c r="Y191" s="43"/>
      <c r="Z191" s="41" t="s">
        <v>904</v>
      </c>
      <c r="AA191" s="41" t="s">
        <v>904</v>
      </c>
      <c r="AB191" s="41"/>
      <c r="AC191" s="69"/>
      <c r="AD191" s="44"/>
    </row>
    <row r="192" spans="3:28" ht="20.100000000000001" customHeight="1" x14ac:dyDescent="0.25">
      <c r="C192" s="57" t="s">
        <v>904</v>
      </c>
      <c r="D192" s="57" t="s">
        <v>904</v>
      </c>
      <c r="E192" s="41" t="s">
        <v>904</v>
      </c>
      <c r="F192" s="41" t="s">
        <v>904</v>
      </c>
      <c r="G192" s="41" t="s">
        <v>904</v>
      </c>
      <c r="H192" s="41" t="s">
        <v>904</v>
      </c>
      <c r="I192" s="41" t="s">
        <v>904</v>
      </c>
      <c r="J192" s="41" t="s">
        <v>904</v>
      </c>
      <c r="K192" s="41" t="s">
        <v>904</v>
      </c>
      <c r="L192" s="41" t="s">
        <v>904</v>
      </c>
      <c r="M192" s="60"/>
      <c r="N192" s="41" t="s">
        <v>904</v>
      </c>
      <c r="O192" s="60"/>
      <c r="P192" s="41" t="s">
        <v>904</v>
      </c>
      <c r="Q192" s="69"/>
      <c r="R192" s="69"/>
      <c r="S192" s="69"/>
      <c r="T192" s="69"/>
      <c r="U192" s="70"/>
      <c r="V192" s="70"/>
      <c r="W192" s="71"/>
      <c r="X192" s="43"/>
      <c r="Y192" s="43"/>
      <c r="Z192" s="41" t="s">
        <v>904</v>
      </c>
      <c r="AA192" s="41" t="s">
        <v>904</v>
      </c>
      <c r="AB192" s="41"/>
      <c r="AC192" s="69"/>
      <c r="AD192" s="44"/>
    </row>
    <row r="193" spans="3:28" ht="20.100000000000001" customHeight="1" x14ac:dyDescent="0.25">
      <c r="C193" s="57" t="s">
        <v>904</v>
      </c>
      <c r="D193" s="57" t="s">
        <v>904</v>
      </c>
      <c r="E193" s="41" t="s">
        <v>904</v>
      </c>
      <c r="F193" s="41" t="s">
        <v>904</v>
      </c>
      <c r="G193" s="41" t="s">
        <v>904</v>
      </c>
      <c r="H193" s="41" t="s">
        <v>904</v>
      </c>
      <c r="I193" s="41" t="s">
        <v>904</v>
      </c>
      <c r="J193" s="41" t="s">
        <v>904</v>
      </c>
      <c r="K193" s="41" t="s">
        <v>904</v>
      </c>
      <c r="L193" s="41" t="s">
        <v>904</v>
      </c>
      <c r="M193" s="60"/>
      <c r="N193" s="41" t="s">
        <v>904</v>
      </c>
      <c r="O193" s="60"/>
      <c r="P193" s="41" t="s">
        <v>904</v>
      </c>
      <c r="Q193" s="69"/>
      <c r="R193" s="69"/>
      <c r="S193" s="69"/>
      <c r="T193" s="69"/>
      <c r="U193" s="70"/>
      <c r="V193" s="70"/>
      <c r="W193" s="71"/>
      <c r="X193" s="43"/>
      <c r="Y193" s="43"/>
      <c r="Z193" s="41" t="s">
        <v>904</v>
      </c>
      <c r="AA193" s="41" t="s">
        <v>904</v>
      </c>
      <c r="AB193" s="41"/>
      <c r="AC193" s="69"/>
      <c r="AD193" s="44"/>
    </row>
    <row r="194" spans="3:28" ht="20.100000000000001" customHeight="1" x14ac:dyDescent="0.25">
      <c r="C194" s="57" t="s">
        <v>904</v>
      </c>
      <c r="D194" s="57" t="s">
        <v>904</v>
      </c>
      <c r="E194" s="41" t="s">
        <v>904</v>
      </c>
      <c r="F194" s="41" t="s">
        <v>904</v>
      </c>
      <c r="G194" s="41" t="s">
        <v>904</v>
      </c>
      <c r="H194" s="41" t="s">
        <v>904</v>
      </c>
      <c r="I194" s="41" t="s">
        <v>904</v>
      </c>
      <c r="J194" s="41" t="s">
        <v>904</v>
      </c>
      <c r="K194" s="41" t="s">
        <v>904</v>
      </c>
      <c r="L194" s="41" t="s">
        <v>904</v>
      </c>
      <c r="M194" s="60"/>
      <c r="N194" s="41" t="s">
        <v>904</v>
      </c>
      <c r="O194" s="60"/>
      <c r="P194" s="41" t="s">
        <v>904</v>
      </c>
      <c r="Q194" s="69"/>
      <c r="R194" s="69"/>
      <c r="S194" s="69"/>
      <c r="T194" s="69"/>
      <c r="U194" s="70"/>
      <c r="V194" s="70"/>
      <c r="W194" s="71"/>
      <c r="X194" s="43"/>
      <c r="Y194" s="43"/>
      <c r="Z194" s="41" t="s">
        <v>904</v>
      </c>
      <c r="AA194" s="41" t="s">
        <v>904</v>
      </c>
      <c r="AB194" s="41"/>
      <c r="AC194" s="69"/>
      <c r="AD194" s="44"/>
    </row>
    <row r="195" spans="3:28" ht="20.100000000000001" customHeight="1" x14ac:dyDescent="0.25">
      <c r="C195" s="57" t="s">
        <v>904</v>
      </c>
      <c r="D195" s="57" t="s">
        <v>904</v>
      </c>
      <c r="E195" s="41" t="s">
        <v>904</v>
      </c>
      <c r="F195" s="41" t="s">
        <v>904</v>
      </c>
      <c r="G195" s="41" t="s">
        <v>904</v>
      </c>
      <c r="H195" s="41" t="s">
        <v>904</v>
      </c>
      <c r="I195" s="41" t="s">
        <v>904</v>
      </c>
      <c r="J195" s="41" t="s">
        <v>904</v>
      </c>
      <c r="K195" s="41" t="s">
        <v>904</v>
      </c>
      <c r="L195" s="41" t="s">
        <v>904</v>
      </c>
      <c r="M195" s="60"/>
      <c r="N195" s="41" t="s">
        <v>904</v>
      </c>
      <c r="O195" s="60"/>
      <c r="P195" s="41" t="s">
        <v>904</v>
      </c>
      <c r="Q195" s="69"/>
      <c r="R195" s="69"/>
      <c r="S195" s="69"/>
      <c r="T195" s="69"/>
      <c r="U195" s="70"/>
      <c r="V195" s="70"/>
      <c r="W195" s="71"/>
      <c r="X195" s="43"/>
      <c r="Y195" s="43"/>
      <c r="Z195" s="41" t="s">
        <v>904</v>
      </c>
      <c r="AA195" s="41" t="s">
        <v>904</v>
      </c>
      <c r="AB195" s="41"/>
      <c r="AC195" s="69"/>
      <c r="AD195" s="44"/>
    </row>
    <row r="196" spans="3:28" ht="20.100000000000001" customHeight="1" x14ac:dyDescent="0.25">
      <c r="C196" s="57" t="s">
        <v>904</v>
      </c>
      <c r="D196" s="57" t="s">
        <v>904</v>
      </c>
      <c r="E196" s="41" t="s">
        <v>904</v>
      </c>
      <c r="F196" s="41" t="s">
        <v>904</v>
      </c>
      <c r="G196" s="41" t="s">
        <v>904</v>
      </c>
      <c r="H196" s="41" t="s">
        <v>904</v>
      </c>
      <c r="I196" s="41" t="s">
        <v>904</v>
      </c>
      <c r="J196" s="41" t="s">
        <v>904</v>
      </c>
      <c r="K196" s="41" t="s">
        <v>904</v>
      </c>
      <c r="L196" s="41" t="s">
        <v>904</v>
      </c>
      <c r="M196" s="60"/>
      <c r="N196" s="41" t="s">
        <v>904</v>
      </c>
      <c r="O196" s="60"/>
      <c r="P196" s="41" t="s">
        <v>904</v>
      </c>
      <c r="Q196" s="69"/>
      <c r="R196" s="69"/>
      <c r="S196" s="69"/>
      <c r="T196" s="69"/>
      <c r="U196" s="70"/>
      <c r="V196" s="70"/>
      <c r="W196" s="71"/>
      <c r="X196" s="43"/>
      <c r="Y196" s="43"/>
      <c r="Z196" s="41" t="s">
        <v>904</v>
      </c>
      <c r="AA196" s="41" t="s">
        <v>904</v>
      </c>
      <c r="AB196" s="41"/>
      <c r="AC196" s="69"/>
      <c r="AD196" s="44"/>
    </row>
    <row r="197" spans="3:28" ht="20.100000000000001" customHeight="1" x14ac:dyDescent="0.25">
      <c r="C197" s="57" t="s">
        <v>904</v>
      </c>
      <c r="D197" s="57" t="s">
        <v>904</v>
      </c>
      <c r="E197" s="41" t="s">
        <v>904</v>
      </c>
      <c r="F197" s="41" t="s">
        <v>904</v>
      </c>
      <c r="G197" s="41" t="s">
        <v>904</v>
      </c>
      <c r="H197" s="41" t="s">
        <v>904</v>
      </c>
      <c r="I197" s="41" t="s">
        <v>904</v>
      </c>
      <c r="J197" s="41" t="s">
        <v>904</v>
      </c>
      <c r="K197" s="41" t="s">
        <v>904</v>
      </c>
      <c r="L197" s="41" t="s">
        <v>904</v>
      </c>
      <c r="M197" s="60"/>
      <c r="N197" s="41" t="s">
        <v>904</v>
      </c>
      <c r="O197" s="60"/>
      <c r="P197" s="41" t="s">
        <v>904</v>
      </c>
      <c r="Q197" s="69"/>
      <c r="R197" s="69"/>
      <c r="S197" s="69"/>
      <c r="T197" s="69"/>
      <c r="U197" s="70"/>
      <c r="V197" s="70"/>
      <c r="W197" s="71"/>
      <c r="X197" s="43"/>
      <c r="Y197" s="43"/>
      <c r="Z197" s="41" t="s">
        <v>904</v>
      </c>
      <c r="AA197" s="41" t="s">
        <v>904</v>
      </c>
      <c r="AB197" s="41"/>
      <c r="AC197" s="69"/>
      <c r="AD197" s="44"/>
    </row>
    <row r="198" spans="3:28" ht="20.100000000000001" customHeight="1" x14ac:dyDescent="0.25">
      <c r="C198" s="57" t="s">
        <v>904</v>
      </c>
      <c r="D198" s="57" t="s">
        <v>904</v>
      </c>
      <c r="E198" s="41" t="s">
        <v>904</v>
      </c>
      <c r="F198" s="41" t="s">
        <v>904</v>
      </c>
      <c r="G198" s="41" t="s">
        <v>904</v>
      </c>
      <c r="H198" s="41" t="s">
        <v>904</v>
      </c>
      <c r="I198" s="41" t="s">
        <v>904</v>
      </c>
      <c r="J198" s="41" t="s">
        <v>904</v>
      </c>
      <c r="K198" s="41" t="s">
        <v>904</v>
      </c>
      <c r="L198" s="41" t="s">
        <v>904</v>
      </c>
      <c r="M198" s="60"/>
      <c r="N198" s="41" t="s">
        <v>904</v>
      </c>
      <c r="O198" s="60"/>
      <c r="P198" s="41" t="s">
        <v>904</v>
      </c>
      <c r="Q198" s="69"/>
      <c r="R198" s="69"/>
      <c r="S198" s="69"/>
      <c r="T198" s="69"/>
      <c r="U198" s="70"/>
      <c r="V198" s="70"/>
      <c r="W198" s="71"/>
      <c r="X198" s="43"/>
      <c r="Y198" s="43"/>
      <c r="Z198" s="41" t="s">
        <v>904</v>
      </c>
      <c r="AA198" s="41" t="s">
        <v>904</v>
      </c>
      <c r="AB198" s="41"/>
      <c r="AC198" s="69"/>
      <c r="AD198" s="44"/>
    </row>
    <row r="199" spans="3:28" ht="20.100000000000001" customHeight="1" x14ac:dyDescent="0.25">
      <c r="C199" s="57" t="s">
        <v>904</v>
      </c>
      <c r="D199" s="57" t="s">
        <v>904</v>
      </c>
      <c r="E199" s="41" t="s">
        <v>904</v>
      </c>
      <c r="F199" s="41" t="s">
        <v>904</v>
      </c>
      <c r="G199" s="41" t="s">
        <v>904</v>
      </c>
      <c r="H199" s="41" t="s">
        <v>904</v>
      </c>
      <c r="I199" s="41" t="s">
        <v>904</v>
      </c>
      <c r="J199" s="41" t="s">
        <v>904</v>
      </c>
      <c r="K199" s="41" t="s">
        <v>904</v>
      </c>
      <c r="L199" s="41" t="s">
        <v>904</v>
      </c>
      <c r="M199" s="60"/>
      <c r="N199" s="41" t="s">
        <v>904</v>
      </c>
      <c r="O199" s="60"/>
      <c r="P199" s="41" t="s">
        <v>904</v>
      </c>
      <c r="Q199" s="69"/>
      <c r="R199" s="69"/>
      <c r="S199" s="69"/>
      <c r="T199" s="69"/>
      <c r="U199" s="70"/>
      <c r="V199" s="70"/>
      <c r="W199" s="71"/>
      <c r="X199" s="43"/>
      <c r="Y199" s="43"/>
      <c r="Z199" s="41" t="s">
        <v>904</v>
      </c>
      <c r="AA199" s="41" t="s">
        <v>904</v>
      </c>
      <c r="AB199" s="41"/>
      <c r="AC199" s="69"/>
      <c r="AD199" s="44"/>
    </row>
    <row r="200" spans="3:28" ht="20.100000000000001" customHeight="1" x14ac:dyDescent="0.25">
      <c r="C200" s="57" t="s">
        <v>904</v>
      </c>
      <c r="D200" s="57" t="s">
        <v>904</v>
      </c>
      <c r="E200" s="41" t="s">
        <v>904</v>
      </c>
      <c r="F200" s="41" t="s">
        <v>904</v>
      </c>
      <c r="G200" s="41" t="s">
        <v>904</v>
      </c>
      <c r="H200" s="41" t="s">
        <v>904</v>
      </c>
      <c r="I200" s="41" t="s">
        <v>904</v>
      </c>
      <c r="J200" s="41" t="s">
        <v>904</v>
      </c>
      <c r="K200" s="41" t="s">
        <v>904</v>
      </c>
      <c r="L200" s="41" t="s">
        <v>904</v>
      </c>
      <c r="M200" s="60"/>
      <c r="N200" s="41" t="s">
        <v>904</v>
      </c>
      <c r="O200" s="60"/>
      <c r="P200" s="41" t="s">
        <v>904</v>
      </c>
      <c r="Q200" s="69"/>
      <c r="R200" s="69"/>
      <c r="S200" s="69"/>
      <c r="T200" s="69"/>
      <c r="U200" s="70"/>
      <c r="V200" s="70"/>
      <c r="W200" s="71"/>
      <c r="X200" s="43"/>
      <c r="Y200" s="43"/>
      <c r="Z200" s="41" t="s">
        <v>904</v>
      </c>
      <c r="AA200" s="41" t="s">
        <v>904</v>
      </c>
      <c r="AB200" s="41"/>
      <c r="AC200" s="69"/>
      <c r="AD200" s="44"/>
    </row>
    <row r="201" spans="3:28" ht="20.100000000000001" customHeight="1" x14ac:dyDescent="0.25">
      <c r="C201" s="57" t="s">
        <v>904</v>
      </c>
      <c r="D201" s="57" t="s">
        <v>904</v>
      </c>
      <c r="E201" s="41" t="s">
        <v>904</v>
      </c>
      <c r="F201" s="41" t="s">
        <v>904</v>
      </c>
      <c r="G201" s="41" t="s">
        <v>904</v>
      </c>
      <c r="H201" s="41" t="s">
        <v>904</v>
      </c>
      <c r="I201" s="41" t="s">
        <v>904</v>
      </c>
      <c r="J201" s="41" t="s">
        <v>904</v>
      </c>
      <c r="K201" s="41" t="s">
        <v>904</v>
      </c>
      <c r="L201" s="41" t="s">
        <v>904</v>
      </c>
      <c r="M201" s="60"/>
      <c r="N201" s="41" t="s">
        <v>904</v>
      </c>
      <c r="O201" s="60"/>
      <c r="P201" s="41" t="s">
        <v>904</v>
      </c>
      <c r="Q201" s="69"/>
      <c r="R201" s="69"/>
      <c r="S201" s="69"/>
      <c r="T201" s="69"/>
      <c r="U201" s="70"/>
      <c r="V201" s="70"/>
      <c r="W201" s="71"/>
      <c r="X201" s="43"/>
      <c r="Y201" s="43"/>
      <c r="Z201" s="41" t="s">
        <v>904</v>
      </c>
      <c r="AA201" s="41" t="s">
        <v>904</v>
      </c>
      <c r="AB201" s="41"/>
      <c r="AC201" s="69"/>
      <c r="AD201" s="44"/>
    </row>
    <row r="202" spans="3:28" ht="20.100000000000001" customHeight="1" x14ac:dyDescent="0.25">
      <c r="C202" s="57" t="s">
        <v>904</v>
      </c>
      <c r="D202" s="57" t="s">
        <v>904</v>
      </c>
      <c r="E202" s="41" t="s">
        <v>904</v>
      </c>
      <c r="F202" s="41" t="s">
        <v>904</v>
      </c>
      <c r="G202" s="41" t="s">
        <v>904</v>
      </c>
      <c r="H202" s="41" t="s">
        <v>904</v>
      </c>
      <c r="I202" s="41" t="s">
        <v>904</v>
      </c>
      <c r="J202" s="41" t="s">
        <v>904</v>
      </c>
      <c r="K202" s="41" t="s">
        <v>904</v>
      </c>
      <c r="L202" s="41" t="s">
        <v>904</v>
      </c>
      <c r="M202" s="60"/>
      <c r="N202" s="41" t="s">
        <v>904</v>
      </c>
      <c r="O202" s="60"/>
      <c r="P202" s="41" t="s">
        <v>904</v>
      </c>
      <c r="Q202" s="69"/>
      <c r="R202" s="69"/>
      <c r="S202" s="69"/>
      <c r="T202" s="69"/>
      <c r="U202" s="70"/>
      <c r="V202" s="70"/>
      <c r="W202" s="71"/>
      <c r="X202" s="43"/>
      <c r="Y202" s="43"/>
      <c r="Z202" s="41" t="s">
        <v>904</v>
      </c>
      <c r="AA202" s="41" t="s">
        <v>904</v>
      </c>
      <c r="AB202" s="41"/>
      <c r="AC202" s="69"/>
      <c r="AD202" s="44"/>
    </row>
    <row r="203" spans="3:28" ht="20.100000000000001" customHeight="1" x14ac:dyDescent="0.25">
      <c r="C203" s="57" t="s">
        <v>904</v>
      </c>
      <c r="D203" s="57" t="s">
        <v>904</v>
      </c>
      <c r="E203" s="41" t="s">
        <v>904</v>
      </c>
      <c r="F203" s="41" t="s">
        <v>904</v>
      </c>
      <c r="G203" s="41" t="s">
        <v>904</v>
      </c>
      <c r="H203" s="41" t="s">
        <v>904</v>
      </c>
      <c r="I203" s="41" t="s">
        <v>904</v>
      </c>
      <c r="J203" s="41" t="s">
        <v>904</v>
      </c>
      <c r="K203" s="41" t="s">
        <v>904</v>
      </c>
      <c r="L203" s="41" t="s">
        <v>904</v>
      </c>
      <c r="M203" s="60"/>
      <c r="N203" s="41" t="s">
        <v>904</v>
      </c>
      <c r="O203" s="60"/>
      <c r="P203" s="41" t="s">
        <v>904</v>
      </c>
      <c r="Q203" s="69"/>
      <c r="R203" s="69"/>
      <c r="S203" s="69"/>
      <c r="T203" s="69"/>
      <c r="U203" s="70"/>
      <c r="V203" s="70"/>
      <c r="W203" s="71"/>
      <c r="X203" s="43"/>
      <c r="Y203" s="43"/>
      <c r="Z203" s="41" t="s">
        <v>904</v>
      </c>
      <c r="AA203" s="41" t="s">
        <v>904</v>
      </c>
      <c r="AB203" s="41"/>
      <c r="AC203" s="69"/>
      <c r="AD203" s="44"/>
    </row>
    <row r="204" spans="3:28" ht="20.100000000000001" customHeight="1" x14ac:dyDescent="0.25">
      <c r="C204" s="57" t="s">
        <v>904</v>
      </c>
      <c r="D204" s="57" t="s">
        <v>904</v>
      </c>
      <c r="E204" s="41" t="s">
        <v>904</v>
      </c>
      <c r="F204" s="41" t="s">
        <v>904</v>
      </c>
      <c r="G204" s="41" t="s">
        <v>904</v>
      </c>
      <c r="H204" s="41" t="s">
        <v>904</v>
      </c>
      <c r="I204" s="41" t="s">
        <v>904</v>
      </c>
      <c r="J204" s="41" t="s">
        <v>904</v>
      </c>
      <c r="K204" s="41" t="s">
        <v>904</v>
      </c>
      <c r="L204" s="41" t="s">
        <v>904</v>
      </c>
      <c r="M204" s="60"/>
      <c r="N204" s="41" t="s">
        <v>904</v>
      </c>
      <c r="O204" s="60"/>
      <c r="P204" s="41" t="s">
        <v>904</v>
      </c>
      <c r="Q204" s="69"/>
      <c r="R204" s="69"/>
      <c r="S204" s="69"/>
      <c r="T204" s="69"/>
      <c r="U204" s="70"/>
      <c r="V204" s="70"/>
      <c r="W204" s="71"/>
      <c r="X204" s="43"/>
      <c r="Y204" s="43"/>
      <c r="Z204" s="41" t="s">
        <v>904</v>
      </c>
      <c r="AA204" s="41" t="s">
        <v>904</v>
      </c>
      <c r="AB204" s="41"/>
      <c r="AC204" s="69"/>
      <c r="AD204" s="44"/>
    </row>
    <row r="205" spans="3:28" ht="20.100000000000001" customHeight="1" x14ac:dyDescent="0.25">
      <c r="C205" s="57" t="s">
        <v>904</v>
      </c>
      <c r="D205" s="57" t="s">
        <v>904</v>
      </c>
      <c r="E205" s="41" t="s">
        <v>904</v>
      </c>
      <c r="F205" s="41" t="s">
        <v>904</v>
      </c>
      <c r="G205" s="41" t="s">
        <v>904</v>
      </c>
      <c r="H205" s="41" t="s">
        <v>904</v>
      </c>
      <c r="I205" s="41" t="s">
        <v>904</v>
      </c>
      <c r="J205" s="41" t="s">
        <v>904</v>
      </c>
      <c r="K205" s="41" t="s">
        <v>904</v>
      </c>
      <c r="L205" s="41" t="s">
        <v>904</v>
      </c>
      <c r="M205" s="60"/>
      <c r="N205" s="41" t="s">
        <v>904</v>
      </c>
      <c r="O205" s="60"/>
      <c r="P205" s="41" t="s">
        <v>904</v>
      </c>
      <c r="Q205" s="69"/>
      <c r="R205" s="69"/>
      <c r="S205" s="69"/>
      <c r="T205" s="69"/>
      <c r="U205" s="70"/>
      <c r="V205" s="70"/>
      <c r="W205" s="71"/>
      <c r="X205" s="43"/>
      <c r="Y205" s="43"/>
      <c r="Z205" s="41" t="s">
        <v>904</v>
      </c>
      <c r="AA205" s="41" t="s">
        <v>904</v>
      </c>
      <c r="AB205" s="41"/>
      <c r="AC205" s="69"/>
      <c r="AD205" s="44"/>
    </row>
    <row r="206" spans="3:28" ht="20.100000000000001" customHeight="1" x14ac:dyDescent="0.25">
      <c r="C206" s="57" t="s">
        <v>904</v>
      </c>
      <c r="D206" s="57" t="s">
        <v>904</v>
      </c>
      <c r="E206" s="41" t="s">
        <v>904</v>
      </c>
      <c r="F206" s="41" t="s">
        <v>904</v>
      </c>
      <c r="G206" s="41" t="s">
        <v>904</v>
      </c>
      <c r="H206" s="41" t="s">
        <v>904</v>
      </c>
      <c r="I206" s="41" t="s">
        <v>904</v>
      </c>
      <c r="J206" s="41" t="s">
        <v>904</v>
      </c>
      <c r="K206" s="41" t="s">
        <v>904</v>
      </c>
      <c r="L206" s="41" t="s">
        <v>904</v>
      </c>
      <c r="M206" s="60"/>
      <c r="N206" s="41" t="s">
        <v>904</v>
      </c>
      <c r="O206" s="60"/>
      <c r="P206" s="41" t="s">
        <v>904</v>
      </c>
      <c r="Q206" s="69"/>
      <c r="R206" s="69"/>
      <c r="S206" s="69"/>
      <c r="T206" s="69"/>
      <c r="U206" s="70"/>
      <c r="V206" s="70"/>
      <c r="W206" s="71"/>
      <c r="X206" s="43"/>
      <c r="Y206" s="43"/>
      <c r="Z206" s="41" t="s">
        <v>904</v>
      </c>
      <c r="AA206" s="41" t="s">
        <v>904</v>
      </c>
      <c r="AB206" s="41"/>
      <c r="AC206" s="69"/>
      <c r="AD206" s="44"/>
    </row>
    <row r="207" spans="3:28" ht="20.100000000000001" customHeight="1" x14ac:dyDescent="0.25">
      <c r="C207" s="57" t="s">
        <v>904</v>
      </c>
      <c r="D207" s="57" t="s">
        <v>904</v>
      </c>
      <c r="E207" s="41" t="s">
        <v>904</v>
      </c>
      <c r="F207" s="41" t="s">
        <v>904</v>
      </c>
      <c r="G207" s="41" t="s">
        <v>904</v>
      </c>
      <c r="H207" s="41" t="s">
        <v>904</v>
      </c>
      <c r="I207" s="41" t="s">
        <v>904</v>
      </c>
      <c r="J207" s="41" t="s">
        <v>904</v>
      </c>
      <c r="K207" s="41" t="s">
        <v>904</v>
      </c>
      <c r="L207" s="41" t="s">
        <v>904</v>
      </c>
      <c r="M207" s="60"/>
      <c r="N207" s="41" t="s">
        <v>904</v>
      </c>
      <c r="O207" s="60"/>
      <c r="P207" s="41" t="s">
        <v>904</v>
      </c>
      <c r="Q207" s="69"/>
      <c r="R207" s="69"/>
      <c r="S207" s="69"/>
      <c r="T207" s="69"/>
      <c r="U207" s="70"/>
      <c r="V207" s="70"/>
      <c r="W207" s="71"/>
      <c r="X207" s="43"/>
      <c r="Y207" s="43"/>
      <c r="Z207" s="41" t="s">
        <v>904</v>
      </c>
      <c r="AA207" s="41" t="s">
        <v>904</v>
      </c>
      <c r="AB207" s="41"/>
      <c r="AC207" s="69"/>
      <c r="AD207" s="44"/>
    </row>
    <row r="208" spans="3:28" ht="20.100000000000001" customHeight="1" x14ac:dyDescent="0.25">
      <c r="C208" s="57" t="s">
        <v>904</v>
      </c>
      <c r="D208" s="57" t="s">
        <v>904</v>
      </c>
      <c r="E208" s="41" t="s">
        <v>904</v>
      </c>
      <c r="F208" s="41" t="s">
        <v>904</v>
      </c>
      <c r="G208" s="41" t="s">
        <v>904</v>
      </c>
      <c r="H208" s="41" t="s">
        <v>904</v>
      </c>
      <c r="I208" s="41" t="s">
        <v>904</v>
      </c>
      <c r="J208" s="41" t="s">
        <v>904</v>
      </c>
      <c r="K208" s="41" t="s">
        <v>904</v>
      </c>
      <c r="L208" s="41" t="s">
        <v>904</v>
      </c>
      <c r="M208" s="60"/>
      <c r="N208" s="41" t="s">
        <v>904</v>
      </c>
      <c r="O208" s="60"/>
      <c r="P208" s="41" t="s">
        <v>904</v>
      </c>
      <c r="Q208" s="69"/>
      <c r="R208" s="69"/>
      <c r="S208" s="69"/>
      <c r="T208" s="69"/>
      <c r="U208" s="70"/>
      <c r="V208" s="70"/>
      <c r="W208" s="71"/>
      <c r="X208" s="43"/>
      <c r="Y208" s="43"/>
      <c r="Z208" s="41" t="s">
        <v>904</v>
      </c>
      <c r="AA208" s="41" t="s">
        <v>904</v>
      </c>
      <c r="AB208" s="41"/>
      <c r="AC208" s="69"/>
      <c r="AD208" s="44"/>
    </row>
    <row r="209" spans="3:28" ht="20.100000000000001" customHeight="1" x14ac:dyDescent="0.25">
      <c r="C209" s="57" t="s">
        <v>904</v>
      </c>
      <c r="D209" s="57" t="s">
        <v>904</v>
      </c>
      <c r="E209" s="41" t="s">
        <v>904</v>
      </c>
      <c r="F209" s="41" t="s">
        <v>904</v>
      </c>
      <c r="G209" s="41" t="s">
        <v>904</v>
      </c>
      <c r="H209" s="41" t="s">
        <v>904</v>
      </c>
      <c r="I209" s="41" t="s">
        <v>904</v>
      </c>
      <c r="J209" s="41" t="s">
        <v>904</v>
      </c>
      <c r="K209" s="41" t="s">
        <v>904</v>
      </c>
      <c r="L209" s="41" t="s">
        <v>904</v>
      </c>
      <c r="M209" s="60"/>
      <c r="N209" s="41" t="s">
        <v>904</v>
      </c>
      <c r="O209" s="60"/>
      <c r="P209" s="41" t="s">
        <v>904</v>
      </c>
      <c r="Q209" s="69"/>
      <c r="R209" s="69"/>
      <c r="S209" s="69"/>
      <c r="T209" s="69"/>
      <c r="U209" s="70"/>
      <c r="V209" s="70"/>
      <c r="W209" s="71"/>
      <c r="X209" s="43"/>
      <c r="Y209" s="43"/>
      <c r="Z209" s="41" t="s">
        <v>904</v>
      </c>
      <c r="AA209" s="41" t="s">
        <v>904</v>
      </c>
      <c r="AB209" s="41"/>
      <c r="AC209" s="69"/>
      <c r="AD209" s="44"/>
    </row>
    <row r="210" spans="3:28" ht="20.100000000000001" customHeight="1" x14ac:dyDescent="0.25">
      <c r="C210" s="57" t="s">
        <v>904</v>
      </c>
      <c r="D210" s="57" t="s">
        <v>904</v>
      </c>
      <c r="E210" s="41" t="s">
        <v>904</v>
      </c>
      <c r="F210" s="41" t="s">
        <v>904</v>
      </c>
      <c r="G210" s="41" t="s">
        <v>904</v>
      </c>
      <c r="H210" s="41" t="s">
        <v>904</v>
      </c>
      <c r="I210" s="41" t="s">
        <v>904</v>
      </c>
      <c r="J210" s="41" t="s">
        <v>904</v>
      </c>
      <c r="K210" s="41" t="s">
        <v>904</v>
      </c>
      <c r="L210" s="41" t="s">
        <v>904</v>
      </c>
      <c r="M210" s="60"/>
      <c r="N210" s="41" t="s">
        <v>904</v>
      </c>
      <c r="O210" s="60"/>
      <c r="P210" s="41" t="s">
        <v>904</v>
      </c>
      <c r="Q210" s="69"/>
      <c r="R210" s="69"/>
      <c r="S210" s="69"/>
      <c r="T210" s="69"/>
      <c r="U210" s="70"/>
      <c r="V210" s="70"/>
      <c r="W210" s="71"/>
      <c r="X210" s="43"/>
      <c r="Y210" s="43"/>
      <c r="Z210" s="41" t="s">
        <v>904</v>
      </c>
      <c r="AA210" s="41" t="s">
        <v>904</v>
      </c>
      <c r="AB210" s="41"/>
      <c r="AC210" s="69"/>
      <c r="AD210" s="44"/>
    </row>
    <row r="211" spans="3:28" ht="20.100000000000001" customHeight="1" x14ac:dyDescent="0.25">
      <c r="C211" s="57" t="s">
        <v>904</v>
      </c>
      <c r="D211" s="57" t="s">
        <v>904</v>
      </c>
      <c r="E211" s="41" t="s">
        <v>904</v>
      </c>
      <c r="F211" s="41" t="s">
        <v>904</v>
      </c>
      <c r="G211" s="41" t="s">
        <v>904</v>
      </c>
      <c r="H211" s="41" t="s">
        <v>904</v>
      </c>
      <c r="I211" s="41" t="s">
        <v>904</v>
      </c>
      <c r="J211" s="41" t="s">
        <v>904</v>
      </c>
      <c r="K211" s="41" t="s">
        <v>904</v>
      </c>
      <c r="L211" s="41" t="s">
        <v>904</v>
      </c>
      <c r="M211" s="60"/>
      <c r="N211" s="41" t="s">
        <v>904</v>
      </c>
      <c r="O211" s="60"/>
      <c r="P211" s="41" t="s">
        <v>904</v>
      </c>
      <c r="Q211" s="69"/>
      <c r="R211" s="69"/>
      <c r="S211" s="69"/>
      <c r="T211" s="69"/>
      <c r="U211" s="70"/>
      <c r="V211" s="70"/>
      <c r="W211" s="71"/>
      <c r="X211" s="43"/>
      <c r="Y211" s="43"/>
      <c r="Z211" s="41" t="s">
        <v>904</v>
      </c>
      <c r="AA211" s="41" t="s">
        <v>904</v>
      </c>
      <c r="AB211" s="41"/>
      <c r="AC211" s="69"/>
      <c r="AD211" s="44"/>
    </row>
    <row r="212" spans="3:28" ht="20.100000000000001" customHeight="1" x14ac:dyDescent="0.25">
      <c r="C212" s="57" t="s">
        <v>904</v>
      </c>
      <c r="D212" s="57" t="s">
        <v>904</v>
      </c>
      <c r="E212" s="41" t="s">
        <v>904</v>
      </c>
      <c r="F212" s="41" t="s">
        <v>904</v>
      </c>
      <c r="G212" s="41" t="s">
        <v>904</v>
      </c>
      <c r="H212" s="41" t="s">
        <v>904</v>
      </c>
      <c r="I212" s="41" t="s">
        <v>904</v>
      </c>
      <c r="J212" s="41" t="s">
        <v>904</v>
      </c>
      <c r="K212" s="41" t="s">
        <v>904</v>
      </c>
      <c r="L212" s="41" t="s">
        <v>904</v>
      </c>
      <c r="M212" s="60"/>
      <c r="N212" s="41" t="s">
        <v>904</v>
      </c>
      <c r="O212" s="60"/>
      <c r="P212" s="41" t="s">
        <v>904</v>
      </c>
      <c r="Q212" s="69"/>
      <c r="R212" s="69"/>
      <c r="S212" s="69"/>
      <c r="T212" s="69"/>
      <c r="U212" s="70"/>
      <c r="V212" s="70"/>
      <c r="W212" s="71"/>
      <c r="X212" s="43"/>
      <c r="Y212" s="43"/>
      <c r="Z212" s="41" t="s">
        <v>904</v>
      </c>
      <c r="AA212" s="41" t="s">
        <v>904</v>
      </c>
      <c r="AB212" s="41"/>
      <c r="AC212" s="69"/>
      <c r="AD212" s="44"/>
    </row>
    <row r="213" spans="3:28" ht="20.100000000000001" customHeight="1" x14ac:dyDescent="0.25">
      <c r="C213" s="57" t="s">
        <v>904</v>
      </c>
      <c r="D213" s="57" t="s">
        <v>904</v>
      </c>
      <c r="E213" s="41" t="s">
        <v>904</v>
      </c>
      <c r="F213" s="41" t="s">
        <v>904</v>
      </c>
      <c r="G213" s="41" t="s">
        <v>904</v>
      </c>
      <c r="H213" s="41" t="s">
        <v>904</v>
      </c>
      <c r="I213" s="41" t="s">
        <v>904</v>
      </c>
      <c r="J213" s="41" t="s">
        <v>904</v>
      </c>
      <c r="K213" s="41" t="s">
        <v>904</v>
      </c>
      <c r="L213" s="41" t="s">
        <v>904</v>
      </c>
      <c r="M213" s="60"/>
      <c r="N213" s="41" t="s">
        <v>904</v>
      </c>
      <c r="O213" s="60"/>
      <c r="P213" s="41" t="s">
        <v>904</v>
      </c>
      <c r="Q213" s="69"/>
      <c r="R213" s="69"/>
      <c r="S213" s="69"/>
      <c r="T213" s="69"/>
      <c r="U213" s="70"/>
      <c r="V213" s="70"/>
      <c r="W213" s="71"/>
      <c r="X213" s="43"/>
      <c r="Y213" s="43"/>
      <c r="Z213" s="41" t="s">
        <v>904</v>
      </c>
      <c r="AA213" s="41" t="s">
        <v>904</v>
      </c>
      <c r="AB213" s="41"/>
      <c r="AC213" s="69"/>
      <c r="AD213" s="44"/>
    </row>
    <row r="214" spans="3:28" ht="20.100000000000001" customHeight="1" x14ac:dyDescent="0.25">
      <c r="C214" s="57" t="s">
        <v>904</v>
      </c>
      <c r="D214" s="57" t="s">
        <v>904</v>
      </c>
      <c r="E214" s="41" t="s">
        <v>904</v>
      </c>
      <c r="F214" s="41" t="s">
        <v>904</v>
      </c>
      <c r="G214" s="41" t="s">
        <v>904</v>
      </c>
      <c r="H214" s="41" t="s">
        <v>904</v>
      </c>
      <c r="I214" s="41" t="s">
        <v>904</v>
      </c>
      <c r="J214" s="41" t="s">
        <v>904</v>
      </c>
      <c r="K214" s="41" t="s">
        <v>904</v>
      </c>
      <c r="L214" s="41" t="s">
        <v>904</v>
      </c>
      <c r="M214" s="60"/>
      <c r="N214" s="41" t="s">
        <v>904</v>
      </c>
      <c r="O214" s="60"/>
      <c r="P214" s="41" t="s">
        <v>904</v>
      </c>
      <c r="Q214" s="69"/>
      <c r="R214" s="69"/>
      <c r="S214" s="69"/>
      <c r="T214" s="69"/>
      <c r="U214" s="70"/>
      <c r="V214" s="70"/>
      <c r="W214" s="71"/>
      <c r="X214" s="43"/>
      <c r="Y214" s="43"/>
      <c r="Z214" s="41" t="s">
        <v>904</v>
      </c>
      <c r="AA214" s="41" t="s">
        <v>904</v>
      </c>
      <c r="AB214" s="41"/>
      <c r="AC214" s="69"/>
      <c r="AD214" s="44"/>
    </row>
    <row r="215" spans="3:28" ht="20.100000000000001" customHeight="1" x14ac:dyDescent="0.25">
      <c r="C215" s="57" t="s">
        <v>904</v>
      </c>
      <c r="D215" s="57" t="s">
        <v>904</v>
      </c>
      <c r="E215" s="41" t="s">
        <v>904</v>
      </c>
      <c r="F215" s="41" t="s">
        <v>904</v>
      </c>
      <c r="G215" s="41" t="s">
        <v>904</v>
      </c>
      <c r="H215" s="41" t="s">
        <v>904</v>
      </c>
      <c r="I215" s="41" t="s">
        <v>904</v>
      </c>
      <c r="J215" s="41" t="s">
        <v>904</v>
      </c>
      <c r="K215" s="41" t="s">
        <v>904</v>
      </c>
      <c r="L215" s="41" t="s">
        <v>904</v>
      </c>
      <c r="M215" s="60"/>
      <c r="N215" s="41" t="s">
        <v>904</v>
      </c>
      <c r="O215" s="60"/>
      <c r="P215" s="41" t="s">
        <v>904</v>
      </c>
      <c r="Q215" s="69"/>
      <c r="R215" s="69"/>
      <c r="S215" s="69"/>
      <c r="T215" s="69"/>
      <c r="U215" s="70"/>
      <c r="V215" s="70"/>
      <c r="W215" s="71"/>
      <c r="X215" s="43"/>
      <c r="Y215" s="43"/>
      <c r="Z215" s="41" t="s">
        <v>904</v>
      </c>
      <c r="AA215" s="41" t="s">
        <v>904</v>
      </c>
      <c r="AB215" s="41"/>
      <c r="AC215" s="69"/>
      <c r="AD215" s="44"/>
    </row>
    <row r="216" spans="3:28" ht="20.100000000000001" customHeight="1" x14ac:dyDescent="0.25">
      <c r="C216" s="57" t="s">
        <v>904</v>
      </c>
      <c r="D216" s="57" t="s">
        <v>904</v>
      </c>
      <c r="E216" s="41" t="s">
        <v>904</v>
      </c>
      <c r="F216" s="41" t="s">
        <v>904</v>
      </c>
      <c r="G216" s="41" t="s">
        <v>904</v>
      </c>
      <c r="H216" s="41" t="s">
        <v>904</v>
      </c>
      <c r="I216" s="41" t="s">
        <v>904</v>
      </c>
      <c r="J216" s="41" t="s">
        <v>904</v>
      </c>
      <c r="K216" s="41" t="s">
        <v>904</v>
      </c>
      <c r="L216" s="41" t="s">
        <v>904</v>
      </c>
      <c r="M216" s="60"/>
      <c r="N216" s="41" t="s">
        <v>904</v>
      </c>
      <c r="O216" s="60"/>
      <c r="P216" s="41" t="s">
        <v>904</v>
      </c>
      <c r="Q216" s="69"/>
      <c r="R216" s="69"/>
      <c r="S216" s="69"/>
      <c r="T216" s="69"/>
      <c r="U216" s="70"/>
      <c r="V216" s="70"/>
      <c r="W216" s="71"/>
      <c r="X216" s="43"/>
      <c r="Y216" s="43"/>
      <c r="Z216" s="41" t="s">
        <v>904</v>
      </c>
      <c r="AA216" s="41" t="s">
        <v>904</v>
      </c>
      <c r="AB216" s="41"/>
      <c r="AC216" s="69"/>
      <c r="AD216" s="44"/>
    </row>
    <row r="217" spans="3:28" ht="20.100000000000001" customHeight="1" x14ac:dyDescent="0.25">
      <c r="C217" s="57" t="s">
        <v>904</v>
      </c>
      <c r="D217" s="57" t="s">
        <v>904</v>
      </c>
      <c r="E217" s="41" t="s">
        <v>904</v>
      </c>
      <c r="F217" s="41" t="s">
        <v>904</v>
      </c>
      <c r="G217" s="41" t="s">
        <v>904</v>
      </c>
      <c r="H217" s="41" t="s">
        <v>904</v>
      </c>
      <c r="I217" s="41" t="s">
        <v>904</v>
      </c>
      <c r="J217" s="41" t="s">
        <v>904</v>
      </c>
      <c r="K217" s="41" t="s">
        <v>904</v>
      </c>
      <c r="L217" s="41" t="s">
        <v>904</v>
      </c>
      <c r="M217" s="60"/>
      <c r="N217" s="41" t="s">
        <v>904</v>
      </c>
      <c r="O217" s="60"/>
      <c r="P217" s="41" t="s">
        <v>904</v>
      </c>
      <c r="Q217" s="69"/>
      <c r="R217" s="69"/>
      <c r="S217" s="69"/>
      <c r="T217" s="69"/>
      <c r="U217" s="70"/>
      <c r="V217" s="70"/>
      <c r="W217" s="71"/>
      <c r="X217" s="43"/>
      <c r="Y217" s="43"/>
      <c r="Z217" s="41" t="s">
        <v>904</v>
      </c>
      <c r="AA217" s="41" t="s">
        <v>904</v>
      </c>
      <c r="AB217" s="41"/>
      <c r="AC217" s="69"/>
      <c r="AD217" s="44"/>
    </row>
    <row r="218" spans="3:28" ht="20.100000000000001" customHeight="1" x14ac:dyDescent="0.25">
      <c r="C218" s="57" t="s">
        <v>904</v>
      </c>
      <c r="D218" s="57" t="s">
        <v>904</v>
      </c>
      <c r="E218" s="41" t="s">
        <v>904</v>
      </c>
      <c r="F218" s="41" t="s">
        <v>904</v>
      </c>
      <c r="G218" s="41" t="s">
        <v>904</v>
      </c>
      <c r="H218" s="41" t="s">
        <v>904</v>
      </c>
      <c r="I218" s="41" t="s">
        <v>904</v>
      </c>
      <c r="J218" s="41" t="s">
        <v>904</v>
      </c>
      <c r="K218" s="41" t="s">
        <v>904</v>
      </c>
      <c r="L218" s="41" t="s">
        <v>904</v>
      </c>
      <c r="M218" s="60"/>
      <c r="N218" s="41" t="s">
        <v>904</v>
      </c>
      <c r="O218" s="60"/>
      <c r="P218" s="41" t="s">
        <v>904</v>
      </c>
      <c r="Q218" s="69"/>
      <c r="R218" s="69"/>
      <c r="S218" s="69"/>
      <c r="T218" s="69"/>
      <c r="U218" s="70"/>
      <c r="V218" s="70"/>
      <c r="W218" s="71"/>
      <c r="X218" s="43"/>
      <c r="Y218" s="43"/>
      <c r="Z218" s="41" t="s">
        <v>904</v>
      </c>
      <c r="AA218" s="41" t="s">
        <v>904</v>
      </c>
      <c r="AB218" s="41"/>
      <c r="AC218" s="69"/>
      <c r="AD218" s="44"/>
    </row>
    <row r="219" spans="3:28" ht="20.100000000000001" customHeight="1" x14ac:dyDescent="0.25">
      <c r="C219" s="57" t="s">
        <v>904</v>
      </c>
      <c r="D219" s="57" t="s">
        <v>904</v>
      </c>
      <c r="E219" s="41" t="s">
        <v>904</v>
      </c>
      <c r="F219" s="41" t="s">
        <v>904</v>
      </c>
      <c r="G219" s="41" t="s">
        <v>904</v>
      </c>
      <c r="H219" s="41" t="s">
        <v>904</v>
      </c>
      <c r="I219" s="41" t="s">
        <v>904</v>
      </c>
      <c r="J219" s="41" t="s">
        <v>904</v>
      </c>
      <c r="K219" s="41" t="s">
        <v>904</v>
      </c>
      <c r="L219" s="41" t="s">
        <v>904</v>
      </c>
      <c r="M219" s="60"/>
      <c r="N219" s="41" t="s">
        <v>904</v>
      </c>
      <c r="O219" s="60"/>
      <c r="P219" s="41" t="s">
        <v>904</v>
      </c>
      <c r="Q219" s="69"/>
      <c r="R219" s="69"/>
      <c r="S219" s="69"/>
      <c r="T219" s="69"/>
      <c r="U219" s="70"/>
      <c r="V219" s="70"/>
      <c r="W219" s="71"/>
      <c r="X219" s="43"/>
      <c r="Y219" s="43"/>
      <c r="Z219" s="41" t="s">
        <v>904</v>
      </c>
      <c r="AA219" s="41" t="s">
        <v>904</v>
      </c>
      <c r="AB219" s="41"/>
      <c r="AC219" s="69"/>
      <c r="AD219" s="44"/>
    </row>
    <row r="220" spans="3:28" ht="20.100000000000001" customHeight="1" x14ac:dyDescent="0.25">
      <c r="C220" s="57" t="s">
        <v>904</v>
      </c>
      <c r="D220" s="57" t="s">
        <v>904</v>
      </c>
      <c r="E220" s="41" t="s">
        <v>904</v>
      </c>
      <c r="F220" s="41" t="s">
        <v>904</v>
      </c>
      <c r="G220" s="41" t="s">
        <v>904</v>
      </c>
      <c r="H220" s="41" t="s">
        <v>904</v>
      </c>
      <c r="I220" s="41" t="s">
        <v>904</v>
      </c>
      <c r="J220" s="41" t="s">
        <v>904</v>
      </c>
      <c r="K220" s="41" t="s">
        <v>904</v>
      </c>
      <c r="L220" s="41" t="s">
        <v>904</v>
      </c>
      <c r="M220" s="60"/>
      <c r="N220" s="41" t="s">
        <v>904</v>
      </c>
      <c r="O220" s="60"/>
      <c r="P220" s="41" t="s">
        <v>904</v>
      </c>
      <c r="Q220" s="69"/>
      <c r="R220" s="69"/>
      <c r="S220" s="69"/>
      <c r="T220" s="69"/>
      <c r="U220" s="70"/>
      <c r="V220" s="70"/>
      <c r="W220" s="71"/>
      <c r="X220" s="43"/>
      <c r="Y220" s="43"/>
      <c r="Z220" s="41" t="s">
        <v>904</v>
      </c>
      <c r="AA220" s="41" t="s">
        <v>904</v>
      </c>
      <c r="AB220" s="41"/>
      <c r="AC220" s="69"/>
      <c r="AD220" s="44"/>
    </row>
    <row r="221" spans="3:28" ht="20.100000000000001" customHeight="1" x14ac:dyDescent="0.25">
      <c r="C221" s="57" t="s">
        <v>904</v>
      </c>
      <c r="D221" s="57" t="s">
        <v>904</v>
      </c>
      <c r="E221" s="41" t="s">
        <v>904</v>
      </c>
      <c r="F221" s="41" t="s">
        <v>904</v>
      </c>
      <c r="G221" s="41" t="s">
        <v>904</v>
      </c>
      <c r="H221" s="41" t="s">
        <v>904</v>
      </c>
      <c r="I221" s="41" t="s">
        <v>904</v>
      </c>
      <c r="J221" s="41" t="s">
        <v>904</v>
      </c>
      <c r="K221" s="41" t="s">
        <v>904</v>
      </c>
      <c r="L221" s="41" t="s">
        <v>904</v>
      </c>
      <c r="M221" s="60"/>
      <c r="N221" s="41" t="s">
        <v>904</v>
      </c>
      <c r="O221" s="60"/>
      <c r="P221" s="41" t="s">
        <v>904</v>
      </c>
      <c r="Q221" s="69"/>
      <c r="R221" s="69"/>
      <c r="S221" s="69"/>
      <c r="T221" s="69"/>
      <c r="U221" s="70"/>
      <c r="V221" s="70"/>
      <c r="W221" s="71"/>
      <c r="X221" s="43"/>
      <c r="Y221" s="43"/>
      <c r="Z221" s="41" t="s">
        <v>904</v>
      </c>
      <c r="AA221" s="41" t="s">
        <v>904</v>
      </c>
      <c r="AB221" s="41"/>
      <c r="AC221" s="69"/>
      <c r="AD221" s="44"/>
    </row>
    <row r="222" spans="3:28" ht="20.100000000000001" customHeight="1" x14ac:dyDescent="0.25">
      <c r="C222" s="57" t="s">
        <v>904</v>
      </c>
      <c r="D222" s="57" t="s">
        <v>904</v>
      </c>
      <c r="E222" s="41" t="s">
        <v>904</v>
      </c>
      <c r="F222" s="41" t="s">
        <v>904</v>
      </c>
      <c r="G222" s="41" t="s">
        <v>904</v>
      </c>
      <c r="H222" s="41" t="s">
        <v>904</v>
      </c>
      <c r="I222" s="41" t="s">
        <v>904</v>
      </c>
      <c r="J222" s="41" t="s">
        <v>904</v>
      </c>
      <c r="K222" s="41" t="s">
        <v>904</v>
      </c>
      <c r="L222" s="41" t="s">
        <v>904</v>
      </c>
      <c r="M222" s="60"/>
      <c r="N222" s="41" t="s">
        <v>904</v>
      </c>
      <c r="O222" s="60"/>
      <c r="P222" s="41" t="s">
        <v>904</v>
      </c>
      <c r="Q222" s="69"/>
      <c r="R222" s="69"/>
      <c r="S222" s="69"/>
      <c r="T222" s="69"/>
      <c r="U222" s="70"/>
      <c r="V222" s="70"/>
      <c r="W222" s="71"/>
      <c r="X222" s="43"/>
      <c r="Y222" s="43"/>
      <c r="Z222" s="41" t="s">
        <v>904</v>
      </c>
      <c r="AA222" s="41" t="s">
        <v>904</v>
      </c>
      <c r="AB222" s="41"/>
      <c r="AC222" s="69"/>
      <c r="AD222" s="44"/>
    </row>
    <row r="223" spans="3:28" ht="20.100000000000001" customHeight="1" x14ac:dyDescent="0.25">
      <c r="C223" s="57" t="s">
        <v>904</v>
      </c>
      <c r="D223" s="57" t="s">
        <v>904</v>
      </c>
      <c r="E223" s="41" t="s">
        <v>904</v>
      </c>
      <c r="F223" s="41" t="s">
        <v>904</v>
      </c>
      <c r="G223" s="41" t="s">
        <v>904</v>
      </c>
      <c r="H223" s="41" t="s">
        <v>904</v>
      </c>
      <c r="I223" s="41" t="s">
        <v>904</v>
      </c>
      <c r="J223" s="41" t="s">
        <v>904</v>
      </c>
      <c r="K223" s="41" t="s">
        <v>904</v>
      </c>
      <c r="L223" s="41" t="s">
        <v>904</v>
      </c>
      <c r="M223" s="60"/>
      <c r="N223" s="41" t="s">
        <v>904</v>
      </c>
      <c r="O223" s="60"/>
      <c r="P223" s="41" t="s">
        <v>904</v>
      </c>
      <c r="Q223" s="69"/>
      <c r="R223" s="69"/>
      <c r="S223" s="69"/>
      <c r="T223" s="69"/>
      <c r="U223" s="70"/>
      <c r="V223" s="70"/>
      <c r="W223" s="71"/>
      <c r="X223" s="43"/>
      <c r="Y223" s="43"/>
      <c r="Z223" s="41" t="s">
        <v>904</v>
      </c>
      <c r="AA223" s="41" t="s">
        <v>904</v>
      </c>
      <c r="AB223" s="41"/>
      <c r="AC223" s="69"/>
      <c r="AD223" s="44"/>
    </row>
    <row r="224" spans="3:28" ht="20.100000000000001" customHeight="1" x14ac:dyDescent="0.25">
      <c r="C224" s="57" t="s">
        <v>904</v>
      </c>
      <c r="D224" s="57" t="s">
        <v>904</v>
      </c>
      <c r="E224" s="41" t="s">
        <v>904</v>
      </c>
      <c r="F224" s="41" t="s">
        <v>904</v>
      </c>
      <c r="G224" s="41" t="s">
        <v>904</v>
      </c>
      <c r="H224" s="41" t="s">
        <v>904</v>
      </c>
      <c r="I224" s="41" t="s">
        <v>904</v>
      </c>
      <c r="J224" s="41" t="s">
        <v>904</v>
      </c>
      <c r="K224" s="41" t="s">
        <v>904</v>
      </c>
      <c r="L224" s="41" t="s">
        <v>904</v>
      </c>
      <c r="M224" s="60"/>
      <c r="N224" s="41" t="s">
        <v>904</v>
      </c>
      <c r="O224" s="60"/>
      <c r="P224" s="41" t="s">
        <v>904</v>
      </c>
      <c r="Q224" s="69"/>
      <c r="R224" s="69"/>
      <c r="S224" s="69"/>
      <c r="T224" s="69"/>
      <c r="U224" s="70"/>
      <c r="V224" s="70"/>
      <c r="W224" s="71"/>
      <c r="X224" s="43"/>
      <c r="Y224" s="43"/>
      <c r="Z224" s="41" t="s">
        <v>904</v>
      </c>
      <c r="AA224" s="41" t="s">
        <v>904</v>
      </c>
      <c r="AB224" s="41"/>
      <c r="AC224" s="69"/>
      <c r="AD224" s="44"/>
    </row>
    <row r="225" spans="3:28" ht="20.100000000000001" customHeight="1" x14ac:dyDescent="0.25">
      <c r="C225" s="57" t="s">
        <v>904</v>
      </c>
      <c r="D225" s="57" t="s">
        <v>904</v>
      </c>
      <c r="E225" s="41" t="s">
        <v>904</v>
      </c>
      <c r="F225" s="41" t="s">
        <v>904</v>
      </c>
      <c r="G225" s="41" t="s">
        <v>904</v>
      </c>
      <c r="H225" s="41" t="s">
        <v>904</v>
      </c>
      <c r="I225" s="41" t="s">
        <v>904</v>
      </c>
      <c r="J225" s="41" t="s">
        <v>904</v>
      </c>
      <c r="K225" s="41" t="s">
        <v>904</v>
      </c>
      <c r="L225" s="41" t="s">
        <v>904</v>
      </c>
      <c r="M225" s="60"/>
      <c r="N225" s="41" t="s">
        <v>904</v>
      </c>
      <c r="O225" s="60"/>
      <c r="P225" s="41" t="s">
        <v>904</v>
      </c>
      <c r="Q225" s="69"/>
      <c r="R225" s="69"/>
      <c r="S225" s="69"/>
      <c r="T225" s="69"/>
      <c r="U225" s="70"/>
      <c r="V225" s="70"/>
      <c r="W225" s="71"/>
      <c r="X225" s="43"/>
      <c r="Y225" s="43"/>
      <c r="Z225" s="41" t="s">
        <v>904</v>
      </c>
      <c r="AA225" s="41" t="s">
        <v>904</v>
      </c>
      <c r="AB225" s="41"/>
      <c r="AC225" s="69"/>
      <c r="AD225" s="44"/>
    </row>
    <row r="226" spans="3:28" ht="20.100000000000001" customHeight="1" x14ac:dyDescent="0.25">
      <c r="C226" s="57" t="s">
        <v>904</v>
      </c>
      <c r="D226" s="57" t="s">
        <v>904</v>
      </c>
      <c r="E226" s="41" t="s">
        <v>904</v>
      </c>
      <c r="F226" s="41" t="s">
        <v>904</v>
      </c>
      <c r="G226" s="41" t="s">
        <v>904</v>
      </c>
      <c r="H226" s="41" t="s">
        <v>904</v>
      </c>
      <c r="I226" s="41" t="s">
        <v>904</v>
      </c>
      <c r="J226" s="41" t="s">
        <v>904</v>
      </c>
      <c r="K226" s="41" t="s">
        <v>904</v>
      </c>
      <c r="L226" s="41" t="s">
        <v>904</v>
      </c>
      <c r="M226" s="60"/>
      <c r="N226" s="41" t="s">
        <v>904</v>
      </c>
      <c r="O226" s="60"/>
      <c r="P226" s="41" t="s">
        <v>904</v>
      </c>
      <c r="Q226" s="69"/>
      <c r="R226" s="69"/>
      <c r="S226" s="69"/>
      <c r="T226" s="69"/>
      <c r="U226" s="70"/>
      <c r="V226" s="70"/>
      <c r="W226" s="71"/>
      <c r="X226" s="43"/>
      <c r="Y226" s="43"/>
      <c r="Z226" s="41" t="s">
        <v>904</v>
      </c>
      <c r="AA226" s="41" t="s">
        <v>904</v>
      </c>
      <c r="AB226" s="41"/>
      <c r="AC226" s="69"/>
      <c r="AD226" s="44"/>
    </row>
    <row r="227" spans="3:28" ht="20.100000000000001" customHeight="1" x14ac:dyDescent="0.25">
      <c r="C227" s="57" t="s">
        <v>904</v>
      </c>
      <c r="D227" s="57" t="s">
        <v>904</v>
      </c>
      <c r="E227" s="41" t="s">
        <v>904</v>
      </c>
      <c r="F227" s="41" t="s">
        <v>904</v>
      </c>
      <c r="G227" s="41" t="s">
        <v>904</v>
      </c>
      <c r="H227" s="41" t="s">
        <v>904</v>
      </c>
      <c r="I227" s="41" t="s">
        <v>904</v>
      </c>
      <c r="J227" s="41" t="s">
        <v>904</v>
      </c>
      <c r="K227" s="41" t="s">
        <v>904</v>
      </c>
      <c r="L227" s="41" t="s">
        <v>904</v>
      </c>
      <c r="M227" s="60"/>
      <c r="N227" s="41" t="s">
        <v>904</v>
      </c>
      <c r="O227" s="60"/>
      <c r="P227" s="41" t="s">
        <v>904</v>
      </c>
      <c r="Q227" s="69"/>
      <c r="R227" s="69"/>
      <c r="S227" s="69"/>
      <c r="T227" s="69"/>
      <c r="U227" s="70"/>
      <c r="V227" s="70"/>
      <c r="W227" s="71"/>
      <c r="X227" s="43"/>
      <c r="Y227" s="43"/>
      <c r="Z227" s="41" t="s">
        <v>904</v>
      </c>
      <c r="AA227" s="41" t="s">
        <v>904</v>
      </c>
      <c r="AB227" s="41"/>
      <c r="AC227" s="69"/>
      <c r="AD227" s="44"/>
    </row>
    <row r="228" spans="3:28" ht="20.100000000000001" customHeight="1" x14ac:dyDescent="0.25">
      <c r="C228" s="57" t="s">
        <v>904</v>
      </c>
      <c r="D228" s="57" t="s">
        <v>904</v>
      </c>
      <c r="E228" s="41" t="s">
        <v>904</v>
      </c>
      <c r="F228" s="41" t="s">
        <v>904</v>
      </c>
      <c r="G228" s="41" t="s">
        <v>904</v>
      </c>
      <c r="H228" s="41" t="s">
        <v>904</v>
      </c>
      <c r="I228" s="41" t="s">
        <v>904</v>
      </c>
      <c r="J228" s="41" t="s">
        <v>904</v>
      </c>
      <c r="K228" s="41" t="s">
        <v>904</v>
      </c>
      <c r="L228" s="41" t="s">
        <v>904</v>
      </c>
      <c r="M228" s="60"/>
      <c r="N228" s="41" t="s">
        <v>904</v>
      </c>
      <c r="O228" s="60"/>
      <c r="P228" s="41" t="s">
        <v>904</v>
      </c>
      <c r="Q228" s="69"/>
      <c r="R228" s="69"/>
      <c r="S228" s="69"/>
      <c r="T228" s="69"/>
      <c r="U228" s="70"/>
      <c r="V228" s="70"/>
      <c r="W228" s="71"/>
      <c r="X228" s="43"/>
      <c r="Y228" s="43"/>
      <c r="Z228" s="41" t="s">
        <v>904</v>
      </c>
      <c r="AA228" s="41" t="s">
        <v>904</v>
      </c>
      <c r="AB228" s="41"/>
      <c r="AC228" s="69"/>
      <c r="AD228" s="44"/>
    </row>
    <row r="229" spans="3:28" ht="20.100000000000001" customHeight="1" x14ac:dyDescent="0.25">
      <c r="C229" s="57" t="s">
        <v>904</v>
      </c>
      <c r="D229" s="57" t="s">
        <v>904</v>
      </c>
      <c r="E229" s="41" t="s">
        <v>904</v>
      </c>
      <c r="F229" s="41" t="s">
        <v>904</v>
      </c>
      <c r="G229" s="41" t="s">
        <v>904</v>
      </c>
      <c r="H229" s="41" t="s">
        <v>904</v>
      </c>
      <c r="I229" s="41" t="s">
        <v>904</v>
      </c>
      <c r="J229" s="41" t="s">
        <v>904</v>
      </c>
      <c r="K229" s="41" t="s">
        <v>904</v>
      </c>
      <c r="L229" s="41" t="s">
        <v>904</v>
      </c>
      <c r="M229" s="60"/>
      <c r="N229" s="41" t="s">
        <v>904</v>
      </c>
      <c r="O229" s="60"/>
      <c r="P229" s="41" t="s">
        <v>904</v>
      </c>
      <c r="Q229" s="69"/>
      <c r="R229" s="69"/>
      <c r="S229" s="69"/>
      <c r="T229" s="69"/>
      <c r="U229" s="70"/>
      <c r="V229" s="70"/>
      <c r="W229" s="71"/>
      <c r="X229" s="43"/>
      <c r="Y229" s="43"/>
      <c r="Z229" s="41" t="s">
        <v>904</v>
      </c>
      <c r="AA229" s="41" t="s">
        <v>904</v>
      </c>
      <c r="AB229" s="41"/>
      <c r="AC229" s="69"/>
      <c r="AD229" s="44"/>
    </row>
    <row r="230" spans="3:28" ht="20.100000000000001" customHeight="1" x14ac:dyDescent="0.25">
      <c r="C230" s="57" t="s">
        <v>904</v>
      </c>
      <c r="D230" s="57" t="s">
        <v>904</v>
      </c>
      <c r="E230" s="41" t="s">
        <v>904</v>
      </c>
      <c r="F230" s="41" t="s">
        <v>904</v>
      </c>
      <c r="G230" s="41" t="s">
        <v>904</v>
      </c>
      <c r="H230" s="41" t="s">
        <v>904</v>
      </c>
      <c r="I230" s="41" t="s">
        <v>904</v>
      </c>
      <c r="J230" s="41" t="s">
        <v>904</v>
      </c>
      <c r="K230" s="41" t="s">
        <v>904</v>
      </c>
      <c r="L230" s="41" t="s">
        <v>904</v>
      </c>
      <c r="M230" s="60"/>
      <c r="N230" s="41" t="s">
        <v>904</v>
      </c>
      <c r="O230" s="60"/>
      <c r="P230" s="41" t="s">
        <v>904</v>
      </c>
      <c r="Q230" s="69"/>
      <c r="R230" s="69"/>
      <c r="S230" s="69"/>
      <c r="T230" s="69"/>
      <c r="U230" s="70"/>
      <c r="V230" s="70"/>
      <c r="W230" s="71"/>
      <c r="X230" s="43"/>
      <c r="Y230" s="43"/>
      <c r="Z230" s="41" t="s">
        <v>904</v>
      </c>
      <c r="AA230" s="41" t="s">
        <v>904</v>
      </c>
      <c r="AB230" s="41"/>
      <c r="AC230" s="69"/>
      <c r="AD230" s="44"/>
    </row>
    <row r="231" spans="3:28" ht="20.100000000000001" customHeight="1" x14ac:dyDescent="0.25">
      <c r="C231" s="57" t="s">
        <v>904</v>
      </c>
      <c r="D231" s="57" t="s">
        <v>904</v>
      </c>
      <c r="E231" s="41" t="s">
        <v>904</v>
      </c>
      <c r="F231" s="41" t="s">
        <v>904</v>
      </c>
      <c r="G231" s="41" t="s">
        <v>904</v>
      </c>
      <c r="H231" s="41" t="s">
        <v>904</v>
      </c>
      <c r="I231" s="41" t="s">
        <v>904</v>
      </c>
      <c r="J231" s="41" t="s">
        <v>904</v>
      </c>
      <c r="K231" s="41" t="s">
        <v>904</v>
      </c>
      <c r="L231" s="41" t="s">
        <v>904</v>
      </c>
      <c r="M231" s="60"/>
      <c r="N231" s="41" t="s">
        <v>904</v>
      </c>
      <c r="O231" s="60"/>
      <c r="P231" s="41" t="s">
        <v>904</v>
      </c>
      <c r="Q231" s="69"/>
      <c r="R231" s="69"/>
      <c r="S231" s="69"/>
      <c r="T231" s="69"/>
      <c r="U231" s="70"/>
      <c r="V231" s="70"/>
      <c r="W231" s="71"/>
      <c r="X231" s="43"/>
      <c r="Y231" s="43"/>
      <c r="Z231" s="41" t="s">
        <v>904</v>
      </c>
      <c r="AA231" s="41" t="s">
        <v>904</v>
      </c>
      <c r="AB231" s="41"/>
      <c r="AC231" s="69"/>
      <c r="AD231" s="44"/>
    </row>
    <row r="232" spans="3:28" ht="20.100000000000001" customHeight="1" x14ac:dyDescent="0.25">
      <c r="C232" s="57" t="s">
        <v>904</v>
      </c>
      <c r="D232" s="57" t="s">
        <v>904</v>
      </c>
      <c r="E232" s="41" t="s">
        <v>904</v>
      </c>
      <c r="F232" s="41" t="s">
        <v>904</v>
      </c>
      <c r="G232" s="41" t="s">
        <v>904</v>
      </c>
      <c r="H232" s="41" t="s">
        <v>904</v>
      </c>
      <c r="I232" s="41" t="s">
        <v>904</v>
      </c>
      <c r="J232" s="41" t="s">
        <v>904</v>
      </c>
      <c r="K232" s="41" t="s">
        <v>904</v>
      </c>
      <c r="L232" s="41" t="s">
        <v>904</v>
      </c>
      <c r="M232" s="60"/>
      <c r="N232" s="41" t="s">
        <v>904</v>
      </c>
      <c r="O232" s="60"/>
      <c r="P232" s="41" t="s">
        <v>904</v>
      </c>
      <c r="Q232" s="69"/>
      <c r="R232" s="69"/>
      <c r="S232" s="69"/>
      <c r="T232" s="69"/>
      <c r="U232" s="70"/>
      <c r="V232" s="70"/>
      <c r="W232" s="71"/>
      <c r="X232" s="43"/>
      <c r="Y232" s="43"/>
      <c r="Z232" s="41" t="s">
        <v>904</v>
      </c>
      <c r="AA232" s="41" t="s">
        <v>904</v>
      </c>
      <c r="AB232" s="41"/>
      <c r="AC232" s="69"/>
      <c r="AD232" s="44"/>
    </row>
    <row r="233" spans="3:28" ht="20.100000000000001" customHeight="1" x14ac:dyDescent="0.25">
      <c r="C233" s="57" t="s">
        <v>904</v>
      </c>
      <c r="D233" s="57" t="s">
        <v>904</v>
      </c>
      <c r="E233" s="41" t="s">
        <v>904</v>
      </c>
      <c r="F233" s="41" t="s">
        <v>904</v>
      </c>
      <c r="G233" s="41" t="s">
        <v>904</v>
      </c>
      <c r="H233" s="41" t="s">
        <v>904</v>
      </c>
      <c r="I233" s="41" t="s">
        <v>904</v>
      </c>
      <c r="J233" s="41" t="s">
        <v>904</v>
      </c>
      <c r="K233" s="41" t="s">
        <v>904</v>
      </c>
      <c r="L233" s="41" t="s">
        <v>904</v>
      </c>
      <c r="M233" s="60"/>
      <c r="N233" s="41" t="s">
        <v>904</v>
      </c>
      <c r="O233" s="60"/>
      <c r="P233" s="41" t="s">
        <v>904</v>
      </c>
      <c r="Q233" s="69"/>
      <c r="R233" s="69"/>
      <c r="S233" s="69"/>
      <c r="T233" s="69"/>
      <c r="U233" s="70"/>
      <c r="V233" s="70"/>
      <c r="W233" s="71"/>
      <c r="X233" s="43"/>
      <c r="Y233" s="43"/>
      <c r="Z233" s="41" t="s">
        <v>904</v>
      </c>
      <c r="AA233" s="41" t="s">
        <v>904</v>
      </c>
      <c r="AB233" s="41"/>
      <c r="AC233" s="69"/>
      <c r="AD233" s="44"/>
    </row>
    <row r="234" spans="3:28" ht="20.100000000000001" customHeight="1" x14ac:dyDescent="0.25">
      <c r="C234" s="57" t="s">
        <v>904</v>
      </c>
      <c r="D234" s="57" t="s">
        <v>904</v>
      </c>
      <c r="E234" s="41" t="s">
        <v>904</v>
      </c>
      <c r="F234" s="41" t="s">
        <v>904</v>
      </c>
      <c r="G234" s="41" t="s">
        <v>904</v>
      </c>
      <c r="H234" s="41" t="s">
        <v>904</v>
      </c>
      <c r="I234" s="41" t="s">
        <v>904</v>
      </c>
      <c r="J234" s="41" t="s">
        <v>904</v>
      </c>
      <c r="K234" s="41" t="s">
        <v>904</v>
      </c>
      <c r="L234" s="41" t="s">
        <v>904</v>
      </c>
      <c r="M234" s="60"/>
      <c r="N234" s="41" t="s">
        <v>904</v>
      </c>
      <c r="O234" s="60"/>
      <c r="P234" s="41" t="s">
        <v>904</v>
      </c>
      <c r="Q234" s="69"/>
      <c r="R234" s="69"/>
      <c r="S234" s="69"/>
      <c r="T234" s="69"/>
      <c r="U234" s="70"/>
      <c r="V234" s="70"/>
      <c r="W234" s="71"/>
      <c r="X234" s="43"/>
      <c r="Y234" s="43"/>
      <c r="Z234" s="41" t="s">
        <v>904</v>
      </c>
      <c r="AA234" s="41" t="s">
        <v>904</v>
      </c>
      <c r="AB234" s="41"/>
      <c r="AC234" s="69"/>
      <c r="AD234" s="44"/>
    </row>
    <row r="235" spans="3:28" ht="20.100000000000001" customHeight="1" x14ac:dyDescent="0.25">
      <c r="C235" s="57" t="s">
        <v>904</v>
      </c>
      <c r="D235" s="57" t="s">
        <v>904</v>
      </c>
      <c r="E235" s="41" t="s">
        <v>904</v>
      </c>
      <c r="F235" s="41" t="s">
        <v>904</v>
      </c>
      <c r="G235" s="41" t="s">
        <v>904</v>
      </c>
      <c r="H235" s="41" t="s">
        <v>904</v>
      </c>
      <c r="I235" s="41" t="s">
        <v>904</v>
      </c>
      <c r="J235" s="41" t="s">
        <v>904</v>
      </c>
      <c r="K235" s="41" t="s">
        <v>904</v>
      </c>
      <c r="L235" s="41" t="s">
        <v>904</v>
      </c>
      <c r="M235" s="60"/>
      <c r="N235" s="41" t="s">
        <v>904</v>
      </c>
      <c r="O235" s="60"/>
      <c r="P235" s="41" t="s">
        <v>904</v>
      </c>
      <c r="Q235" s="69"/>
      <c r="R235" s="69"/>
      <c r="S235" s="69"/>
      <c r="T235" s="69"/>
      <c r="U235" s="70"/>
      <c r="V235" s="70"/>
      <c r="W235" s="71"/>
      <c r="X235" s="43"/>
      <c r="Y235" s="43"/>
      <c r="Z235" s="41" t="s">
        <v>904</v>
      </c>
      <c r="AA235" s="41" t="s">
        <v>904</v>
      </c>
      <c r="AB235" s="41"/>
      <c r="AC235" s="69"/>
      <c r="AD235" s="44"/>
    </row>
    <row r="236" spans="3:28" ht="20.100000000000001" customHeight="1" x14ac:dyDescent="0.25">
      <c r="C236" s="57" t="s">
        <v>904</v>
      </c>
      <c r="D236" s="57" t="s">
        <v>904</v>
      </c>
      <c r="E236" s="41" t="s">
        <v>904</v>
      </c>
      <c r="F236" s="41" t="s">
        <v>904</v>
      </c>
      <c r="G236" s="41" t="s">
        <v>904</v>
      </c>
      <c r="H236" s="41" t="s">
        <v>904</v>
      </c>
      <c r="I236" s="41" t="s">
        <v>904</v>
      </c>
      <c r="J236" s="41" t="s">
        <v>904</v>
      </c>
      <c r="K236" s="41" t="s">
        <v>904</v>
      </c>
      <c r="L236" s="41" t="s">
        <v>904</v>
      </c>
      <c r="M236" s="60"/>
      <c r="N236" s="41" t="s">
        <v>904</v>
      </c>
      <c r="O236" s="60"/>
      <c r="P236" s="41" t="s">
        <v>904</v>
      </c>
      <c r="Q236" s="69"/>
      <c r="R236" s="69"/>
      <c r="S236" s="69"/>
      <c r="T236" s="69"/>
      <c r="U236" s="70"/>
      <c r="V236" s="70"/>
      <c r="W236" s="71"/>
      <c r="X236" s="43"/>
      <c r="Y236" s="43"/>
      <c r="Z236" s="41" t="s">
        <v>904</v>
      </c>
      <c r="AA236" s="41" t="s">
        <v>904</v>
      </c>
      <c r="AB236" s="41"/>
      <c r="AC236" s="69"/>
      <c r="AD236" s="44"/>
    </row>
    <row r="237" spans="3:28" ht="20.100000000000001" customHeight="1" x14ac:dyDescent="0.25">
      <c r="C237" s="57" t="s">
        <v>904</v>
      </c>
      <c r="D237" s="57" t="s">
        <v>904</v>
      </c>
      <c r="E237" s="41" t="s">
        <v>904</v>
      </c>
      <c r="F237" s="41" t="s">
        <v>904</v>
      </c>
      <c r="G237" s="41" t="s">
        <v>904</v>
      </c>
      <c r="H237" s="41" t="s">
        <v>904</v>
      </c>
      <c r="I237" s="41" t="s">
        <v>904</v>
      </c>
      <c r="J237" s="41" t="s">
        <v>904</v>
      </c>
      <c r="K237" s="41" t="s">
        <v>904</v>
      </c>
      <c r="L237" s="41" t="s">
        <v>904</v>
      </c>
      <c r="M237" s="60"/>
      <c r="N237" s="41" t="s">
        <v>904</v>
      </c>
      <c r="O237" s="60"/>
      <c r="P237" s="41" t="s">
        <v>904</v>
      </c>
      <c r="Q237" s="69"/>
      <c r="R237" s="69"/>
      <c r="S237" s="69"/>
      <c r="T237" s="69"/>
      <c r="U237" s="70"/>
      <c r="V237" s="70"/>
      <c r="W237" s="71"/>
      <c r="X237" s="43"/>
      <c r="Y237" s="43"/>
      <c r="Z237" s="41" t="s">
        <v>904</v>
      </c>
      <c r="AA237" s="41" t="s">
        <v>904</v>
      </c>
      <c r="AB237" s="41"/>
      <c r="AC237" s="69"/>
      <c r="AD237" s="44"/>
    </row>
    <row r="238" spans="3:28" ht="20.100000000000001" customHeight="1" x14ac:dyDescent="0.25">
      <c r="C238" s="57" t="s">
        <v>904</v>
      </c>
      <c r="D238" s="57" t="s">
        <v>904</v>
      </c>
      <c r="E238" s="41" t="s">
        <v>904</v>
      </c>
      <c r="F238" s="41" t="s">
        <v>904</v>
      </c>
      <c r="G238" s="41" t="s">
        <v>904</v>
      </c>
      <c r="H238" s="41" t="s">
        <v>904</v>
      </c>
      <c r="I238" s="41" t="s">
        <v>904</v>
      </c>
      <c r="J238" s="41" t="s">
        <v>904</v>
      </c>
      <c r="K238" s="41" t="s">
        <v>904</v>
      </c>
      <c r="L238" s="41" t="s">
        <v>904</v>
      </c>
      <c r="M238" s="60"/>
      <c r="N238" s="41" t="s">
        <v>904</v>
      </c>
      <c r="O238" s="60"/>
      <c r="P238" s="41" t="s">
        <v>904</v>
      </c>
      <c r="Q238" s="69"/>
      <c r="R238" s="69"/>
      <c r="S238" s="69"/>
      <c r="T238" s="69"/>
      <c r="U238" s="70"/>
      <c r="V238" s="70"/>
      <c r="W238" s="71"/>
      <c r="X238" s="43"/>
      <c r="Y238" s="43"/>
      <c r="Z238" s="41" t="s">
        <v>904</v>
      </c>
      <c r="AA238" s="41" t="s">
        <v>904</v>
      </c>
      <c r="AB238" s="41"/>
      <c r="AC238" s="69"/>
      <c r="AD238" s="44"/>
    </row>
    <row r="239" spans="3:28" ht="20.100000000000001" customHeight="1" x14ac:dyDescent="0.25">
      <c r="C239" s="57" t="s">
        <v>904</v>
      </c>
      <c r="D239" s="57" t="s">
        <v>904</v>
      </c>
      <c r="E239" s="41" t="s">
        <v>904</v>
      </c>
      <c r="F239" s="41" t="s">
        <v>904</v>
      </c>
      <c r="G239" s="41" t="s">
        <v>904</v>
      </c>
      <c r="H239" s="41" t="s">
        <v>904</v>
      </c>
      <c r="I239" s="41" t="s">
        <v>904</v>
      </c>
      <c r="J239" s="41" t="s">
        <v>904</v>
      </c>
      <c r="K239" s="41" t="s">
        <v>904</v>
      </c>
      <c r="L239" s="41" t="s">
        <v>904</v>
      </c>
      <c r="M239" s="60"/>
      <c r="N239" s="41" t="s">
        <v>904</v>
      </c>
      <c r="O239" s="60"/>
      <c r="P239" s="41" t="s">
        <v>904</v>
      </c>
      <c r="Q239" s="69"/>
      <c r="R239" s="69"/>
      <c r="S239" s="69"/>
      <c r="T239" s="69"/>
      <c r="U239" s="70"/>
      <c r="V239" s="70"/>
      <c r="W239" s="71"/>
      <c r="X239" s="43"/>
      <c r="Y239" s="43"/>
      <c r="Z239" s="41" t="s">
        <v>904</v>
      </c>
      <c r="AA239" s="41" t="s">
        <v>904</v>
      </c>
      <c r="AB239" s="41"/>
      <c r="AC239" s="69"/>
      <c r="AD239" s="44"/>
    </row>
    <row r="240" spans="3:28" ht="20.100000000000001" customHeight="1" x14ac:dyDescent="0.25">
      <c r="C240" s="57" t="s">
        <v>904</v>
      </c>
      <c r="D240" s="57" t="s">
        <v>904</v>
      </c>
      <c r="E240" s="41" t="s">
        <v>904</v>
      </c>
      <c r="F240" s="41" t="s">
        <v>904</v>
      </c>
      <c r="G240" s="41" t="s">
        <v>904</v>
      </c>
      <c r="H240" s="41" t="s">
        <v>904</v>
      </c>
      <c r="I240" s="41" t="s">
        <v>904</v>
      </c>
      <c r="J240" s="41" t="s">
        <v>904</v>
      </c>
      <c r="K240" s="41" t="s">
        <v>904</v>
      </c>
      <c r="L240" s="41" t="s">
        <v>904</v>
      </c>
      <c r="M240" s="60"/>
      <c r="N240" s="41" t="s">
        <v>904</v>
      </c>
      <c r="O240" s="60"/>
      <c r="P240" s="41" t="s">
        <v>904</v>
      </c>
      <c r="Q240" s="69"/>
      <c r="R240" s="69"/>
      <c r="S240" s="69"/>
      <c r="T240" s="69"/>
      <c r="U240" s="70"/>
      <c r="V240" s="70"/>
      <c r="W240" s="71"/>
      <c r="X240" s="43"/>
      <c r="Y240" s="43"/>
      <c r="Z240" s="41" t="s">
        <v>904</v>
      </c>
      <c r="AA240" s="41" t="s">
        <v>904</v>
      </c>
      <c r="AB240" s="41"/>
      <c r="AC240" s="69"/>
      <c r="AD240" s="44"/>
    </row>
    <row r="241" spans="3:28" ht="20.100000000000001" customHeight="1" x14ac:dyDescent="0.25">
      <c r="C241" s="57" t="s">
        <v>904</v>
      </c>
      <c r="D241" s="57" t="s">
        <v>904</v>
      </c>
      <c r="E241" s="41" t="s">
        <v>904</v>
      </c>
      <c r="F241" s="41" t="s">
        <v>904</v>
      </c>
      <c r="G241" s="41" t="s">
        <v>904</v>
      </c>
      <c r="H241" s="41" t="s">
        <v>904</v>
      </c>
      <c r="I241" s="41" t="s">
        <v>904</v>
      </c>
      <c r="J241" s="41" t="s">
        <v>904</v>
      </c>
      <c r="K241" s="41" t="s">
        <v>904</v>
      </c>
      <c r="L241" s="41" t="s">
        <v>904</v>
      </c>
      <c r="M241" s="60"/>
      <c r="N241" s="41" t="s">
        <v>904</v>
      </c>
      <c r="O241" s="60"/>
      <c r="P241" s="41" t="s">
        <v>904</v>
      </c>
      <c r="Q241" s="69"/>
      <c r="R241" s="69"/>
      <c r="S241" s="69"/>
      <c r="T241" s="69"/>
      <c r="U241" s="70"/>
      <c r="V241" s="70"/>
      <c r="W241" s="71"/>
      <c r="X241" s="43"/>
      <c r="Y241" s="43"/>
      <c r="Z241" s="41" t="s">
        <v>904</v>
      </c>
      <c r="AA241" s="41" t="s">
        <v>904</v>
      </c>
      <c r="AB241" s="41"/>
      <c r="AC241" s="69"/>
      <c r="AD241" s="44"/>
    </row>
    <row r="242" spans="3:28" ht="20.100000000000001" customHeight="1" x14ac:dyDescent="0.25">
      <c r="C242" s="57" t="s">
        <v>904</v>
      </c>
      <c r="D242" s="57" t="s">
        <v>904</v>
      </c>
      <c r="E242" s="41" t="s">
        <v>904</v>
      </c>
      <c r="F242" s="41" t="s">
        <v>904</v>
      </c>
      <c r="G242" s="41" t="s">
        <v>904</v>
      </c>
      <c r="H242" s="41" t="s">
        <v>904</v>
      </c>
      <c r="I242" s="41" t="s">
        <v>904</v>
      </c>
      <c r="J242" s="41" t="s">
        <v>904</v>
      </c>
      <c r="K242" s="41" t="s">
        <v>904</v>
      </c>
      <c r="L242" s="41" t="s">
        <v>904</v>
      </c>
      <c r="M242" s="60"/>
      <c r="N242" s="41" t="s">
        <v>904</v>
      </c>
      <c r="O242" s="60"/>
      <c r="P242" s="41" t="s">
        <v>904</v>
      </c>
      <c r="Q242" s="69"/>
      <c r="R242" s="69"/>
      <c r="S242" s="69"/>
      <c r="T242" s="69"/>
      <c r="U242" s="70"/>
      <c r="V242" s="70"/>
      <c r="W242" s="71"/>
      <c r="X242" s="43"/>
      <c r="Y242" s="43"/>
      <c r="Z242" s="41" t="s">
        <v>904</v>
      </c>
      <c r="AA242" s="41" t="s">
        <v>904</v>
      </c>
      <c r="AB242" s="41"/>
      <c r="AC242" s="69"/>
      <c r="AD242" s="44"/>
    </row>
    <row r="243" spans="3:28" ht="20.100000000000001" customHeight="1" x14ac:dyDescent="0.25">
      <c r="C243" s="57" t="s">
        <v>904</v>
      </c>
      <c r="D243" s="57" t="s">
        <v>904</v>
      </c>
      <c r="E243" s="41" t="s">
        <v>904</v>
      </c>
      <c r="F243" s="41" t="s">
        <v>904</v>
      </c>
      <c r="G243" s="41" t="s">
        <v>904</v>
      </c>
      <c r="H243" s="41" t="s">
        <v>904</v>
      </c>
      <c r="I243" s="41" t="s">
        <v>904</v>
      </c>
      <c r="J243" s="41" t="s">
        <v>904</v>
      </c>
      <c r="K243" s="41" t="s">
        <v>904</v>
      </c>
      <c r="L243" s="41" t="s">
        <v>904</v>
      </c>
      <c r="M243" s="60"/>
      <c r="N243" s="41" t="s">
        <v>904</v>
      </c>
      <c r="O243" s="60"/>
      <c r="P243" s="41" t="s">
        <v>904</v>
      </c>
      <c r="Q243" s="69"/>
      <c r="R243" s="69"/>
      <c r="S243" s="69"/>
      <c r="T243" s="69"/>
      <c r="U243" s="70"/>
      <c r="V243" s="70"/>
      <c r="W243" s="71"/>
      <c r="X243" s="43"/>
      <c r="Y243" s="43"/>
      <c r="Z243" s="41" t="s">
        <v>904</v>
      </c>
      <c r="AA243" s="41" t="s">
        <v>904</v>
      </c>
      <c r="AB243" s="41"/>
      <c r="AC243" s="69"/>
      <c r="AD243" s="44"/>
    </row>
    <row r="244" spans="3:28" ht="20.100000000000001" customHeight="1" x14ac:dyDescent="0.25">
      <c r="C244" s="57" t="s">
        <v>904</v>
      </c>
      <c r="D244" s="57" t="s">
        <v>904</v>
      </c>
      <c r="E244" s="41" t="s">
        <v>904</v>
      </c>
      <c r="F244" s="41" t="s">
        <v>904</v>
      </c>
      <c r="G244" s="41" t="s">
        <v>904</v>
      </c>
      <c r="H244" s="41" t="s">
        <v>904</v>
      </c>
      <c r="I244" s="41" t="s">
        <v>904</v>
      </c>
      <c r="J244" s="41" t="s">
        <v>904</v>
      </c>
      <c r="K244" s="41" t="s">
        <v>904</v>
      </c>
      <c r="L244" s="41" t="s">
        <v>904</v>
      </c>
      <c r="M244" s="60"/>
      <c r="N244" s="41" t="s">
        <v>904</v>
      </c>
      <c r="O244" s="60"/>
      <c r="P244" s="41" t="s">
        <v>904</v>
      </c>
      <c r="Q244" s="69"/>
      <c r="R244" s="69"/>
      <c r="S244" s="69"/>
      <c r="T244" s="69"/>
      <c r="U244" s="70"/>
      <c r="V244" s="70"/>
      <c r="W244" s="71"/>
      <c r="X244" s="43"/>
      <c r="Y244" s="43"/>
      <c r="Z244" s="41" t="s">
        <v>904</v>
      </c>
      <c r="AA244" s="41" t="s">
        <v>904</v>
      </c>
      <c r="AB244" s="41"/>
      <c r="AC244" s="69"/>
      <c r="AD244" s="44"/>
    </row>
    <row r="245" spans="3:28" ht="20.100000000000001" customHeight="1" x14ac:dyDescent="0.25">
      <c r="C245" s="57" t="s">
        <v>904</v>
      </c>
      <c r="D245" s="57" t="s">
        <v>904</v>
      </c>
      <c r="E245" s="41" t="s">
        <v>904</v>
      </c>
      <c r="F245" s="41" t="s">
        <v>904</v>
      </c>
      <c r="G245" s="41" t="s">
        <v>904</v>
      </c>
      <c r="H245" s="41" t="s">
        <v>904</v>
      </c>
      <c r="I245" s="41" t="s">
        <v>904</v>
      </c>
      <c r="J245" s="41" t="s">
        <v>904</v>
      </c>
      <c r="K245" s="41" t="s">
        <v>904</v>
      </c>
      <c r="L245" s="41" t="s">
        <v>904</v>
      </c>
      <c r="M245" s="60"/>
      <c r="N245" s="41" t="s">
        <v>904</v>
      </c>
      <c r="O245" s="60"/>
      <c r="P245" s="41" t="s">
        <v>904</v>
      </c>
      <c r="Q245" s="69"/>
      <c r="R245" s="69"/>
      <c r="S245" s="69"/>
      <c r="T245" s="69"/>
      <c r="U245" s="70"/>
      <c r="V245" s="70"/>
      <c r="W245" s="71"/>
      <c r="X245" s="43"/>
      <c r="Y245" s="43"/>
      <c r="Z245" s="41" t="s">
        <v>904</v>
      </c>
      <c r="AA245" s="41" t="s">
        <v>904</v>
      </c>
      <c r="AB245" s="41"/>
      <c r="AC245" s="69"/>
      <c r="AD245" s="44"/>
    </row>
    <row r="246" spans="3:28" ht="20.100000000000001" customHeight="1" x14ac:dyDescent="0.25">
      <c r="C246" s="57" t="s">
        <v>904</v>
      </c>
      <c r="D246" s="57" t="s">
        <v>904</v>
      </c>
      <c r="E246" s="41" t="s">
        <v>904</v>
      </c>
      <c r="F246" s="41" t="s">
        <v>904</v>
      </c>
      <c r="G246" s="41" t="s">
        <v>904</v>
      </c>
      <c r="H246" s="41" t="s">
        <v>904</v>
      </c>
      <c r="I246" s="41" t="s">
        <v>904</v>
      </c>
      <c r="J246" s="41" t="s">
        <v>904</v>
      </c>
      <c r="K246" s="41" t="s">
        <v>904</v>
      </c>
      <c r="L246" s="41" t="s">
        <v>904</v>
      </c>
      <c r="M246" s="60"/>
      <c r="N246" s="41" t="s">
        <v>904</v>
      </c>
      <c r="O246" s="60"/>
      <c r="P246" s="41" t="s">
        <v>904</v>
      </c>
      <c r="Q246" s="69"/>
      <c r="R246" s="69"/>
      <c r="S246" s="69"/>
      <c r="T246" s="69"/>
      <c r="U246" s="70"/>
      <c r="V246" s="70"/>
      <c r="W246" s="71"/>
      <c r="X246" s="43"/>
      <c r="Y246" s="43"/>
      <c r="Z246" s="41" t="s">
        <v>904</v>
      </c>
      <c r="AA246" s="41" t="s">
        <v>904</v>
      </c>
      <c r="AB246" s="41"/>
      <c r="AC246" s="69"/>
      <c r="AD246" s="44"/>
    </row>
    <row r="247" spans="3:28" ht="20.100000000000001" customHeight="1" x14ac:dyDescent="0.25">
      <c r="C247" s="57" t="s">
        <v>904</v>
      </c>
      <c r="D247" s="57" t="s">
        <v>904</v>
      </c>
      <c r="E247" s="41" t="s">
        <v>904</v>
      </c>
      <c r="F247" s="41" t="s">
        <v>904</v>
      </c>
      <c r="G247" s="41" t="s">
        <v>904</v>
      </c>
      <c r="H247" s="41" t="s">
        <v>904</v>
      </c>
      <c r="I247" s="41" t="s">
        <v>904</v>
      </c>
      <c r="J247" s="41" t="s">
        <v>904</v>
      </c>
      <c r="K247" s="41" t="s">
        <v>904</v>
      </c>
      <c r="L247" s="41" t="s">
        <v>904</v>
      </c>
      <c r="M247" s="60"/>
      <c r="N247" s="41" t="s">
        <v>904</v>
      </c>
      <c r="O247" s="60"/>
      <c r="P247" s="41" t="s">
        <v>904</v>
      </c>
      <c r="Q247" s="69"/>
      <c r="R247" s="69"/>
      <c r="S247" s="69"/>
      <c r="T247" s="69"/>
      <c r="U247" s="70"/>
      <c r="V247" s="70"/>
      <c r="W247" s="71"/>
      <c r="X247" s="43"/>
      <c r="Y247" s="43"/>
      <c r="Z247" s="41" t="s">
        <v>904</v>
      </c>
      <c r="AA247" s="41" t="s">
        <v>904</v>
      </c>
      <c r="AB247" s="41"/>
      <c r="AC247" s="69"/>
      <c r="AD247" s="44"/>
    </row>
    <row r="248" spans="3:28" ht="20.100000000000001" customHeight="1" x14ac:dyDescent="0.25">
      <c r="C248" s="57" t="s">
        <v>904</v>
      </c>
      <c r="D248" s="57" t="s">
        <v>904</v>
      </c>
      <c r="E248" s="41" t="s">
        <v>904</v>
      </c>
      <c r="F248" s="41" t="s">
        <v>904</v>
      </c>
      <c r="G248" s="41" t="s">
        <v>904</v>
      </c>
      <c r="H248" s="41" t="s">
        <v>904</v>
      </c>
      <c r="I248" s="41" t="s">
        <v>904</v>
      </c>
      <c r="J248" s="41" t="s">
        <v>904</v>
      </c>
      <c r="K248" s="41" t="s">
        <v>904</v>
      </c>
      <c r="L248" s="41" t="s">
        <v>904</v>
      </c>
      <c r="M248" s="60"/>
      <c r="N248" s="41" t="s">
        <v>904</v>
      </c>
      <c r="O248" s="60"/>
      <c r="P248" s="41" t="s">
        <v>904</v>
      </c>
      <c r="Q248" s="69"/>
      <c r="R248" s="69"/>
      <c r="S248" s="69"/>
      <c r="T248" s="69"/>
      <c r="U248" s="70"/>
      <c r="V248" s="70"/>
      <c r="W248" s="71"/>
      <c r="X248" s="43"/>
      <c r="Y248" s="43"/>
      <c r="Z248" s="41" t="s">
        <v>904</v>
      </c>
      <c r="AA248" s="41" t="s">
        <v>904</v>
      </c>
      <c r="AB248" s="41"/>
      <c r="AC248" s="69"/>
      <c r="AD248" s="44"/>
    </row>
    <row r="249" spans="3:28" ht="20.100000000000001" customHeight="1" x14ac:dyDescent="0.25">
      <c r="C249" s="57" t="s">
        <v>904</v>
      </c>
      <c r="D249" s="57" t="s">
        <v>904</v>
      </c>
      <c r="E249" s="41" t="s">
        <v>904</v>
      </c>
      <c r="F249" s="41" t="s">
        <v>904</v>
      </c>
      <c r="G249" s="41" t="s">
        <v>904</v>
      </c>
      <c r="H249" s="41" t="s">
        <v>904</v>
      </c>
      <c r="I249" s="41" t="s">
        <v>904</v>
      </c>
      <c r="J249" s="41" t="s">
        <v>904</v>
      </c>
      <c r="K249" s="41" t="s">
        <v>904</v>
      </c>
      <c r="L249" s="41" t="s">
        <v>904</v>
      </c>
      <c r="M249" s="60"/>
      <c r="N249" s="41" t="s">
        <v>904</v>
      </c>
      <c r="O249" s="60"/>
      <c r="P249" s="41" t="s">
        <v>904</v>
      </c>
      <c r="Q249" s="69"/>
      <c r="R249" s="69"/>
      <c r="S249" s="69"/>
      <c r="T249" s="69"/>
      <c r="U249" s="70"/>
      <c r="V249" s="70"/>
      <c r="W249" s="71"/>
      <c r="X249" s="43"/>
      <c r="Y249" s="43"/>
      <c r="Z249" s="41" t="s">
        <v>904</v>
      </c>
      <c r="AA249" s="41" t="s">
        <v>904</v>
      </c>
      <c r="AB249" s="41"/>
      <c r="AC249" s="69"/>
      <c r="AD249" s="44"/>
    </row>
    <row r="250" spans="3:28" ht="20.100000000000001" customHeight="1" x14ac:dyDescent="0.25">
      <c r="C250" s="57" t="s">
        <v>904</v>
      </c>
      <c r="D250" s="57" t="s">
        <v>904</v>
      </c>
      <c r="E250" s="41" t="s">
        <v>904</v>
      </c>
      <c r="F250" s="41" t="s">
        <v>904</v>
      </c>
      <c r="G250" s="41" t="s">
        <v>904</v>
      </c>
      <c r="H250" s="41" t="s">
        <v>904</v>
      </c>
      <c r="I250" s="41" t="s">
        <v>904</v>
      </c>
      <c r="J250" s="41" t="s">
        <v>904</v>
      </c>
      <c r="K250" s="41" t="s">
        <v>904</v>
      </c>
      <c r="L250" s="41" t="s">
        <v>904</v>
      </c>
      <c r="M250" s="60"/>
      <c r="N250" s="41" t="s">
        <v>904</v>
      </c>
      <c r="O250" s="60"/>
      <c r="P250" s="41" t="s">
        <v>904</v>
      </c>
      <c r="Q250" s="69"/>
      <c r="R250" s="69"/>
      <c r="S250" s="69"/>
      <c r="T250" s="69"/>
      <c r="U250" s="70"/>
      <c r="V250" s="70"/>
      <c r="W250" s="71"/>
      <c r="X250" s="43"/>
      <c r="Y250" s="43"/>
      <c r="Z250" s="41" t="s">
        <v>904</v>
      </c>
      <c r="AA250" s="41" t="s">
        <v>904</v>
      </c>
      <c r="AB250" s="41"/>
      <c r="AC250" s="69"/>
      <c r="AD250" s="44"/>
    </row>
    <row r="251" spans="3:28" ht="20.100000000000001" customHeight="1" x14ac:dyDescent="0.25">
      <c r="C251" s="57" t="s">
        <v>904</v>
      </c>
      <c r="D251" s="57" t="s">
        <v>904</v>
      </c>
      <c r="E251" s="41" t="s">
        <v>904</v>
      </c>
      <c r="F251" s="41" t="s">
        <v>904</v>
      </c>
      <c r="G251" s="41" t="s">
        <v>904</v>
      </c>
      <c r="H251" s="41" t="s">
        <v>904</v>
      </c>
      <c r="I251" s="41" t="s">
        <v>904</v>
      </c>
      <c r="J251" s="41" t="s">
        <v>904</v>
      </c>
      <c r="K251" s="41" t="s">
        <v>904</v>
      </c>
      <c r="L251" s="41" t="s">
        <v>904</v>
      </c>
      <c r="M251" s="60"/>
      <c r="N251" s="41" t="s">
        <v>904</v>
      </c>
      <c r="O251" s="60"/>
      <c r="P251" s="41" t="s">
        <v>904</v>
      </c>
      <c r="Q251" s="69"/>
      <c r="R251" s="69"/>
      <c r="S251" s="69"/>
      <c r="T251" s="69"/>
      <c r="U251" s="70"/>
      <c r="V251" s="70"/>
      <c r="W251" s="71"/>
      <c r="X251" s="43"/>
      <c r="Y251" s="43"/>
      <c r="Z251" s="41" t="s">
        <v>904</v>
      </c>
      <c r="AA251" s="41" t="s">
        <v>904</v>
      </c>
      <c r="AB251" s="41"/>
      <c r="AC251" s="69"/>
      <c r="AD251" s="44"/>
    </row>
    <row r="252" spans="3:28" ht="20.100000000000001" customHeight="1" x14ac:dyDescent="0.25">
      <c r="C252" s="57" t="s">
        <v>904</v>
      </c>
      <c r="D252" s="57" t="s">
        <v>904</v>
      </c>
      <c r="E252" s="41" t="s">
        <v>904</v>
      </c>
      <c r="F252" s="41" t="s">
        <v>904</v>
      </c>
      <c r="G252" s="41" t="s">
        <v>904</v>
      </c>
      <c r="H252" s="41" t="s">
        <v>904</v>
      </c>
      <c r="I252" s="41" t="s">
        <v>904</v>
      </c>
      <c r="J252" s="41" t="s">
        <v>904</v>
      </c>
      <c r="K252" s="41" t="s">
        <v>904</v>
      </c>
      <c r="L252" s="41" t="s">
        <v>904</v>
      </c>
      <c r="M252" s="60"/>
      <c r="N252" s="41" t="s">
        <v>904</v>
      </c>
      <c r="O252" s="60"/>
      <c r="P252" s="41" t="s">
        <v>904</v>
      </c>
      <c r="Q252" s="69"/>
      <c r="R252" s="69"/>
      <c r="S252" s="69"/>
      <c r="T252" s="69"/>
      <c r="U252" s="70"/>
      <c r="V252" s="70"/>
      <c r="W252" s="71"/>
      <c r="X252" s="43"/>
      <c r="Y252" s="43"/>
      <c r="Z252" s="41" t="s">
        <v>904</v>
      </c>
      <c r="AA252" s="41" t="s">
        <v>904</v>
      </c>
      <c r="AB252" s="41"/>
      <c r="AC252" s="69"/>
      <c r="AD252" s="44"/>
    </row>
    <row r="253" spans="3:28" ht="20.100000000000001" customHeight="1" x14ac:dyDescent="0.25">
      <c r="C253" s="57" t="s">
        <v>904</v>
      </c>
      <c r="D253" s="57" t="s">
        <v>904</v>
      </c>
      <c r="E253" s="41" t="s">
        <v>904</v>
      </c>
      <c r="F253" s="41" t="s">
        <v>904</v>
      </c>
      <c r="G253" s="41" t="s">
        <v>904</v>
      </c>
      <c r="H253" s="41" t="s">
        <v>904</v>
      </c>
      <c r="I253" s="41" t="s">
        <v>904</v>
      </c>
      <c r="J253" s="41" t="s">
        <v>904</v>
      </c>
      <c r="K253" s="41" t="s">
        <v>904</v>
      </c>
      <c r="L253" s="41" t="s">
        <v>904</v>
      </c>
      <c r="M253" s="60"/>
      <c r="N253" s="41" t="s">
        <v>904</v>
      </c>
      <c r="O253" s="60"/>
      <c r="P253" s="41" t="s">
        <v>904</v>
      </c>
      <c r="Q253" s="69"/>
      <c r="R253" s="69"/>
      <c r="S253" s="69"/>
      <c r="T253" s="69"/>
      <c r="U253" s="70"/>
      <c r="V253" s="70"/>
      <c r="W253" s="71"/>
      <c r="X253" s="43"/>
      <c r="Y253" s="43"/>
      <c r="Z253" s="41" t="s">
        <v>904</v>
      </c>
      <c r="AA253" s="41" t="s">
        <v>904</v>
      </c>
      <c r="AB253" s="41"/>
      <c r="AC253" s="69"/>
      <c r="AD253" s="44"/>
    </row>
    <row r="254" spans="3:28" ht="20.100000000000001" customHeight="1" x14ac:dyDescent="0.25">
      <c r="C254" s="57" t="s">
        <v>904</v>
      </c>
      <c r="D254" s="57" t="s">
        <v>904</v>
      </c>
      <c r="E254" s="41" t="s">
        <v>904</v>
      </c>
      <c r="F254" s="41" t="s">
        <v>904</v>
      </c>
      <c r="G254" s="41" t="s">
        <v>904</v>
      </c>
      <c r="H254" s="41" t="s">
        <v>904</v>
      </c>
      <c r="I254" s="41" t="s">
        <v>904</v>
      </c>
      <c r="J254" s="41" t="s">
        <v>904</v>
      </c>
      <c r="K254" s="41" t="s">
        <v>904</v>
      </c>
      <c r="L254" s="41" t="s">
        <v>904</v>
      </c>
      <c r="M254" s="60"/>
      <c r="N254" s="41" t="s">
        <v>904</v>
      </c>
      <c r="O254" s="60"/>
      <c r="P254" s="41" t="s">
        <v>904</v>
      </c>
      <c r="Q254" s="69"/>
      <c r="R254" s="69"/>
      <c r="S254" s="69"/>
      <c r="T254" s="69"/>
      <c r="U254" s="70"/>
      <c r="V254" s="70"/>
      <c r="W254" s="71"/>
      <c r="X254" s="43"/>
      <c r="Y254" s="43"/>
      <c r="Z254" s="41" t="s">
        <v>904</v>
      </c>
      <c r="AA254" s="41" t="s">
        <v>904</v>
      </c>
      <c r="AB254" s="41"/>
      <c r="AC254" s="69"/>
      <c r="AD254" s="44"/>
    </row>
    <row r="255" spans="3:28" ht="20.100000000000001" customHeight="1" x14ac:dyDescent="0.25">
      <c r="C255" s="57" t="s">
        <v>904</v>
      </c>
      <c r="D255" s="57" t="s">
        <v>904</v>
      </c>
      <c r="E255" s="41" t="s">
        <v>904</v>
      </c>
      <c r="F255" s="41" t="s">
        <v>904</v>
      </c>
      <c r="G255" s="41" t="s">
        <v>904</v>
      </c>
      <c r="H255" s="41" t="s">
        <v>904</v>
      </c>
      <c r="I255" s="41" t="s">
        <v>904</v>
      </c>
      <c r="J255" s="41" t="s">
        <v>904</v>
      </c>
      <c r="K255" s="41" t="s">
        <v>904</v>
      </c>
      <c r="L255" s="41" t="s">
        <v>904</v>
      </c>
      <c r="M255" s="60"/>
      <c r="N255" s="41" t="s">
        <v>904</v>
      </c>
      <c r="O255" s="60"/>
      <c r="P255" s="41" t="s">
        <v>904</v>
      </c>
      <c r="Q255" s="69"/>
      <c r="R255" s="69"/>
      <c r="S255" s="69"/>
      <c r="T255" s="69"/>
      <c r="U255" s="70"/>
      <c r="V255" s="70"/>
      <c r="W255" s="71"/>
      <c r="X255" s="43"/>
      <c r="Y255" s="43"/>
      <c r="Z255" s="41" t="s">
        <v>904</v>
      </c>
      <c r="AA255" s="41" t="s">
        <v>904</v>
      </c>
      <c r="AB255" s="41"/>
      <c r="AC255" s="69"/>
      <c r="AD255" s="44"/>
    </row>
    <row r="256" spans="3:28" ht="20.100000000000001" customHeight="1" x14ac:dyDescent="0.25">
      <c r="C256" s="57" t="s">
        <v>904</v>
      </c>
      <c r="D256" s="57" t="s">
        <v>904</v>
      </c>
      <c r="E256" s="41" t="s">
        <v>904</v>
      </c>
      <c r="F256" s="41" t="s">
        <v>904</v>
      </c>
      <c r="G256" s="41" t="s">
        <v>904</v>
      </c>
      <c r="H256" s="41" t="s">
        <v>904</v>
      </c>
      <c r="I256" s="41" t="s">
        <v>904</v>
      </c>
      <c r="J256" s="41" t="s">
        <v>904</v>
      </c>
      <c r="K256" s="41" t="s">
        <v>904</v>
      </c>
      <c r="L256" s="41" t="s">
        <v>904</v>
      </c>
      <c r="M256" s="60"/>
      <c r="N256" s="41" t="s">
        <v>904</v>
      </c>
      <c r="O256" s="60"/>
      <c r="P256" s="41" t="s">
        <v>904</v>
      </c>
      <c r="Q256" s="69"/>
      <c r="R256" s="69"/>
      <c r="S256" s="69"/>
      <c r="T256" s="69"/>
      <c r="U256" s="70"/>
      <c r="V256" s="70"/>
      <c r="W256" s="71"/>
      <c r="X256" s="43"/>
      <c r="Y256" s="43"/>
      <c r="Z256" s="41" t="s">
        <v>904</v>
      </c>
      <c r="AA256" s="41" t="s">
        <v>904</v>
      </c>
      <c r="AB256" s="41"/>
      <c r="AC256" s="69"/>
      <c r="AD256" s="44"/>
    </row>
    <row r="257" spans="3:28" ht="20.100000000000001" customHeight="1" x14ac:dyDescent="0.25">
      <c r="C257" s="57" t="s">
        <v>904</v>
      </c>
      <c r="D257" s="57" t="s">
        <v>904</v>
      </c>
      <c r="E257" s="41" t="s">
        <v>904</v>
      </c>
      <c r="F257" s="41" t="s">
        <v>904</v>
      </c>
      <c r="G257" s="41" t="s">
        <v>904</v>
      </c>
      <c r="H257" s="41" t="s">
        <v>904</v>
      </c>
      <c r="I257" s="41" t="s">
        <v>904</v>
      </c>
      <c r="J257" s="41" t="s">
        <v>904</v>
      </c>
      <c r="K257" s="41" t="s">
        <v>904</v>
      </c>
      <c r="L257" s="41" t="s">
        <v>904</v>
      </c>
      <c r="M257" s="60"/>
      <c r="N257" s="41" t="s">
        <v>904</v>
      </c>
      <c r="O257" s="60"/>
      <c r="P257" s="41" t="s">
        <v>904</v>
      </c>
      <c r="Q257" s="69"/>
      <c r="R257" s="69"/>
      <c r="S257" s="69"/>
      <c r="T257" s="69"/>
      <c r="U257" s="70"/>
      <c r="V257" s="70"/>
      <c r="W257" s="71"/>
      <c r="X257" s="43"/>
      <c r="Y257" s="43"/>
      <c r="Z257" s="41" t="s">
        <v>904</v>
      </c>
      <c r="AA257" s="41" t="s">
        <v>904</v>
      </c>
      <c r="AB257" s="41"/>
      <c r="AC257" s="69"/>
      <c r="AD257" s="44"/>
    </row>
    <row r="258" spans="3:28" ht="20.100000000000001" customHeight="1" x14ac:dyDescent="0.25">
      <c r="C258" s="57" t="s">
        <v>904</v>
      </c>
      <c r="D258" s="57" t="s">
        <v>904</v>
      </c>
      <c r="E258" s="41" t="s">
        <v>904</v>
      </c>
      <c r="F258" s="41" t="s">
        <v>904</v>
      </c>
      <c r="G258" s="41" t="s">
        <v>904</v>
      </c>
      <c r="H258" s="41" t="s">
        <v>904</v>
      </c>
      <c r="I258" s="41" t="s">
        <v>904</v>
      </c>
      <c r="J258" s="41" t="s">
        <v>904</v>
      </c>
      <c r="K258" s="41" t="s">
        <v>904</v>
      </c>
      <c r="L258" s="41" t="s">
        <v>904</v>
      </c>
      <c r="M258" s="60"/>
      <c r="N258" s="41" t="s">
        <v>904</v>
      </c>
      <c r="O258" s="60"/>
      <c r="P258" s="41" t="s">
        <v>904</v>
      </c>
      <c r="Q258" s="69"/>
      <c r="R258" s="69"/>
      <c r="S258" s="69"/>
      <c r="T258" s="69"/>
      <c r="U258" s="70"/>
      <c r="V258" s="70"/>
      <c r="W258" s="71"/>
      <c r="X258" s="43"/>
      <c r="Y258" s="43"/>
      <c r="Z258" s="41" t="s">
        <v>904</v>
      </c>
      <c r="AA258" s="41" t="s">
        <v>904</v>
      </c>
      <c r="AB258" s="41"/>
      <c r="AC258" s="69"/>
      <c r="AD258" s="44"/>
    </row>
    <row r="259" spans="3:28" ht="20.100000000000001" customHeight="1" x14ac:dyDescent="0.25">
      <c r="C259" s="57" t="s">
        <v>904</v>
      </c>
      <c r="D259" s="57" t="s">
        <v>904</v>
      </c>
      <c r="E259" s="41" t="s">
        <v>904</v>
      </c>
      <c r="F259" s="41" t="s">
        <v>904</v>
      </c>
      <c r="G259" s="41" t="s">
        <v>904</v>
      </c>
      <c r="H259" s="41" t="s">
        <v>904</v>
      </c>
      <c r="I259" s="41" t="s">
        <v>904</v>
      </c>
      <c r="J259" s="41" t="s">
        <v>904</v>
      </c>
      <c r="K259" s="41" t="s">
        <v>904</v>
      </c>
      <c r="L259" s="41" t="s">
        <v>904</v>
      </c>
      <c r="M259" s="60"/>
      <c r="N259" s="41" t="s">
        <v>904</v>
      </c>
      <c r="O259" s="60"/>
      <c r="P259" s="41" t="s">
        <v>904</v>
      </c>
      <c r="Q259" s="69"/>
      <c r="R259" s="69"/>
      <c r="S259" s="69"/>
      <c r="T259" s="69"/>
      <c r="U259" s="70"/>
      <c r="V259" s="70"/>
      <c r="W259" s="71"/>
      <c r="X259" s="43"/>
      <c r="Y259" s="43"/>
      <c r="Z259" s="41" t="s">
        <v>904</v>
      </c>
      <c r="AA259" s="41" t="s">
        <v>904</v>
      </c>
      <c r="AB259" s="41"/>
      <c r="AC259" s="69"/>
      <c r="AD259" s="44"/>
    </row>
    <row r="260" spans="3:28" ht="20.100000000000001" customHeight="1" x14ac:dyDescent="0.25">
      <c r="C260" s="57" t="s">
        <v>904</v>
      </c>
      <c r="D260" s="57" t="s">
        <v>904</v>
      </c>
      <c r="E260" s="41" t="s">
        <v>904</v>
      </c>
      <c r="F260" s="41" t="s">
        <v>904</v>
      </c>
      <c r="G260" s="41" t="s">
        <v>904</v>
      </c>
      <c r="H260" s="41" t="s">
        <v>904</v>
      </c>
      <c r="I260" s="41" t="s">
        <v>904</v>
      </c>
      <c r="J260" s="41" t="s">
        <v>904</v>
      </c>
      <c r="K260" s="41" t="s">
        <v>904</v>
      </c>
      <c r="L260" s="41" t="s">
        <v>904</v>
      </c>
      <c r="M260" s="60"/>
      <c r="N260" s="41" t="s">
        <v>904</v>
      </c>
      <c r="O260" s="60"/>
      <c r="P260" s="41" t="s">
        <v>904</v>
      </c>
      <c r="Q260" s="69"/>
      <c r="R260" s="69"/>
      <c r="S260" s="69"/>
      <c r="T260" s="69"/>
      <c r="U260" s="70"/>
      <c r="V260" s="70"/>
      <c r="W260" s="71"/>
      <c r="X260" s="43"/>
      <c r="Y260" s="43"/>
      <c r="Z260" s="41" t="s">
        <v>904</v>
      </c>
      <c r="AA260" s="41" t="s">
        <v>904</v>
      </c>
      <c r="AB260" s="41"/>
      <c r="AC260" s="69"/>
      <c r="AD260" s="44"/>
    </row>
    <row r="261" spans="3:28" ht="20.100000000000001" customHeight="1" x14ac:dyDescent="0.25">
      <c r="C261" s="57" t="s">
        <v>904</v>
      </c>
      <c r="D261" s="57" t="s">
        <v>904</v>
      </c>
      <c r="E261" s="41" t="s">
        <v>904</v>
      </c>
      <c r="F261" s="41" t="s">
        <v>904</v>
      </c>
      <c r="G261" s="41" t="s">
        <v>904</v>
      </c>
      <c r="H261" s="41" t="s">
        <v>904</v>
      </c>
      <c r="I261" s="41" t="s">
        <v>904</v>
      </c>
      <c r="J261" s="41" t="s">
        <v>904</v>
      </c>
      <c r="K261" s="41" t="s">
        <v>904</v>
      </c>
      <c r="L261" s="41" t="s">
        <v>904</v>
      </c>
      <c r="M261" s="60"/>
      <c r="N261" s="41" t="s">
        <v>904</v>
      </c>
      <c r="O261" s="60"/>
      <c r="P261" s="41" t="s">
        <v>904</v>
      </c>
      <c r="Q261" s="69"/>
      <c r="R261" s="69"/>
      <c r="S261" s="69"/>
      <c r="T261" s="69"/>
      <c r="U261" s="70"/>
      <c r="V261" s="70"/>
      <c r="W261" s="71"/>
      <c r="X261" s="43"/>
      <c r="Y261" s="43"/>
      <c r="Z261" s="41" t="s">
        <v>904</v>
      </c>
      <c r="AA261" s="41" t="s">
        <v>904</v>
      </c>
      <c r="AB261" s="41"/>
      <c r="AC261" s="69"/>
      <c r="AD261" s="44"/>
    </row>
    <row r="262" spans="3:28" ht="20.100000000000001" customHeight="1" x14ac:dyDescent="0.25">
      <c r="C262" s="57" t="s">
        <v>904</v>
      </c>
      <c r="D262" s="57" t="s">
        <v>904</v>
      </c>
      <c r="E262" s="41" t="s">
        <v>904</v>
      </c>
      <c r="F262" s="41" t="s">
        <v>904</v>
      </c>
      <c r="G262" s="41" t="s">
        <v>904</v>
      </c>
      <c r="H262" s="41" t="s">
        <v>904</v>
      </c>
      <c r="I262" s="41" t="s">
        <v>904</v>
      </c>
      <c r="J262" s="41" t="s">
        <v>904</v>
      </c>
      <c r="K262" s="41" t="s">
        <v>904</v>
      </c>
      <c r="L262" s="41" t="s">
        <v>904</v>
      </c>
      <c r="M262" s="60"/>
      <c r="N262" s="41" t="s">
        <v>904</v>
      </c>
      <c r="O262" s="60"/>
      <c r="P262" s="41" t="s">
        <v>904</v>
      </c>
      <c r="Q262" s="69"/>
      <c r="R262" s="69"/>
      <c r="S262" s="69"/>
      <c r="T262" s="69"/>
      <c r="U262" s="70"/>
      <c r="V262" s="70"/>
      <c r="W262" s="71"/>
      <c r="X262" s="43"/>
      <c r="Y262" s="43"/>
      <c r="Z262" s="41" t="s">
        <v>904</v>
      </c>
      <c r="AA262" s="41" t="s">
        <v>904</v>
      </c>
      <c r="AB262" s="41"/>
      <c r="AC262" s="69"/>
      <c r="AD262" s="44"/>
    </row>
    <row r="263" spans="3:28" ht="20.100000000000001" customHeight="1" x14ac:dyDescent="0.25">
      <c r="C263" s="57" t="s">
        <v>904</v>
      </c>
      <c r="D263" s="57" t="s">
        <v>904</v>
      </c>
      <c r="E263" s="41" t="s">
        <v>904</v>
      </c>
      <c r="F263" s="41" t="s">
        <v>904</v>
      </c>
      <c r="G263" s="41" t="s">
        <v>904</v>
      </c>
      <c r="H263" s="41" t="s">
        <v>904</v>
      </c>
      <c r="I263" s="41" t="s">
        <v>904</v>
      </c>
      <c r="J263" s="41" t="s">
        <v>904</v>
      </c>
      <c r="K263" s="41" t="s">
        <v>904</v>
      </c>
      <c r="L263" s="41" t="s">
        <v>904</v>
      </c>
      <c r="M263" s="60"/>
      <c r="N263" s="41" t="s">
        <v>904</v>
      </c>
      <c r="O263" s="60"/>
      <c r="P263" s="41" t="s">
        <v>904</v>
      </c>
      <c r="Q263" s="69"/>
      <c r="R263" s="69"/>
      <c r="S263" s="69"/>
      <c r="T263" s="69"/>
      <c r="U263" s="70"/>
      <c r="V263" s="70"/>
      <c r="W263" s="71"/>
      <c r="X263" s="43"/>
      <c r="Y263" s="43"/>
      <c r="Z263" s="41" t="s">
        <v>904</v>
      </c>
      <c r="AA263" s="41" t="s">
        <v>904</v>
      </c>
      <c r="AB263" s="41"/>
      <c r="AC263" s="69"/>
      <c r="AD263" s="44"/>
    </row>
    <row r="264" spans="3:28" ht="20.100000000000001" customHeight="1" x14ac:dyDescent="0.25">
      <c r="C264" s="57" t="s">
        <v>904</v>
      </c>
      <c r="D264" s="57" t="s">
        <v>904</v>
      </c>
      <c r="E264" s="41" t="s">
        <v>904</v>
      </c>
      <c r="F264" s="41" t="s">
        <v>904</v>
      </c>
      <c r="G264" s="41" t="s">
        <v>904</v>
      </c>
      <c r="H264" s="41" t="s">
        <v>904</v>
      </c>
      <c r="I264" s="41" t="s">
        <v>904</v>
      </c>
      <c r="J264" s="41" t="s">
        <v>904</v>
      </c>
      <c r="K264" s="41" t="s">
        <v>904</v>
      </c>
      <c r="L264" s="41" t="s">
        <v>904</v>
      </c>
      <c r="M264" s="60"/>
      <c r="N264" s="41" t="s">
        <v>904</v>
      </c>
      <c r="O264" s="60"/>
      <c r="P264" s="41" t="s">
        <v>904</v>
      </c>
      <c r="Q264" s="69"/>
      <c r="R264" s="69"/>
      <c r="S264" s="69"/>
      <c r="T264" s="69"/>
      <c r="U264" s="70"/>
      <c r="V264" s="70"/>
      <c r="W264" s="71"/>
      <c r="X264" s="43"/>
      <c r="Y264" s="43"/>
      <c r="Z264" s="41" t="s">
        <v>904</v>
      </c>
      <c r="AA264" s="41" t="s">
        <v>904</v>
      </c>
      <c r="AB264" s="41"/>
      <c r="AC264" s="69"/>
      <c r="AD264" s="44"/>
    </row>
    <row r="265" spans="3:28" ht="20.100000000000001" customHeight="1" x14ac:dyDescent="0.25">
      <c r="C265" s="57" t="s">
        <v>904</v>
      </c>
      <c r="D265" s="57" t="s">
        <v>904</v>
      </c>
      <c r="E265" s="41" t="s">
        <v>904</v>
      </c>
      <c r="F265" s="41" t="s">
        <v>904</v>
      </c>
      <c r="G265" s="41" t="s">
        <v>904</v>
      </c>
      <c r="H265" s="41" t="s">
        <v>904</v>
      </c>
      <c r="I265" s="41" t="s">
        <v>904</v>
      </c>
      <c r="J265" s="41" t="s">
        <v>904</v>
      </c>
      <c r="K265" s="41" t="s">
        <v>904</v>
      </c>
      <c r="L265" s="41" t="s">
        <v>904</v>
      </c>
      <c r="M265" s="60"/>
      <c r="N265" s="41" t="s">
        <v>904</v>
      </c>
      <c r="O265" s="60"/>
      <c r="P265" s="41" t="s">
        <v>904</v>
      </c>
      <c r="Q265" s="69"/>
      <c r="R265" s="69"/>
      <c r="S265" s="69"/>
      <c r="T265" s="69"/>
      <c r="U265" s="70"/>
      <c r="V265" s="70"/>
      <c r="W265" s="71"/>
      <c r="X265" s="43"/>
      <c r="Y265" s="43"/>
      <c r="Z265" s="41" t="s">
        <v>904</v>
      </c>
      <c r="AA265" s="41" t="s">
        <v>904</v>
      </c>
      <c r="AB265" s="41"/>
      <c r="AC265" s="69"/>
      <c r="AD265" s="44"/>
    </row>
    <row r="266" spans="3:28" ht="20.100000000000001" customHeight="1" x14ac:dyDescent="0.25">
      <c r="C266" s="57" t="s">
        <v>904</v>
      </c>
      <c r="D266" s="57" t="s">
        <v>904</v>
      </c>
      <c r="E266" s="41" t="s">
        <v>904</v>
      </c>
      <c r="F266" s="41" t="s">
        <v>904</v>
      </c>
      <c r="G266" s="41" t="s">
        <v>904</v>
      </c>
      <c r="H266" s="41" t="s">
        <v>904</v>
      </c>
      <c r="I266" s="41" t="s">
        <v>904</v>
      </c>
      <c r="J266" s="41" t="s">
        <v>904</v>
      </c>
      <c r="K266" s="41" t="s">
        <v>904</v>
      </c>
      <c r="L266" s="41" t="s">
        <v>904</v>
      </c>
      <c r="M266" s="60"/>
      <c r="N266" s="41" t="s">
        <v>904</v>
      </c>
      <c r="O266" s="60"/>
      <c r="P266" s="41" t="s">
        <v>904</v>
      </c>
      <c r="Q266" s="69"/>
      <c r="R266" s="69"/>
      <c r="S266" s="69"/>
      <c r="T266" s="69"/>
      <c r="U266" s="70"/>
      <c r="V266" s="70"/>
      <c r="W266" s="71"/>
      <c r="X266" s="43"/>
      <c r="Y266" s="43"/>
      <c r="Z266" s="41" t="s">
        <v>904</v>
      </c>
      <c r="AA266" s="41" t="s">
        <v>904</v>
      </c>
      <c r="AB266" s="41"/>
      <c r="AC266" s="69"/>
      <c r="AD266" s="44"/>
    </row>
    <row r="267" spans="3:28" ht="20.100000000000001" customHeight="1" x14ac:dyDescent="0.25">
      <c r="C267" s="57" t="s">
        <v>904</v>
      </c>
      <c r="D267" s="57" t="s">
        <v>904</v>
      </c>
      <c r="E267" s="41" t="s">
        <v>904</v>
      </c>
      <c r="F267" s="41" t="s">
        <v>904</v>
      </c>
      <c r="G267" s="41" t="s">
        <v>904</v>
      </c>
      <c r="H267" s="41" t="s">
        <v>904</v>
      </c>
      <c r="I267" s="41" t="s">
        <v>904</v>
      </c>
      <c r="J267" s="41" t="s">
        <v>904</v>
      </c>
      <c r="K267" s="41" t="s">
        <v>904</v>
      </c>
      <c r="L267" s="41" t="s">
        <v>904</v>
      </c>
      <c r="M267" s="60"/>
      <c r="N267" s="41" t="s">
        <v>904</v>
      </c>
      <c r="O267" s="60"/>
      <c r="P267" s="41" t="s">
        <v>904</v>
      </c>
      <c r="Q267" s="69"/>
      <c r="R267" s="69"/>
      <c r="S267" s="69"/>
      <c r="T267" s="69"/>
      <c r="U267" s="70"/>
      <c r="V267" s="70"/>
      <c r="W267" s="71"/>
      <c r="X267" s="43"/>
      <c r="Y267" s="43"/>
      <c r="Z267" s="41" t="s">
        <v>904</v>
      </c>
      <c r="AA267" s="41" t="s">
        <v>904</v>
      </c>
      <c r="AB267" s="41"/>
      <c r="AC267" s="69"/>
      <c r="AD267" s="44"/>
    </row>
    <row r="268" spans="3:28" ht="20.100000000000001" customHeight="1" x14ac:dyDescent="0.25">
      <c r="C268" s="57" t="s">
        <v>904</v>
      </c>
      <c r="D268" s="57" t="s">
        <v>904</v>
      </c>
      <c r="E268" s="41" t="s">
        <v>904</v>
      </c>
      <c r="F268" s="41" t="s">
        <v>904</v>
      </c>
      <c r="G268" s="41" t="s">
        <v>904</v>
      </c>
      <c r="H268" s="41" t="s">
        <v>904</v>
      </c>
      <c r="I268" s="41" t="s">
        <v>904</v>
      </c>
      <c r="J268" s="41" t="s">
        <v>904</v>
      </c>
      <c r="K268" s="41" t="s">
        <v>904</v>
      </c>
      <c r="L268" s="41" t="s">
        <v>904</v>
      </c>
      <c r="M268" s="60"/>
      <c r="N268" s="41" t="s">
        <v>904</v>
      </c>
      <c r="O268" s="60"/>
      <c r="P268" s="41" t="s">
        <v>904</v>
      </c>
      <c r="Q268" s="69"/>
      <c r="R268" s="69"/>
      <c r="S268" s="69"/>
      <c r="T268" s="69"/>
      <c r="U268" s="70"/>
      <c r="V268" s="70"/>
      <c r="W268" s="71"/>
      <c r="X268" s="43"/>
      <c r="Y268" s="43"/>
      <c r="Z268" s="41" t="s">
        <v>904</v>
      </c>
      <c r="AA268" s="41" t="s">
        <v>904</v>
      </c>
      <c r="AB268" s="41"/>
      <c r="AC268" s="69"/>
      <c r="AD268" s="44"/>
    </row>
    <row r="269" spans="3:28" ht="20.100000000000001" customHeight="1" x14ac:dyDescent="0.25">
      <c r="C269" s="57" t="s">
        <v>904</v>
      </c>
      <c r="D269" s="57" t="s">
        <v>904</v>
      </c>
      <c r="E269" s="41" t="s">
        <v>904</v>
      </c>
      <c r="F269" s="41" t="s">
        <v>904</v>
      </c>
      <c r="G269" s="41" t="s">
        <v>904</v>
      </c>
      <c r="H269" s="41" t="s">
        <v>904</v>
      </c>
      <c r="I269" s="41" t="s">
        <v>904</v>
      </c>
      <c r="J269" s="41" t="s">
        <v>904</v>
      </c>
      <c r="K269" s="41" t="s">
        <v>904</v>
      </c>
      <c r="L269" s="41" t="s">
        <v>904</v>
      </c>
      <c r="M269" s="60"/>
      <c r="N269" s="41" t="s">
        <v>904</v>
      </c>
      <c r="O269" s="60"/>
      <c r="P269" s="41" t="s">
        <v>904</v>
      </c>
      <c r="Q269" s="69"/>
      <c r="R269" s="69"/>
      <c r="S269" s="69"/>
      <c r="T269" s="69"/>
      <c r="U269" s="70"/>
      <c r="V269" s="70"/>
      <c r="W269" s="71"/>
      <c r="X269" s="43"/>
      <c r="Y269" s="43"/>
      <c r="Z269" s="41" t="s">
        <v>904</v>
      </c>
      <c r="AA269" s="41" t="s">
        <v>904</v>
      </c>
      <c r="AB269" s="41"/>
      <c r="AC269" s="69"/>
      <c r="AD269" s="44"/>
    </row>
    <row r="270" spans="3:28" ht="20.100000000000001" customHeight="1" x14ac:dyDescent="0.25">
      <c r="C270" s="57" t="s">
        <v>904</v>
      </c>
      <c r="D270" s="57" t="s">
        <v>904</v>
      </c>
      <c r="E270" s="41" t="s">
        <v>904</v>
      </c>
      <c r="F270" s="41" t="s">
        <v>904</v>
      </c>
      <c r="G270" s="41" t="s">
        <v>904</v>
      </c>
      <c r="H270" s="41" t="s">
        <v>904</v>
      </c>
      <c r="I270" s="41" t="s">
        <v>904</v>
      </c>
      <c r="J270" s="41" t="s">
        <v>904</v>
      </c>
      <c r="K270" s="41" t="s">
        <v>904</v>
      </c>
      <c r="L270" s="41" t="s">
        <v>904</v>
      </c>
      <c r="M270" s="60"/>
      <c r="N270" s="41" t="s">
        <v>904</v>
      </c>
      <c r="O270" s="60"/>
      <c r="P270" s="41" t="s">
        <v>904</v>
      </c>
      <c r="Q270" s="69"/>
      <c r="R270" s="69"/>
      <c r="S270" s="69"/>
      <c r="T270" s="69"/>
      <c r="U270" s="70"/>
      <c r="V270" s="70"/>
      <c r="W270" s="71"/>
      <c r="X270" s="43"/>
      <c r="Y270" s="43"/>
      <c r="Z270" s="41" t="s">
        <v>904</v>
      </c>
      <c r="AA270" s="41" t="s">
        <v>904</v>
      </c>
      <c r="AB270" s="41"/>
      <c r="AC270" s="69"/>
      <c r="AD270" s="44"/>
    </row>
    <row r="271" spans="3:28" ht="20.100000000000001" customHeight="1" x14ac:dyDescent="0.25">
      <c r="C271" s="57" t="s">
        <v>904</v>
      </c>
      <c r="D271" s="57" t="s">
        <v>904</v>
      </c>
      <c r="E271" s="41" t="s">
        <v>904</v>
      </c>
      <c r="F271" s="41" t="s">
        <v>904</v>
      </c>
      <c r="G271" s="41" t="s">
        <v>904</v>
      </c>
      <c r="H271" s="41" t="s">
        <v>904</v>
      </c>
      <c r="I271" s="41" t="s">
        <v>904</v>
      </c>
      <c r="J271" s="41" t="s">
        <v>904</v>
      </c>
      <c r="K271" s="41" t="s">
        <v>904</v>
      </c>
      <c r="L271" s="41" t="s">
        <v>904</v>
      </c>
      <c r="M271" s="60"/>
      <c r="N271" s="41" t="s">
        <v>904</v>
      </c>
      <c r="O271" s="60"/>
      <c r="P271" s="41" t="s">
        <v>904</v>
      </c>
      <c r="Q271" s="69"/>
      <c r="R271" s="69"/>
      <c r="S271" s="69"/>
      <c r="T271" s="69"/>
      <c r="U271" s="70"/>
      <c r="V271" s="70"/>
      <c r="W271" s="71"/>
      <c r="X271" s="43"/>
      <c r="Y271" s="43"/>
      <c r="Z271" s="41" t="s">
        <v>904</v>
      </c>
      <c r="AA271" s="41" t="s">
        <v>904</v>
      </c>
      <c r="AB271" s="41"/>
      <c r="AC271" s="69"/>
      <c r="AD271" s="44"/>
    </row>
    <row r="272" spans="3:28" ht="20.100000000000001" customHeight="1" x14ac:dyDescent="0.25">
      <c r="C272" s="57" t="s">
        <v>904</v>
      </c>
      <c r="D272" s="57" t="s">
        <v>904</v>
      </c>
      <c r="E272" s="41" t="s">
        <v>904</v>
      </c>
      <c r="F272" s="41" t="s">
        <v>904</v>
      </c>
      <c r="G272" s="41" t="s">
        <v>904</v>
      </c>
      <c r="H272" s="41" t="s">
        <v>904</v>
      </c>
      <c r="I272" s="41" t="s">
        <v>904</v>
      </c>
      <c r="J272" s="41" t="s">
        <v>904</v>
      </c>
      <c r="K272" s="41" t="s">
        <v>904</v>
      </c>
      <c r="L272" s="41" t="s">
        <v>904</v>
      </c>
      <c r="M272" s="60"/>
      <c r="N272" s="41" t="s">
        <v>904</v>
      </c>
      <c r="O272" s="60"/>
      <c r="P272" s="41" t="s">
        <v>904</v>
      </c>
      <c r="Q272" s="69"/>
      <c r="R272" s="69"/>
      <c r="S272" s="69"/>
      <c r="T272" s="69"/>
      <c r="U272" s="70"/>
      <c r="V272" s="70"/>
      <c r="W272" s="71"/>
      <c r="X272" s="43"/>
      <c r="Y272" s="43"/>
      <c r="Z272" s="41" t="s">
        <v>904</v>
      </c>
      <c r="AA272" s="41" t="s">
        <v>904</v>
      </c>
      <c r="AB272" s="41"/>
      <c r="AC272" s="69"/>
      <c r="AD272" s="44"/>
    </row>
    <row r="273" spans="3:28" ht="20.100000000000001" customHeight="1" x14ac:dyDescent="0.25">
      <c r="C273" s="57" t="s">
        <v>904</v>
      </c>
      <c r="D273" s="57" t="s">
        <v>904</v>
      </c>
      <c r="E273" s="41" t="s">
        <v>904</v>
      </c>
      <c r="F273" s="41" t="s">
        <v>904</v>
      </c>
      <c r="G273" s="41" t="s">
        <v>904</v>
      </c>
      <c r="H273" s="41" t="s">
        <v>904</v>
      </c>
      <c r="I273" s="41" t="s">
        <v>904</v>
      </c>
      <c r="J273" s="41" t="s">
        <v>904</v>
      </c>
      <c r="K273" s="41" t="s">
        <v>904</v>
      </c>
      <c r="L273" s="41" t="s">
        <v>904</v>
      </c>
      <c r="M273" s="60"/>
      <c r="N273" s="41" t="s">
        <v>904</v>
      </c>
      <c r="O273" s="60"/>
      <c r="P273" s="41" t="s">
        <v>904</v>
      </c>
      <c r="Q273" s="69"/>
      <c r="R273" s="69"/>
      <c r="S273" s="69"/>
      <c r="T273" s="69"/>
      <c r="U273" s="70"/>
      <c r="V273" s="70"/>
      <c r="W273" s="71"/>
      <c r="X273" s="43"/>
      <c r="Y273" s="43"/>
      <c r="Z273" s="41" t="s">
        <v>904</v>
      </c>
      <c r="AA273" s="41" t="s">
        <v>904</v>
      </c>
      <c r="AB273" s="41"/>
      <c r="AC273" s="69"/>
      <c r="AD273" s="44"/>
    </row>
    <row r="274" spans="3:28" ht="20.100000000000001" customHeight="1" x14ac:dyDescent="0.25">
      <c r="C274" s="57" t="s">
        <v>904</v>
      </c>
      <c r="D274" s="57" t="s">
        <v>904</v>
      </c>
      <c r="E274" s="41" t="s">
        <v>904</v>
      </c>
      <c r="F274" s="41" t="s">
        <v>904</v>
      </c>
      <c r="G274" s="41" t="s">
        <v>904</v>
      </c>
      <c r="H274" s="41" t="s">
        <v>904</v>
      </c>
      <c r="I274" s="41" t="s">
        <v>904</v>
      </c>
      <c r="J274" s="41" t="s">
        <v>904</v>
      </c>
      <c r="K274" s="41" t="s">
        <v>904</v>
      </c>
      <c r="L274" s="41" t="s">
        <v>904</v>
      </c>
      <c r="M274" s="60"/>
      <c r="N274" s="41" t="s">
        <v>904</v>
      </c>
      <c r="O274" s="60"/>
      <c r="P274" s="41" t="s">
        <v>904</v>
      </c>
      <c r="Q274" s="69"/>
      <c r="R274" s="69"/>
      <c r="S274" s="69"/>
      <c r="T274" s="69"/>
      <c r="U274" s="70"/>
      <c r="V274" s="70"/>
      <c r="W274" s="71"/>
      <c r="X274" s="43"/>
      <c r="Y274" s="43"/>
      <c r="Z274" s="41" t="s">
        <v>904</v>
      </c>
      <c r="AA274" s="41" t="s">
        <v>904</v>
      </c>
      <c r="AB274" s="41"/>
      <c r="AC274" s="69"/>
      <c r="AD274" s="44"/>
    </row>
    <row r="275" spans="3:28" ht="20.100000000000001" customHeight="1" x14ac:dyDescent="0.25">
      <c r="C275" s="57" t="s">
        <v>904</v>
      </c>
      <c r="D275" s="57" t="s">
        <v>904</v>
      </c>
      <c r="E275" s="41" t="s">
        <v>904</v>
      </c>
      <c r="F275" s="41" t="s">
        <v>904</v>
      </c>
      <c r="G275" s="41" t="s">
        <v>904</v>
      </c>
      <c r="H275" s="41" t="s">
        <v>904</v>
      </c>
      <c r="I275" s="41" t="s">
        <v>904</v>
      </c>
      <c r="J275" s="41" t="s">
        <v>904</v>
      </c>
      <c r="K275" s="41" t="s">
        <v>904</v>
      </c>
      <c r="L275" s="41" t="s">
        <v>904</v>
      </c>
      <c r="M275" s="60"/>
      <c r="N275" s="41" t="s">
        <v>904</v>
      </c>
      <c r="O275" s="60"/>
      <c r="P275" s="41" t="s">
        <v>904</v>
      </c>
      <c r="Q275" s="69"/>
      <c r="R275" s="69"/>
      <c r="S275" s="69"/>
      <c r="T275" s="69"/>
      <c r="U275" s="70"/>
      <c r="V275" s="70"/>
      <c r="W275" s="71"/>
      <c r="X275" s="43"/>
      <c r="Y275" s="43"/>
      <c r="Z275" s="41" t="s">
        <v>904</v>
      </c>
      <c r="AA275" s="41" t="s">
        <v>904</v>
      </c>
      <c r="AB275" s="41"/>
      <c r="AC275" s="69"/>
      <c r="AD275" s="44"/>
    </row>
    <row r="276" spans="3:28" ht="20.100000000000001" customHeight="1" x14ac:dyDescent="0.25">
      <c r="C276" s="57" t="s">
        <v>904</v>
      </c>
      <c r="D276" s="57" t="s">
        <v>904</v>
      </c>
      <c r="E276" s="41" t="s">
        <v>904</v>
      </c>
      <c r="F276" s="41" t="s">
        <v>904</v>
      </c>
      <c r="G276" s="41" t="s">
        <v>904</v>
      </c>
      <c r="H276" s="41" t="s">
        <v>904</v>
      </c>
      <c r="I276" s="41" t="s">
        <v>904</v>
      </c>
      <c r="J276" s="41" t="s">
        <v>904</v>
      </c>
      <c r="K276" s="41" t="s">
        <v>904</v>
      </c>
      <c r="L276" s="41" t="s">
        <v>904</v>
      </c>
      <c r="M276" s="60"/>
      <c r="N276" s="41" t="s">
        <v>904</v>
      </c>
      <c r="O276" s="60"/>
      <c r="P276" s="41" t="s">
        <v>904</v>
      </c>
      <c r="Q276" s="69"/>
      <c r="R276" s="69"/>
      <c r="S276" s="69"/>
      <c r="T276" s="69"/>
      <c r="U276" s="70"/>
      <c r="V276" s="70"/>
      <c r="W276" s="71"/>
      <c r="X276" s="43"/>
      <c r="Y276" s="43"/>
      <c r="Z276" s="41" t="s">
        <v>904</v>
      </c>
      <c r="AA276" s="41" t="s">
        <v>904</v>
      </c>
      <c r="AB276" s="41"/>
      <c r="AC276" s="69"/>
      <c r="AD276" s="44"/>
    </row>
    <row r="277" spans="3:28" ht="20.100000000000001" customHeight="1" x14ac:dyDescent="0.25">
      <c r="C277" s="57" t="s">
        <v>904</v>
      </c>
      <c r="D277" s="57" t="s">
        <v>904</v>
      </c>
      <c r="E277" s="41" t="s">
        <v>904</v>
      </c>
      <c r="F277" s="41" t="s">
        <v>904</v>
      </c>
      <c r="G277" s="41" t="s">
        <v>904</v>
      </c>
      <c r="H277" s="41" t="s">
        <v>904</v>
      </c>
      <c r="I277" s="41" t="s">
        <v>904</v>
      </c>
      <c r="J277" s="41" t="s">
        <v>904</v>
      </c>
      <c r="K277" s="41" t="s">
        <v>904</v>
      </c>
      <c r="L277" s="41" t="s">
        <v>904</v>
      </c>
      <c r="M277" s="60"/>
      <c r="N277" s="41" t="s">
        <v>904</v>
      </c>
      <c r="O277" s="60"/>
      <c r="P277" s="41" t="s">
        <v>904</v>
      </c>
      <c r="Q277" s="69"/>
      <c r="R277" s="69"/>
      <c r="S277" s="69"/>
      <c r="T277" s="69"/>
      <c r="U277" s="70"/>
      <c r="V277" s="70"/>
      <c r="W277" s="71"/>
      <c r="X277" s="43"/>
      <c r="Y277" s="43"/>
      <c r="Z277" s="41" t="s">
        <v>904</v>
      </c>
      <c r="AA277" s="41" t="s">
        <v>904</v>
      </c>
      <c r="AB277" s="41"/>
      <c r="AC277" s="69"/>
      <c r="AD277" s="44"/>
    </row>
    <row r="278" spans="3:28" ht="20.100000000000001" customHeight="1" x14ac:dyDescent="0.25">
      <c r="C278" s="57" t="s">
        <v>904</v>
      </c>
      <c r="D278" s="57" t="s">
        <v>904</v>
      </c>
      <c r="E278" s="41" t="s">
        <v>904</v>
      </c>
      <c r="F278" s="41" t="s">
        <v>904</v>
      </c>
      <c r="G278" s="41" t="s">
        <v>904</v>
      </c>
      <c r="H278" s="41" t="s">
        <v>904</v>
      </c>
      <c r="I278" s="41" t="s">
        <v>904</v>
      </c>
      <c r="J278" s="41" t="s">
        <v>904</v>
      </c>
      <c r="K278" s="41" t="s">
        <v>904</v>
      </c>
      <c r="L278" s="41" t="s">
        <v>904</v>
      </c>
      <c r="M278" s="60"/>
      <c r="N278" s="41" t="s">
        <v>904</v>
      </c>
      <c r="O278" s="60"/>
      <c r="P278" s="41" t="s">
        <v>904</v>
      </c>
      <c r="Q278" s="69"/>
      <c r="R278" s="69"/>
      <c r="S278" s="69"/>
      <c r="T278" s="69"/>
      <c r="U278" s="70"/>
      <c r="V278" s="70"/>
      <c r="W278" s="71"/>
      <c r="X278" s="43"/>
      <c r="Y278" s="43"/>
      <c r="Z278" s="41" t="s">
        <v>904</v>
      </c>
      <c r="AA278" s="41" t="s">
        <v>904</v>
      </c>
      <c r="AB278" s="41"/>
      <c r="AC278" s="69"/>
      <c r="AD278" s="44"/>
    </row>
    <row r="279" spans="3:28" ht="20.100000000000001" customHeight="1" x14ac:dyDescent="0.25">
      <c r="C279" s="57" t="s">
        <v>904</v>
      </c>
      <c r="D279" s="57" t="s">
        <v>904</v>
      </c>
      <c r="E279" s="41" t="s">
        <v>904</v>
      </c>
      <c r="F279" s="41" t="s">
        <v>904</v>
      </c>
      <c r="G279" s="41" t="s">
        <v>904</v>
      </c>
      <c r="H279" s="41" t="s">
        <v>904</v>
      </c>
      <c r="I279" s="41" t="s">
        <v>904</v>
      </c>
      <c r="J279" s="41" t="s">
        <v>904</v>
      </c>
      <c r="K279" s="41" t="s">
        <v>904</v>
      </c>
      <c r="L279" s="41" t="s">
        <v>904</v>
      </c>
      <c r="M279" s="60"/>
      <c r="N279" s="41" t="s">
        <v>904</v>
      </c>
      <c r="O279" s="60"/>
      <c r="P279" s="41" t="s">
        <v>904</v>
      </c>
      <c r="Q279" s="69"/>
      <c r="R279" s="69"/>
      <c r="S279" s="69"/>
      <c r="T279" s="69"/>
      <c r="U279" s="70"/>
      <c r="V279" s="70"/>
      <c r="W279" s="71"/>
      <c r="X279" s="43"/>
      <c r="Y279" s="43"/>
      <c r="Z279" s="41" t="s">
        <v>904</v>
      </c>
      <c r="AA279" s="41" t="s">
        <v>904</v>
      </c>
      <c r="AB279" s="41"/>
      <c r="AC279" s="69"/>
      <c r="AD279" s="44"/>
    </row>
    <row r="280" spans="3:28" ht="20.100000000000001" customHeight="1" x14ac:dyDescent="0.25">
      <c r="C280" s="57" t="s">
        <v>904</v>
      </c>
      <c r="D280" s="57" t="s">
        <v>904</v>
      </c>
      <c r="E280" s="41" t="s">
        <v>904</v>
      </c>
      <c r="F280" s="41" t="s">
        <v>904</v>
      </c>
      <c r="G280" s="41" t="s">
        <v>904</v>
      </c>
      <c r="H280" s="41" t="s">
        <v>904</v>
      </c>
      <c r="I280" s="41" t="s">
        <v>904</v>
      </c>
      <c r="J280" s="41" t="s">
        <v>904</v>
      </c>
      <c r="K280" s="41" t="s">
        <v>904</v>
      </c>
      <c r="L280" s="41" t="s">
        <v>904</v>
      </c>
      <c r="M280" s="60"/>
      <c r="N280" s="41" t="s">
        <v>904</v>
      </c>
      <c r="O280" s="60"/>
      <c r="P280" s="41" t="s">
        <v>904</v>
      </c>
      <c r="Q280" s="69"/>
      <c r="R280" s="69"/>
      <c r="S280" s="69"/>
      <c r="T280" s="69"/>
      <c r="U280" s="70"/>
      <c r="V280" s="70"/>
      <c r="W280" s="71"/>
      <c r="X280" s="43"/>
      <c r="Y280" s="43"/>
      <c r="Z280" s="41" t="s">
        <v>904</v>
      </c>
      <c r="AA280" s="41" t="s">
        <v>904</v>
      </c>
      <c r="AB280" s="41"/>
      <c r="AC280" s="69"/>
      <c r="AD280" s="44"/>
    </row>
    <row r="281" spans="3:28" ht="20.100000000000001" customHeight="1" x14ac:dyDescent="0.25">
      <c r="C281" s="57" t="s">
        <v>904</v>
      </c>
      <c r="D281" s="57" t="s">
        <v>904</v>
      </c>
      <c r="E281" s="41" t="s">
        <v>904</v>
      </c>
      <c r="F281" s="41" t="s">
        <v>904</v>
      </c>
      <c r="G281" s="41" t="s">
        <v>904</v>
      </c>
      <c r="H281" s="41" t="s">
        <v>904</v>
      </c>
      <c r="I281" s="41" t="s">
        <v>904</v>
      </c>
      <c r="J281" s="41" t="s">
        <v>904</v>
      </c>
      <c r="K281" s="41" t="s">
        <v>904</v>
      </c>
      <c r="L281" s="41" t="s">
        <v>904</v>
      </c>
      <c r="M281" s="60"/>
      <c r="N281" s="41" t="s">
        <v>904</v>
      </c>
      <c r="O281" s="60"/>
      <c r="P281" s="41" t="s">
        <v>904</v>
      </c>
      <c r="Q281" s="69"/>
      <c r="R281" s="69"/>
      <c r="S281" s="69"/>
      <c r="T281" s="69"/>
      <c r="U281" s="70"/>
      <c r="V281" s="70"/>
      <c r="W281" s="71"/>
      <c r="X281" s="43"/>
      <c r="Y281" s="43"/>
      <c r="Z281" s="41" t="s">
        <v>904</v>
      </c>
      <c r="AA281" s="41" t="s">
        <v>904</v>
      </c>
      <c r="AB281" s="41"/>
      <c r="AC281" s="69"/>
      <c r="AD281" s="44"/>
    </row>
    <row r="282" spans="3:28" ht="20.100000000000001" customHeight="1" x14ac:dyDescent="0.25">
      <c r="C282" s="57" t="s">
        <v>904</v>
      </c>
      <c r="D282" s="57" t="s">
        <v>904</v>
      </c>
      <c r="E282" s="41" t="s">
        <v>904</v>
      </c>
      <c r="F282" s="41" t="s">
        <v>904</v>
      </c>
      <c r="G282" s="41" t="s">
        <v>904</v>
      </c>
      <c r="H282" s="41" t="s">
        <v>904</v>
      </c>
      <c r="I282" s="41" t="s">
        <v>904</v>
      </c>
      <c r="J282" s="41" t="s">
        <v>904</v>
      </c>
      <c r="K282" s="41" t="s">
        <v>904</v>
      </c>
      <c r="L282" s="41" t="s">
        <v>904</v>
      </c>
      <c r="M282" s="60"/>
      <c r="N282" s="41" t="s">
        <v>904</v>
      </c>
      <c r="O282" s="60"/>
      <c r="P282" s="41" t="s">
        <v>904</v>
      </c>
      <c r="Q282" s="69"/>
      <c r="R282" s="69"/>
      <c r="S282" s="69"/>
      <c r="T282" s="69"/>
      <c r="U282" s="70"/>
      <c r="V282" s="70"/>
      <c r="W282" s="71"/>
      <c r="X282" s="43"/>
      <c r="Y282" s="43"/>
      <c r="Z282" s="41" t="s">
        <v>904</v>
      </c>
      <c r="AA282" s="41" t="s">
        <v>904</v>
      </c>
      <c r="AB282" s="41"/>
      <c r="AC282" s="69"/>
      <c r="AD282" s="44"/>
    </row>
    <row r="283" spans="3:28" ht="20.100000000000001" customHeight="1" x14ac:dyDescent="0.25">
      <c r="C283" s="57" t="s">
        <v>904</v>
      </c>
      <c r="D283" s="57" t="s">
        <v>904</v>
      </c>
      <c r="E283" s="41" t="s">
        <v>904</v>
      </c>
      <c r="F283" s="41" t="s">
        <v>904</v>
      </c>
      <c r="G283" s="41" t="s">
        <v>904</v>
      </c>
      <c r="H283" s="41" t="s">
        <v>904</v>
      </c>
      <c r="I283" s="41" t="s">
        <v>904</v>
      </c>
      <c r="J283" s="41" t="s">
        <v>904</v>
      </c>
      <c r="K283" s="41" t="s">
        <v>904</v>
      </c>
      <c r="L283" s="41" t="s">
        <v>904</v>
      </c>
      <c r="M283" s="60"/>
      <c r="N283" s="41" t="s">
        <v>904</v>
      </c>
      <c r="O283" s="60"/>
      <c r="P283" s="41" t="s">
        <v>904</v>
      </c>
      <c r="Q283" s="69"/>
      <c r="R283" s="69"/>
      <c r="S283" s="69"/>
      <c r="T283" s="69"/>
      <c r="U283" s="70"/>
      <c r="V283" s="70"/>
      <c r="W283" s="71"/>
      <c r="X283" s="43"/>
      <c r="Y283" s="43"/>
      <c r="Z283" s="41" t="s">
        <v>904</v>
      </c>
      <c r="AA283" s="41" t="s">
        <v>904</v>
      </c>
      <c r="AB283" s="41"/>
      <c r="AC283" s="69"/>
      <c r="AD283" s="44"/>
    </row>
    <row r="284" spans="3:28" ht="20.100000000000001" customHeight="1" x14ac:dyDescent="0.25">
      <c r="C284" s="57" t="s">
        <v>904</v>
      </c>
      <c r="D284" s="57" t="s">
        <v>904</v>
      </c>
      <c r="E284" s="41" t="s">
        <v>904</v>
      </c>
      <c r="F284" s="41" t="s">
        <v>904</v>
      </c>
      <c r="G284" s="41" t="s">
        <v>904</v>
      </c>
      <c r="H284" s="41" t="s">
        <v>904</v>
      </c>
      <c r="I284" s="41" t="s">
        <v>904</v>
      </c>
      <c r="J284" s="41" t="s">
        <v>904</v>
      </c>
      <c r="K284" s="41" t="s">
        <v>904</v>
      </c>
      <c r="L284" s="41" t="s">
        <v>904</v>
      </c>
      <c r="M284" s="60"/>
      <c r="N284" s="41" t="s">
        <v>904</v>
      </c>
      <c r="O284" s="60"/>
      <c r="P284" s="41" t="s">
        <v>904</v>
      </c>
      <c r="Q284" s="69"/>
      <c r="R284" s="69"/>
      <c r="S284" s="69"/>
      <c r="T284" s="69"/>
      <c r="U284" s="70"/>
      <c r="V284" s="70"/>
      <c r="W284" s="71"/>
      <c r="X284" s="43"/>
      <c r="Y284" s="43"/>
      <c r="Z284" s="41" t="s">
        <v>904</v>
      </c>
      <c r="AA284" s="41" t="s">
        <v>904</v>
      </c>
      <c r="AB284" s="41"/>
      <c r="AC284" s="69"/>
      <c r="AD284" s="44"/>
    </row>
    <row r="285" spans="3:28" ht="20.100000000000001" customHeight="1" x14ac:dyDescent="0.25">
      <c r="C285" s="57" t="s">
        <v>904</v>
      </c>
      <c r="D285" s="57" t="s">
        <v>904</v>
      </c>
      <c r="E285" s="41" t="s">
        <v>904</v>
      </c>
      <c r="F285" s="41" t="s">
        <v>904</v>
      </c>
      <c r="G285" s="41" t="s">
        <v>904</v>
      </c>
      <c r="H285" s="41" t="s">
        <v>904</v>
      </c>
      <c r="I285" s="41" t="s">
        <v>904</v>
      </c>
      <c r="J285" s="41" t="s">
        <v>904</v>
      </c>
      <c r="K285" s="41" t="s">
        <v>904</v>
      </c>
      <c r="L285" s="41" t="s">
        <v>904</v>
      </c>
      <c r="M285" s="60"/>
      <c r="N285" s="41" t="s">
        <v>904</v>
      </c>
      <c r="O285" s="60"/>
      <c r="P285" s="41" t="s">
        <v>904</v>
      </c>
      <c r="Q285" s="69"/>
      <c r="R285" s="69"/>
      <c r="S285" s="69"/>
      <c r="T285" s="69"/>
      <c r="U285" s="70"/>
      <c r="V285" s="70"/>
      <c r="W285" s="71"/>
      <c r="X285" s="43"/>
      <c r="Y285" s="43"/>
      <c r="Z285" s="41" t="s">
        <v>904</v>
      </c>
      <c r="AA285" s="41" t="s">
        <v>904</v>
      </c>
      <c r="AB285" s="41"/>
      <c r="AC285" s="69"/>
      <c r="AD285" s="44"/>
    </row>
    <row r="286" spans="3:28" ht="20.100000000000001" customHeight="1" x14ac:dyDescent="0.25">
      <c r="C286" s="57" t="s">
        <v>904</v>
      </c>
      <c r="D286" s="57" t="s">
        <v>904</v>
      </c>
      <c r="E286" s="41" t="s">
        <v>904</v>
      </c>
      <c r="F286" s="41" t="s">
        <v>904</v>
      </c>
      <c r="G286" s="41" t="s">
        <v>904</v>
      </c>
      <c r="H286" s="41" t="s">
        <v>904</v>
      </c>
      <c r="I286" s="41" t="s">
        <v>904</v>
      </c>
      <c r="J286" s="41" t="s">
        <v>904</v>
      </c>
      <c r="K286" s="41" t="s">
        <v>904</v>
      </c>
      <c r="L286" s="41" t="s">
        <v>904</v>
      </c>
      <c r="M286" s="60"/>
      <c r="N286" s="41" t="s">
        <v>904</v>
      </c>
      <c r="O286" s="60"/>
      <c r="P286" s="41" t="s">
        <v>904</v>
      </c>
      <c r="Q286" s="69"/>
      <c r="R286" s="69"/>
      <c r="S286" s="69"/>
      <c r="T286" s="69"/>
      <c r="U286" s="70"/>
      <c r="V286" s="70"/>
      <c r="W286" s="71"/>
      <c r="X286" s="43"/>
      <c r="Y286" s="43"/>
      <c r="Z286" s="41" t="s">
        <v>904</v>
      </c>
      <c r="AA286" s="41" t="s">
        <v>904</v>
      </c>
      <c r="AB286" s="41"/>
      <c r="AC286" s="69"/>
      <c r="AD286" s="44"/>
    </row>
    <row r="287" spans="3:28" ht="20.100000000000001" customHeight="1" x14ac:dyDescent="0.25">
      <c r="C287" s="57" t="s">
        <v>904</v>
      </c>
      <c r="D287" s="57" t="s">
        <v>904</v>
      </c>
      <c r="E287" s="41" t="s">
        <v>904</v>
      </c>
      <c r="F287" s="41" t="s">
        <v>904</v>
      </c>
      <c r="G287" s="41" t="s">
        <v>904</v>
      </c>
      <c r="H287" s="41" t="s">
        <v>904</v>
      </c>
      <c r="I287" s="41" t="s">
        <v>904</v>
      </c>
      <c r="J287" s="41" t="s">
        <v>904</v>
      </c>
      <c r="K287" s="41" t="s">
        <v>904</v>
      </c>
      <c r="L287" s="41" t="s">
        <v>904</v>
      </c>
      <c r="M287" s="60"/>
      <c r="N287" s="41" t="s">
        <v>904</v>
      </c>
      <c r="O287" s="60"/>
      <c r="P287" s="41" t="s">
        <v>904</v>
      </c>
      <c r="Q287" s="69"/>
      <c r="R287" s="69"/>
      <c r="S287" s="69"/>
      <c r="T287" s="69"/>
      <c r="U287" s="70"/>
      <c r="V287" s="70"/>
      <c r="W287" s="71"/>
      <c r="X287" s="43"/>
      <c r="Y287" s="43"/>
      <c r="Z287" s="41" t="s">
        <v>904</v>
      </c>
      <c r="AA287" s="41" t="s">
        <v>904</v>
      </c>
      <c r="AB287" s="41"/>
      <c r="AC287" s="69"/>
      <c r="AD287" s="44"/>
    </row>
    <row r="288" spans="3:28" ht="20.100000000000001" customHeight="1" x14ac:dyDescent="0.25">
      <c r="C288" s="57" t="s">
        <v>904</v>
      </c>
      <c r="D288" s="57" t="s">
        <v>904</v>
      </c>
      <c r="E288" s="41" t="s">
        <v>904</v>
      </c>
      <c r="F288" s="41" t="s">
        <v>904</v>
      </c>
      <c r="G288" s="41" t="s">
        <v>904</v>
      </c>
      <c r="H288" s="41" t="s">
        <v>904</v>
      </c>
      <c r="I288" s="41" t="s">
        <v>904</v>
      </c>
      <c r="J288" s="41" t="s">
        <v>904</v>
      </c>
      <c r="K288" s="41" t="s">
        <v>904</v>
      </c>
      <c r="L288" s="41" t="s">
        <v>904</v>
      </c>
      <c r="M288" s="60"/>
      <c r="N288" s="41" t="s">
        <v>904</v>
      </c>
      <c r="O288" s="60"/>
      <c r="P288" s="41" t="s">
        <v>904</v>
      </c>
      <c r="Q288" s="69"/>
      <c r="R288" s="69"/>
      <c r="S288" s="69"/>
      <c r="T288" s="69"/>
      <c r="U288" s="70"/>
      <c r="V288" s="70"/>
      <c r="W288" s="71"/>
      <c r="X288" s="43"/>
      <c r="Y288" s="43"/>
      <c r="Z288" s="41" t="s">
        <v>904</v>
      </c>
      <c r="AA288" s="41" t="s">
        <v>904</v>
      </c>
      <c r="AB288" s="41"/>
      <c r="AC288" s="69"/>
      <c r="AD288" s="44"/>
    </row>
    <row r="289" spans="3:28" ht="20.100000000000001" customHeight="1" x14ac:dyDescent="0.25">
      <c r="C289" s="57" t="s">
        <v>904</v>
      </c>
      <c r="D289" s="57" t="s">
        <v>904</v>
      </c>
      <c r="E289" s="41" t="s">
        <v>904</v>
      </c>
      <c r="F289" s="41" t="s">
        <v>904</v>
      </c>
      <c r="G289" s="41" t="s">
        <v>904</v>
      </c>
      <c r="H289" s="41" t="s">
        <v>904</v>
      </c>
      <c r="I289" s="41" t="s">
        <v>904</v>
      </c>
      <c r="J289" s="41" t="s">
        <v>904</v>
      </c>
      <c r="K289" s="41" t="s">
        <v>904</v>
      </c>
      <c r="L289" s="41" t="s">
        <v>904</v>
      </c>
      <c r="M289" s="60"/>
      <c r="N289" s="41" t="s">
        <v>904</v>
      </c>
      <c r="O289" s="60"/>
      <c r="P289" s="41" t="s">
        <v>904</v>
      </c>
      <c r="Q289" s="69"/>
      <c r="R289" s="69"/>
      <c r="S289" s="69"/>
      <c r="T289" s="69"/>
      <c r="U289" s="70"/>
      <c r="V289" s="70"/>
      <c r="W289" s="71"/>
      <c r="X289" s="43"/>
      <c r="Y289" s="43"/>
      <c r="Z289" s="41" t="s">
        <v>904</v>
      </c>
      <c r="AA289" s="41" t="s">
        <v>904</v>
      </c>
      <c r="AB289" s="41"/>
      <c r="AC289" s="69"/>
      <c r="AD289" s="44"/>
    </row>
    <row r="290" spans="3:28" ht="20.100000000000001" customHeight="1" x14ac:dyDescent="0.25">
      <c r="C290" s="57" t="s">
        <v>904</v>
      </c>
      <c r="D290" s="57" t="s">
        <v>904</v>
      </c>
      <c r="E290" s="41" t="s">
        <v>904</v>
      </c>
      <c r="F290" s="41" t="s">
        <v>904</v>
      </c>
      <c r="G290" s="41" t="s">
        <v>904</v>
      </c>
      <c r="H290" s="41" t="s">
        <v>904</v>
      </c>
      <c r="I290" s="41" t="s">
        <v>904</v>
      </c>
      <c r="J290" s="41" t="s">
        <v>904</v>
      </c>
      <c r="K290" s="41" t="s">
        <v>904</v>
      </c>
      <c r="L290" s="41" t="s">
        <v>904</v>
      </c>
      <c r="M290" s="60"/>
      <c r="N290" s="41" t="s">
        <v>904</v>
      </c>
      <c r="O290" s="60"/>
      <c r="P290" s="41" t="s">
        <v>904</v>
      </c>
      <c r="Q290" s="69"/>
      <c r="R290" s="69"/>
      <c r="S290" s="69"/>
      <c r="T290" s="69"/>
      <c r="U290" s="70"/>
      <c r="V290" s="70"/>
      <c r="W290" s="71"/>
      <c r="X290" s="43"/>
      <c r="Y290" s="43"/>
      <c r="Z290" s="41" t="s">
        <v>904</v>
      </c>
      <c r="AA290" s="41" t="s">
        <v>904</v>
      </c>
      <c r="AB290" s="41"/>
      <c r="AC290" s="69"/>
      <c r="AD290" s="44"/>
    </row>
    <row r="291" spans="3:28" ht="20.100000000000001" customHeight="1" x14ac:dyDescent="0.25">
      <c r="C291" s="57" t="s">
        <v>904</v>
      </c>
      <c r="D291" s="57" t="s">
        <v>904</v>
      </c>
      <c r="E291" s="41" t="s">
        <v>904</v>
      </c>
      <c r="F291" s="41" t="s">
        <v>904</v>
      </c>
      <c r="G291" s="41" t="s">
        <v>904</v>
      </c>
      <c r="H291" s="41" t="s">
        <v>904</v>
      </c>
      <c r="I291" s="41" t="s">
        <v>904</v>
      </c>
      <c r="J291" s="41" t="s">
        <v>904</v>
      </c>
      <c r="K291" s="41" t="s">
        <v>904</v>
      </c>
      <c r="L291" s="41" t="s">
        <v>904</v>
      </c>
      <c r="M291" s="60"/>
      <c r="N291" s="41" t="s">
        <v>904</v>
      </c>
      <c r="O291" s="60"/>
      <c r="P291" s="41" t="s">
        <v>904</v>
      </c>
      <c r="Q291" s="69"/>
      <c r="R291" s="69"/>
      <c r="S291" s="69"/>
      <c r="T291" s="69"/>
      <c r="U291" s="70"/>
      <c r="V291" s="70"/>
      <c r="W291" s="71"/>
      <c r="X291" s="43"/>
      <c r="Y291" s="43"/>
      <c r="Z291" s="41" t="s">
        <v>904</v>
      </c>
      <c r="AA291" s="41" t="s">
        <v>904</v>
      </c>
      <c r="AB291" s="41"/>
      <c r="AC291" s="69"/>
      <c r="AD291" s="44"/>
    </row>
    <row r="292" spans="3:28" ht="20.100000000000001" customHeight="1" x14ac:dyDescent="0.25">
      <c r="C292" s="57" t="s">
        <v>904</v>
      </c>
      <c r="D292" s="57" t="s">
        <v>904</v>
      </c>
      <c r="E292" s="41" t="s">
        <v>904</v>
      </c>
      <c r="F292" s="41" t="s">
        <v>904</v>
      </c>
      <c r="G292" s="41" t="s">
        <v>904</v>
      </c>
      <c r="H292" s="41" t="s">
        <v>904</v>
      </c>
      <c r="I292" s="41" t="s">
        <v>904</v>
      </c>
      <c r="J292" s="41" t="s">
        <v>904</v>
      </c>
      <c r="K292" s="41" t="s">
        <v>904</v>
      </c>
      <c r="L292" s="41" t="s">
        <v>904</v>
      </c>
      <c r="M292" s="60"/>
      <c r="N292" s="41" t="s">
        <v>904</v>
      </c>
      <c r="O292" s="60"/>
      <c r="P292" s="41" t="s">
        <v>904</v>
      </c>
      <c r="Q292" s="69"/>
      <c r="R292" s="69"/>
      <c r="S292" s="69"/>
      <c r="T292" s="69"/>
      <c r="U292" s="70"/>
      <c r="V292" s="70"/>
      <c r="W292" s="71"/>
      <c r="X292" s="43"/>
      <c r="Y292" s="43"/>
      <c r="Z292" s="41" t="s">
        <v>904</v>
      </c>
      <c r="AA292" s="41" t="s">
        <v>904</v>
      </c>
      <c r="AB292" s="41"/>
      <c r="AC292" s="69"/>
      <c r="AD292" s="44"/>
    </row>
    <row r="293" spans="3:28" ht="20.100000000000001" customHeight="1" x14ac:dyDescent="0.25">
      <c r="C293" s="57" t="s">
        <v>904</v>
      </c>
      <c r="D293" s="57" t="s">
        <v>904</v>
      </c>
      <c r="E293" s="41" t="s">
        <v>904</v>
      </c>
      <c r="F293" s="41" t="s">
        <v>904</v>
      </c>
      <c r="G293" s="41" t="s">
        <v>904</v>
      </c>
      <c r="H293" s="41" t="s">
        <v>904</v>
      </c>
      <c r="I293" s="41" t="s">
        <v>904</v>
      </c>
      <c r="J293" s="41" t="s">
        <v>904</v>
      </c>
      <c r="K293" s="41" t="s">
        <v>904</v>
      </c>
      <c r="L293" s="41" t="s">
        <v>904</v>
      </c>
      <c r="M293" s="60"/>
      <c r="N293" s="41" t="s">
        <v>904</v>
      </c>
      <c r="O293" s="60"/>
      <c r="P293" s="41" t="s">
        <v>904</v>
      </c>
      <c r="Q293" s="69"/>
      <c r="R293" s="69"/>
      <c r="S293" s="69"/>
      <c r="T293" s="69"/>
      <c r="U293" s="70"/>
      <c r="V293" s="70"/>
      <c r="W293" s="71"/>
      <c r="X293" s="43"/>
      <c r="Y293" s="43"/>
      <c r="Z293" s="41" t="s">
        <v>904</v>
      </c>
      <c r="AA293" s="41" t="s">
        <v>904</v>
      </c>
      <c r="AB293" s="41"/>
      <c r="AC293" s="69"/>
      <c r="AD293" s="44"/>
    </row>
    <row r="294" spans="3:28" ht="20.100000000000001" customHeight="1" x14ac:dyDescent="0.25">
      <c r="C294" s="57" t="s">
        <v>904</v>
      </c>
      <c r="D294" s="57" t="s">
        <v>904</v>
      </c>
      <c r="E294" s="41" t="s">
        <v>904</v>
      </c>
      <c r="F294" s="41" t="s">
        <v>904</v>
      </c>
      <c r="G294" s="41" t="s">
        <v>904</v>
      </c>
      <c r="H294" s="41" t="s">
        <v>904</v>
      </c>
      <c r="I294" s="41" t="s">
        <v>904</v>
      </c>
      <c r="J294" s="41" t="s">
        <v>904</v>
      </c>
      <c r="K294" s="41" t="s">
        <v>904</v>
      </c>
      <c r="L294" s="41" t="s">
        <v>904</v>
      </c>
      <c r="M294" s="60"/>
      <c r="N294" s="41" t="s">
        <v>904</v>
      </c>
      <c r="O294" s="60"/>
      <c r="P294" s="41" t="s">
        <v>904</v>
      </c>
      <c r="Q294" s="69"/>
      <c r="R294" s="69"/>
      <c r="S294" s="69"/>
      <c r="T294" s="69"/>
      <c r="U294" s="70"/>
      <c r="V294" s="70"/>
      <c r="W294" s="71"/>
      <c r="X294" s="43"/>
      <c r="Y294" s="43"/>
      <c r="Z294" s="41" t="s">
        <v>904</v>
      </c>
      <c r="AA294" s="41" t="s">
        <v>904</v>
      </c>
      <c r="AB294" s="41"/>
      <c r="AC294" s="69"/>
      <c r="AD294" s="44"/>
    </row>
    <row r="295" spans="3:28" ht="20.100000000000001" customHeight="1" x14ac:dyDescent="0.25">
      <c r="C295" s="57" t="s">
        <v>904</v>
      </c>
      <c r="D295" s="57" t="s">
        <v>904</v>
      </c>
      <c r="E295" s="41" t="s">
        <v>904</v>
      </c>
      <c r="F295" s="41" t="s">
        <v>904</v>
      </c>
      <c r="G295" s="41" t="s">
        <v>904</v>
      </c>
      <c r="H295" s="41" t="s">
        <v>904</v>
      </c>
      <c r="I295" s="41" t="s">
        <v>904</v>
      </c>
      <c r="J295" s="41" t="s">
        <v>904</v>
      </c>
      <c r="K295" s="41" t="s">
        <v>904</v>
      </c>
      <c r="L295" s="41" t="s">
        <v>904</v>
      </c>
      <c r="M295" s="60"/>
      <c r="N295" s="41" t="s">
        <v>904</v>
      </c>
      <c r="O295" s="60"/>
      <c r="P295" s="41" t="s">
        <v>904</v>
      </c>
      <c r="Q295" s="69"/>
      <c r="R295" s="69"/>
      <c r="S295" s="69"/>
      <c r="T295" s="69"/>
      <c r="U295" s="70"/>
      <c r="V295" s="70"/>
      <c r="W295" s="71"/>
      <c r="X295" s="43"/>
      <c r="Y295" s="43"/>
      <c r="Z295" s="41" t="s">
        <v>904</v>
      </c>
      <c r="AA295" s="41" t="s">
        <v>904</v>
      </c>
      <c r="AB295" s="41"/>
      <c r="AC295" s="69"/>
      <c r="AD295" s="44"/>
    </row>
    <row r="296" spans="3:28" ht="20.100000000000001" customHeight="1" x14ac:dyDescent="0.25">
      <c r="C296" s="57" t="s">
        <v>904</v>
      </c>
      <c r="D296" s="57" t="s">
        <v>904</v>
      </c>
      <c r="E296" s="41" t="s">
        <v>904</v>
      </c>
      <c r="F296" s="41" t="s">
        <v>904</v>
      </c>
      <c r="G296" s="41" t="s">
        <v>904</v>
      </c>
      <c r="H296" s="41" t="s">
        <v>904</v>
      </c>
      <c r="I296" s="41" t="s">
        <v>904</v>
      </c>
      <c r="J296" s="41" t="s">
        <v>904</v>
      </c>
      <c r="K296" s="41" t="s">
        <v>904</v>
      </c>
      <c r="L296" s="41" t="s">
        <v>904</v>
      </c>
      <c r="M296" s="60"/>
      <c r="N296" s="41" t="s">
        <v>904</v>
      </c>
      <c r="O296" s="60"/>
      <c r="P296" s="41" t="s">
        <v>904</v>
      </c>
      <c r="Q296" s="69"/>
      <c r="R296" s="69"/>
      <c r="S296" s="69"/>
      <c r="T296" s="69"/>
      <c r="U296" s="70"/>
      <c r="V296" s="70"/>
      <c r="W296" s="71"/>
      <c r="X296" s="43"/>
      <c r="Y296" s="43"/>
      <c r="Z296" s="41" t="s">
        <v>904</v>
      </c>
      <c r="AA296" s="41" t="s">
        <v>904</v>
      </c>
      <c r="AB296" s="41"/>
      <c r="AC296" s="69"/>
      <c r="AD296" s="44"/>
    </row>
    <row r="297" spans="3:28" ht="20.100000000000001" customHeight="1" x14ac:dyDescent="0.25">
      <c r="C297" s="57" t="s">
        <v>904</v>
      </c>
      <c r="D297" s="57" t="s">
        <v>904</v>
      </c>
      <c r="E297" s="41" t="s">
        <v>904</v>
      </c>
      <c r="F297" s="41" t="s">
        <v>904</v>
      </c>
      <c r="G297" s="41" t="s">
        <v>904</v>
      </c>
      <c r="H297" s="41" t="s">
        <v>904</v>
      </c>
      <c r="I297" s="41" t="s">
        <v>904</v>
      </c>
      <c r="J297" s="41" t="s">
        <v>904</v>
      </c>
      <c r="K297" s="41" t="s">
        <v>904</v>
      </c>
      <c r="L297" s="41" t="s">
        <v>904</v>
      </c>
      <c r="M297" s="60"/>
      <c r="N297" s="41" t="s">
        <v>904</v>
      </c>
      <c r="O297" s="60"/>
      <c r="P297" s="41" t="s">
        <v>904</v>
      </c>
      <c r="Q297" s="69"/>
      <c r="R297" s="69"/>
      <c r="S297" s="69"/>
      <c r="T297" s="69"/>
      <c r="U297" s="70"/>
      <c r="V297" s="70"/>
      <c r="W297" s="71"/>
      <c r="X297" s="43"/>
      <c r="Y297" s="43"/>
      <c r="Z297" s="41" t="s">
        <v>904</v>
      </c>
      <c r="AA297" s="41" t="s">
        <v>904</v>
      </c>
      <c r="AB297" s="41"/>
      <c r="AC297" s="69"/>
      <c r="AD297" s="44"/>
    </row>
    <row r="298" spans="3:28" ht="20.100000000000001" customHeight="1" x14ac:dyDescent="0.25">
      <c r="C298" s="57" t="s">
        <v>904</v>
      </c>
      <c r="D298" s="57" t="s">
        <v>904</v>
      </c>
      <c r="E298" s="41" t="s">
        <v>904</v>
      </c>
      <c r="F298" s="41" t="s">
        <v>904</v>
      </c>
      <c r="G298" s="41" t="s">
        <v>904</v>
      </c>
      <c r="H298" s="41" t="s">
        <v>904</v>
      </c>
      <c r="I298" s="41" t="s">
        <v>904</v>
      </c>
      <c r="J298" s="41" t="s">
        <v>904</v>
      </c>
      <c r="K298" s="41" t="s">
        <v>904</v>
      </c>
      <c r="L298" s="41" t="s">
        <v>904</v>
      </c>
      <c r="M298" s="60"/>
      <c r="N298" s="41" t="s">
        <v>904</v>
      </c>
      <c r="O298" s="60"/>
      <c r="P298" s="41" t="s">
        <v>904</v>
      </c>
      <c r="Q298" s="69"/>
      <c r="R298" s="69"/>
      <c r="S298" s="69"/>
      <c r="T298" s="69"/>
      <c r="U298" s="70"/>
      <c r="V298" s="70"/>
      <c r="W298" s="71"/>
      <c r="X298" s="43"/>
      <c r="Y298" s="43"/>
      <c r="Z298" s="41" t="s">
        <v>904</v>
      </c>
      <c r="AA298" s="41" t="s">
        <v>904</v>
      </c>
      <c r="AB298" s="41"/>
      <c r="AC298" s="69"/>
      <c r="AD298" s="44"/>
    </row>
    <row r="299" spans="3:28" ht="20.100000000000001" customHeight="1" x14ac:dyDescent="0.25">
      <c r="C299" s="57" t="s">
        <v>904</v>
      </c>
      <c r="D299" s="57" t="s">
        <v>904</v>
      </c>
      <c r="E299" s="41" t="s">
        <v>904</v>
      </c>
      <c r="F299" s="41" t="s">
        <v>904</v>
      </c>
      <c r="G299" s="41" t="s">
        <v>904</v>
      </c>
      <c r="H299" s="41" t="s">
        <v>904</v>
      </c>
      <c r="I299" s="41" t="s">
        <v>904</v>
      </c>
      <c r="J299" s="41" t="s">
        <v>904</v>
      </c>
      <c r="K299" s="41" t="s">
        <v>904</v>
      </c>
      <c r="L299" s="41" t="s">
        <v>904</v>
      </c>
      <c r="M299" s="60"/>
      <c r="N299" s="41" t="s">
        <v>904</v>
      </c>
      <c r="O299" s="60"/>
      <c r="P299" s="41" t="s">
        <v>904</v>
      </c>
      <c r="Q299" s="69"/>
      <c r="R299" s="69"/>
      <c r="S299" s="69"/>
      <c r="T299" s="69"/>
      <c r="U299" s="70"/>
      <c r="V299" s="70"/>
      <c r="W299" s="71"/>
      <c r="X299" s="43"/>
      <c r="Y299" s="43"/>
      <c r="Z299" s="41" t="s">
        <v>904</v>
      </c>
      <c r="AA299" s="41" t="s">
        <v>904</v>
      </c>
      <c r="AB299" s="41"/>
      <c r="AC299" s="69"/>
      <c r="AD299" s="44"/>
    </row>
    <row r="300" spans="3:28" ht="20.100000000000001" customHeight="1" x14ac:dyDescent="0.25">
      <c r="C300" s="57" t="s">
        <v>904</v>
      </c>
      <c r="D300" s="57" t="s">
        <v>904</v>
      </c>
      <c r="E300" s="41" t="s">
        <v>904</v>
      </c>
      <c r="F300" s="41" t="s">
        <v>904</v>
      </c>
      <c r="G300" s="41" t="s">
        <v>904</v>
      </c>
      <c r="H300" s="41" t="s">
        <v>904</v>
      </c>
      <c r="I300" s="41" t="s">
        <v>904</v>
      </c>
      <c r="J300" s="41" t="s">
        <v>904</v>
      </c>
      <c r="K300" s="41" t="s">
        <v>904</v>
      </c>
      <c r="L300" s="41" t="s">
        <v>904</v>
      </c>
      <c r="M300" s="60"/>
      <c r="N300" s="41" t="s">
        <v>904</v>
      </c>
      <c r="O300" s="60"/>
      <c r="P300" s="41" t="s">
        <v>904</v>
      </c>
      <c r="Q300" s="69"/>
      <c r="R300" s="69"/>
      <c r="S300" s="69"/>
      <c r="T300" s="69"/>
      <c r="U300" s="70"/>
      <c r="V300" s="70"/>
      <c r="W300" s="71"/>
      <c r="X300" s="43"/>
      <c r="Y300" s="43"/>
      <c r="Z300" s="41" t="s">
        <v>904</v>
      </c>
      <c r="AA300" s="41" t="s">
        <v>904</v>
      </c>
      <c r="AB300" s="41"/>
      <c r="AC300" s="69"/>
      <c r="AD300" s="44"/>
    </row>
    <row r="301" spans="3:28" ht="20.100000000000001" customHeight="1" x14ac:dyDescent="0.25">
      <c r="C301" s="57" t="s">
        <v>904</v>
      </c>
      <c r="D301" s="57" t="s">
        <v>904</v>
      </c>
      <c r="E301" s="41" t="s">
        <v>904</v>
      </c>
      <c r="F301" s="41" t="s">
        <v>904</v>
      </c>
      <c r="G301" s="41" t="s">
        <v>904</v>
      </c>
      <c r="H301" s="41" t="s">
        <v>904</v>
      </c>
      <c r="I301" s="41" t="s">
        <v>904</v>
      </c>
      <c r="J301" s="41" t="s">
        <v>904</v>
      </c>
      <c r="K301" s="41" t="s">
        <v>904</v>
      </c>
      <c r="L301" s="41" t="s">
        <v>904</v>
      </c>
      <c r="M301" s="60"/>
      <c r="N301" s="41" t="s">
        <v>904</v>
      </c>
      <c r="O301" s="60"/>
      <c r="P301" s="41" t="s">
        <v>904</v>
      </c>
      <c r="Q301" s="69"/>
      <c r="R301" s="69"/>
      <c r="S301" s="69"/>
      <c r="T301" s="69"/>
      <c r="U301" s="70"/>
      <c r="V301" s="70"/>
      <c r="W301" s="71"/>
      <c r="X301" s="43"/>
      <c r="Y301" s="43"/>
      <c r="Z301" s="41" t="s">
        <v>904</v>
      </c>
      <c r="AA301" s="41" t="s">
        <v>904</v>
      </c>
      <c r="AB301" s="41"/>
      <c r="AC301" s="69"/>
      <c r="AD301" s="44"/>
    </row>
    <row r="302" spans="3:28" ht="20.100000000000001" customHeight="1" x14ac:dyDescent="0.25">
      <c r="C302" s="57" t="s">
        <v>904</v>
      </c>
      <c r="D302" s="57" t="s">
        <v>904</v>
      </c>
      <c r="E302" s="41" t="s">
        <v>904</v>
      </c>
      <c r="F302" s="41" t="s">
        <v>904</v>
      </c>
      <c r="G302" s="41" t="s">
        <v>904</v>
      </c>
      <c r="H302" s="41" t="s">
        <v>904</v>
      </c>
      <c r="I302" s="41" t="s">
        <v>904</v>
      </c>
      <c r="J302" s="41" t="s">
        <v>904</v>
      </c>
      <c r="K302" s="41" t="s">
        <v>904</v>
      </c>
      <c r="L302" s="41" t="s">
        <v>904</v>
      </c>
      <c r="M302" s="60"/>
      <c r="N302" s="41" t="s">
        <v>904</v>
      </c>
      <c r="O302" s="60"/>
      <c r="P302" s="41" t="s">
        <v>904</v>
      </c>
      <c r="Q302" s="69"/>
      <c r="R302" s="69"/>
      <c r="S302" s="69"/>
      <c r="T302" s="69"/>
      <c r="U302" s="70"/>
      <c r="V302" s="70"/>
      <c r="W302" s="71"/>
      <c r="X302" s="43"/>
      <c r="Y302" s="43"/>
      <c r="Z302" s="41" t="s">
        <v>904</v>
      </c>
      <c r="AA302" s="41" t="s">
        <v>904</v>
      </c>
      <c r="AB302" s="41"/>
      <c r="AC302" s="69"/>
      <c r="AD302" s="44"/>
    </row>
    <row r="303" spans="3:28" ht="20.100000000000001" customHeight="1" x14ac:dyDescent="0.25">
      <c r="C303" s="57" t="s">
        <v>904</v>
      </c>
      <c r="D303" s="57" t="s">
        <v>904</v>
      </c>
      <c r="E303" s="41" t="s">
        <v>904</v>
      </c>
      <c r="F303" s="41" t="s">
        <v>904</v>
      </c>
      <c r="G303" s="41" t="s">
        <v>904</v>
      </c>
      <c r="H303" s="41" t="s">
        <v>904</v>
      </c>
      <c r="I303" s="41" t="s">
        <v>904</v>
      </c>
      <c r="J303" s="41" t="s">
        <v>904</v>
      </c>
      <c r="K303" s="41" t="s">
        <v>904</v>
      </c>
      <c r="L303" s="41" t="s">
        <v>904</v>
      </c>
      <c r="M303" s="60"/>
      <c r="N303" s="41" t="s">
        <v>904</v>
      </c>
      <c r="O303" s="60"/>
      <c r="P303" s="41" t="s">
        <v>904</v>
      </c>
      <c r="Q303" s="69"/>
      <c r="R303" s="69"/>
      <c r="S303" s="69"/>
      <c r="T303" s="69"/>
      <c r="U303" s="70"/>
      <c r="V303" s="70"/>
      <c r="W303" s="71"/>
      <c r="X303" s="43"/>
      <c r="Y303" s="43"/>
      <c r="Z303" s="41" t="s">
        <v>904</v>
      </c>
      <c r="AA303" s="41" t="s">
        <v>904</v>
      </c>
      <c r="AB303" s="41"/>
      <c r="AC303" s="69"/>
      <c r="AD303" s="44"/>
    </row>
    <row r="304" spans="3:28" ht="20.100000000000001" customHeight="1" x14ac:dyDescent="0.25">
      <c r="C304" s="57" t="s">
        <v>904</v>
      </c>
      <c r="D304" s="57" t="s">
        <v>904</v>
      </c>
      <c r="E304" s="41" t="s">
        <v>904</v>
      </c>
      <c r="F304" s="41" t="s">
        <v>904</v>
      </c>
      <c r="G304" s="41" t="s">
        <v>904</v>
      </c>
      <c r="H304" s="41" t="s">
        <v>904</v>
      </c>
      <c r="I304" s="41" t="s">
        <v>904</v>
      </c>
      <c r="J304" s="41" t="s">
        <v>904</v>
      </c>
      <c r="K304" s="41" t="s">
        <v>904</v>
      </c>
      <c r="L304" s="41" t="s">
        <v>904</v>
      </c>
      <c r="M304" s="60"/>
      <c r="N304" s="41" t="s">
        <v>904</v>
      </c>
      <c r="O304" s="60"/>
      <c r="P304" s="41" t="s">
        <v>904</v>
      </c>
      <c r="Q304" s="69"/>
      <c r="R304" s="69"/>
      <c r="S304" s="69"/>
      <c r="T304" s="69"/>
      <c r="U304" s="70"/>
      <c r="V304" s="70"/>
      <c r="W304" s="71"/>
      <c r="X304" s="43"/>
      <c r="Y304" s="43"/>
      <c r="Z304" s="41" t="s">
        <v>904</v>
      </c>
      <c r="AA304" s="41" t="s">
        <v>904</v>
      </c>
      <c r="AB304" s="41"/>
      <c r="AC304" s="69"/>
      <c r="AD304" s="44"/>
    </row>
    <row r="305" spans="3:28" ht="20.100000000000001" customHeight="1" x14ac:dyDescent="0.25">
      <c r="C305" s="57" t="s">
        <v>904</v>
      </c>
      <c r="D305" s="57" t="s">
        <v>904</v>
      </c>
      <c r="E305" s="41" t="s">
        <v>904</v>
      </c>
      <c r="F305" s="41" t="s">
        <v>904</v>
      </c>
      <c r="G305" s="41" t="s">
        <v>904</v>
      </c>
      <c r="H305" s="41" t="s">
        <v>904</v>
      </c>
      <c r="I305" s="41" t="s">
        <v>904</v>
      </c>
      <c r="J305" s="41" t="s">
        <v>904</v>
      </c>
      <c r="K305" s="41" t="s">
        <v>904</v>
      </c>
      <c r="L305" s="41" t="s">
        <v>904</v>
      </c>
      <c r="M305" s="60"/>
      <c r="N305" s="41" t="s">
        <v>904</v>
      </c>
      <c r="O305" s="60"/>
      <c r="P305" s="41" t="s">
        <v>904</v>
      </c>
      <c r="Q305" s="69"/>
      <c r="R305" s="69"/>
      <c r="S305" s="69"/>
      <c r="T305" s="69"/>
      <c r="U305" s="70"/>
      <c r="V305" s="70"/>
      <c r="W305" s="71"/>
      <c r="X305" s="43"/>
      <c r="Y305" s="43"/>
      <c r="Z305" s="41" t="s">
        <v>904</v>
      </c>
      <c r="AA305" s="41" t="s">
        <v>904</v>
      </c>
      <c r="AB305" s="41"/>
      <c r="AC305" s="69"/>
      <c r="AD305" s="44"/>
    </row>
    <row r="306" spans="3:28" ht="20.100000000000001" customHeight="1" x14ac:dyDescent="0.25">
      <c r="C306" s="57" t="s">
        <v>904</v>
      </c>
      <c r="D306" s="57" t="s">
        <v>904</v>
      </c>
      <c r="E306" s="41" t="s">
        <v>904</v>
      </c>
      <c r="F306" s="41" t="s">
        <v>904</v>
      </c>
      <c r="G306" s="41" t="s">
        <v>904</v>
      </c>
      <c r="H306" s="41" t="s">
        <v>904</v>
      </c>
      <c r="I306" s="41" t="s">
        <v>904</v>
      </c>
      <c r="J306" s="41" t="s">
        <v>904</v>
      </c>
      <c r="K306" s="41" t="s">
        <v>904</v>
      </c>
      <c r="L306" s="41" t="s">
        <v>904</v>
      </c>
      <c r="M306" s="60"/>
      <c r="N306" s="41" t="s">
        <v>904</v>
      </c>
      <c r="O306" s="60"/>
      <c r="P306" s="41" t="s">
        <v>904</v>
      </c>
      <c r="Q306" s="69"/>
      <c r="R306" s="69"/>
      <c r="S306" s="69"/>
      <c r="T306" s="69"/>
      <c r="U306" s="70"/>
      <c r="V306" s="70"/>
      <c r="W306" s="71"/>
      <c r="X306" s="43"/>
      <c r="Y306" s="43"/>
      <c r="Z306" s="41" t="s">
        <v>904</v>
      </c>
      <c r="AA306" s="41" t="s">
        <v>904</v>
      </c>
      <c r="AB306" s="41"/>
      <c r="AC306" s="69"/>
      <c r="AD306" s="44"/>
    </row>
    <row r="307" spans="3:28" ht="20.100000000000001" customHeight="1" x14ac:dyDescent="0.25">
      <c r="C307" s="57" t="s">
        <v>904</v>
      </c>
      <c r="D307" s="57" t="s">
        <v>904</v>
      </c>
      <c r="E307" s="41" t="s">
        <v>904</v>
      </c>
      <c r="F307" s="41" t="s">
        <v>904</v>
      </c>
      <c r="G307" s="41" t="s">
        <v>904</v>
      </c>
      <c r="H307" s="41" t="s">
        <v>904</v>
      </c>
      <c r="I307" s="41" t="s">
        <v>904</v>
      </c>
      <c r="J307" s="41" t="s">
        <v>904</v>
      </c>
      <c r="K307" s="41" t="s">
        <v>904</v>
      </c>
      <c r="L307" s="41" t="s">
        <v>904</v>
      </c>
      <c r="M307" s="60"/>
      <c r="N307" s="41" t="s">
        <v>904</v>
      </c>
      <c r="O307" s="60"/>
      <c r="P307" s="41" t="s">
        <v>904</v>
      </c>
      <c r="Q307" s="69"/>
      <c r="R307" s="69"/>
      <c r="S307" s="69"/>
      <c r="T307" s="69"/>
      <c r="U307" s="70"/>
      <c r="V307" s="70"/>
      <c r="W307" s="71"/>
      <c r="X307" s="43"/>
      <c r="Y307" s="43"/>
      <c r="Z307" s="41" t="s">
        <v>904</v>
      </c>
      <c r="AA307" s="41" t="s">
        <v>904</v>
      </c>
      <c r="AB307" s="41"/>
      <c r="AC307" s="69"/>
      <c r="AD307" s="44"/>
    </row>
    <row r="308" spans="3:28" ht="20.100000000000001" customHeight="1" x14ac:dyDescent="0.25">
      <c r="C308" s="57" t="s">
        <v>904</v>
      </c>
      <c r="D308" s="57" t="s">
        <v>904</v>
      </c>
      <c r="E308" s="41" t="s">
        <v>904</v>
      </c>
      <c r="F308" s="41" t="s">
        <v>904</v>
      </c>
      <c r="G308" s="41" t="s">
        <v>904</v>
      </c>
      <c r="H308" s="41" t="s">
        <v>904</v>
      </c>
      <c r="I308" s="41" t="s">
        <v>904</v>
      </c>
      <c r="J308" s="41" t="s">
        <v>904</v>
      </c>
      <c r="K308" s="41" t="s">
        <v>904</v>
      </c>
      <c r="L308" s="41" t="s">
        <v>904</v>
      </c>
      <c r="M308" s="60"/>
      <c r="N308" s="41" t="s">
        <v>904</v>
      </c>
      <c r="O308" s="60"/>
      <c r="P308" s="41" t="s">
        <v>904</v>
      </c>
      <c r="Q308" s="69"/>
      <c r="R308" s="69"/>
      <c r="S308" s="69"/>
      <c r="T308" s="69"/>
      <c r="U308" s="70"/>
      <c r="V308" s="70"/>
      <c r="W308" s="71"/>
      <c r="X308" s="43"/>
      <c r="Y308" s="43"/>
      <c r="Z308" s="41" t="s">
        <v>904</v>
      </c>
      <c r="AA308" s="41" t="s">
        <v>904</v>
      </c>
      <c r="AB308" s="41"/>
      <c r="AC308" s="69"/>
      <c r="AD308" s="44"/>
    </row>
    <row r="309" spans="3:28" ht="20.100000000000001" customHeight="1" x14ac:dyDescent="0.25">
      <c r="C309" s="57" t="s">
        <v>904</v>
      </c>
      <c r="D309" s="57" t="s">
        <v>904</v>
      </c>
      <c r="E309" s="41" t="s">
        <v>904</v>
      </c>
      <c r="F309" s="41" t="s">
        <v>904</v>
      </c>
      <c r="G309" s="41" t="s">
        <v>904</v>
      </c>
      <c r="H309" s="41" t="s">
        <v>904</v>
      </c>
      <c r="I309" s="41" t="s">
        <v>904</v>
      </c>
      <c r="J309" s="41" t="s">
        <v>904</v>
      </c>
      <c r="K309" s="41" t="s">
        <v>904</v>
      </c>
      <c r="L309" s="41" t="s">
        <v>904</v>
      </c>
      <c r="M309" s="60"/>
      <c r="N309" s="41" t="s">
        <v>904</v>
      </c>
      <c r="O309" s="60"/>
      <c r="P309" s="41" t="s">
        <v>904</v>
      </c>
      <c r="Q309" s="69"/>
      <c r="R309" s="69"/>
      <c r="S309" s="69"/>
      <c r="T309" s="69"/>
      <c r="U309" s="70"/>
      <c r="V309" s="70"/>
      <c r="W309" s="71"/>
      <c r="X309" s="43"/>
      <c r="Y309" s="43"/>
      <c r="Z309" s="41" t="s">
        <v>904</v>
      </c>
      <c r="AA309" s="41" t="s">
        <v>904</v>
      </c>
      <c r="AB309" s="41"/>
      <c r="AC309" s="69"/>
      <c r="AD309" s="44"/>
    </row>
    <row r="310" spans="3:28" ht="20.100000000000001" customHeight="1" x14ac:dyDescent="0.25">
      <c r="C310" s="57" t="s">
        <v>904</v>
      </c>
      <c r="D310" s="57" t="s">
        <v>904</v>
      </c>
      <c r="E310" s="41" t="s">
        <v>904</v>
      </c>
      <c r="F310" s="41" t="s">
        <v>904</v>
      </c>
      <c r="G310" s="41" t="s">
        <v>904</v>
      </c>
      <c r="H310" s="41" t="s">
        <v>904</v>
      </c>
      <c r="I310" s="41" t="s">
        <v>904</v>
      </c>
      <c r="J310" s="41" t="s">
        <v>904</v>
      </c>
      <c r="K310" s="41" t="s">
        <v>904</v>
      </c>
      <c r="L310" s="41" t="s">
        <v>904</v>
      </c>
      <c r="M310" s="60"/>
      <c r="N310" s="41" t="s">
        <v>904</v>
      </c>
      <c r="O310" s="60"/>
      <c r="P310" s="41" t="s">
        <v>904</v>
      </c>
      <c r="Q310" s="69"/>
      <c r="R310" s="69"/>
      <c r="S310" s="69"/>
      <c r="T310" s="69"/>
      <c r="U310" s="70"/>
      <c r="V310" s="70"/>
      <c r="W310" s="71"/>
      <c r="X310" s="43"/>
      <c r="Y310" s="43"/>
      <c r="Z310" s="41" t="s">
        <v>904</v>
      </c>
      <c r="AA310" s="41" t="s">
        <v>904</v>
      </c>
      <c r="AB310" s="41"/>
      <c r="AC310" s="69"/>
      <c r="AD310" s="44"/>
    </row>
    <row r="311" spans="3:28" ht="20.100000000000001" customHeight="1" x14ac:dyDescent="0.25">
      <c r="C311" s="57" t="s">
        <v>904</v>
      </c>
      <c r="D311" s="57" t="s">
        <v>904</v>
      </c>
      <c r="E311" s="41" t="s">
        <v>904</v>
      </c>
      <c r="F311" s="41" t="s">
        <v>904</v>
      </c>
      <c r="G311" s="41" t="s">
        <v>904</v>
      </c>
      <c r="H311" s="41" t="s">
        <v>904</v>
      </c>
      <c r="I311" s="41" t="s">
        <v>904</v>
      </c>
      <c r="J311" s="41" t="s">
        <v>904</v>
      </c>
      <c r="K311" s="41" t="s">
        <v>904</v>
      </c>
      <c r="L311" s="41" t="s">
        <v>904</v>
      </c>
      <c r="M311" s="60"/>
      <c r="N311" s="41" t="s">
        <v>904</v>
      </c>
      <c r="O311" s="60"/>
      <c r="P311" s="41" t="s">
        <v>904</v>
      </c>
      <c r="Q311" s="69"/>
      <c r="R311" s="69"/>
      <c r="S311" s="69"/>
      <c r="T311" s="69"/>
      <c r="U311" s="70"/>
      <c r="V311" s="70"/>
      <c r="W311" s="71"/>
      <c r="X311" s="43"/>
      <c r="Y311" s="43"/>
      <c r="Z311" s="41" t="s">
        <v>904</v>
      </c>
      <c r="AA311" s="41" t="s">
        <v>904</v>
      </c>
      <c r="AB311" s="41"/>
      <c r="AC311" s="69"/>
      <c r="AD311" s="44"/>
    </row>
    <row r="312" spans="3:28" ht="20.100000000000001" customHeight="1" x14ac:dyDescent="0.25">
      <c r="C312" s="57" t="s">
        <v>904</v>
      </c>
      <c r="D312" s="57" t="s">
        <v>904</v>
      </c>
      <c r="E312" s="41" t="s">
        <v>904</v>
      </c>
      <c r="F312" s="41" t="s">
        <v>904</v>
      </c>
      <c r="G312" s="41" t="s">
        <v>904</v>
      </c>
      <c r="H312" s="41" t="s">
        <v>904</v>
      </c>
      <c r="I312" s="41" t="s">
        <v>904</v>
      </c>
      <c r="J312" s="41" t="s">
        <v>904</v>
      </c>
      <c r="K312" s="41" t="s">
        <v>904</v>
      </c>
      <c r="L312" s="41" t="s">
        <v>904</v>
      </c>
      <c r="M312" s="60"/>
      <c r="N312" s="41" t="s">
        <v>904</v>
      </c>
      <c r="O312" s="60"/>
      <c r="P312" s="41" t="s">
        <v>904</v>
      </c>
      <c r="Q312" s="69"/>
      <c r="R312" s="69"/>
      <c r="S312" s="69"/>
      <c r="T312" s="69"/>
      <c r="U312" s="70"/>
      <c r="V312" s="70"/>
      <c r="W312" s="71"/>
      <c r="X312" s="43"/>
      <c r="Y312" s="43"/>
      <c r="Z312" s="41" t="s">
        <v>904</v>
      </c>
      <c r="AA312" s="41" t="s">
        <v>904</v>
      </c>
      <c r="AB312" s="41"/>
      <c r="AC312" s="69"/>
      <c r="AD312" s="44"/>
    </row>
    <row r="313" spans="3:28" ht="20.100000000000001" customHeight="1" x14ac:dyDescent="0.25">
      <c r="C313" s="57" t="s">
        <v>904</v>
      </c>
      <c r="D313" s="57" t="s">
        <v>904</v>
      </c>
      <c r="E313" s="41" t="s">
        <v>904</v>
      </c>
      <c r="F313" s="41" t="s">
        <v>904</v>
      </c>
      <c r="G313" s="41" t="s">
        <v>904</v>
      </c>
      <c r="H313" s="41" t="s">
        <v>904</v>
      </c>
      <c r="I313" s="41" t="s">
        <v>904</v>
      </c>
      <c r="J313" s="41" t="s">
        <v>904</v>
      </c>
      <c r="K313" s="41" t="s">
        <v>904</v>
      </c>
      <c r="L313" s="41" t="s">
        <v>904</v>
      </c>
      <c r="M313" s="60"/>
      <c r="N313" s="41" t="s">
        <v>904</v>
      </c>
      <c r="O313" s="60"/>
      <c r="P313" s="41" t="s">
        <v>904</v>
      </c>
      <c r="Q313" s="69"/>
      <c r="R313" s="69"/>
      <c r="S313" s="69"/>
      <c r="T313" s="69"/>
      <c r="U313" s="70"/>
      <c r="V313" s="70"/>
      <c r="W313" s="71"/>
      <c r="X313" s="43"/>
      <c r="Y313" s="43"/>
      <c r="Z313" s="41" t="s">
        <v>904</v>
      </c>
      <c r="AA313" s="41" t="s">
        <v>904</v>
      </c>
      <c r="AB313" s="41"/>
      <c r="AC313" s="69"/>
      <c r="AD313" s="44"/>
    </row>
    <row r="314" spans="3:28" ht="20.100000000000001" customHeight="1" x14ac:dyDescent="0.25">
      <c r="C314" s="57" t="s">
        <v>904</v>
      </c>
      <c r="D314" s="57" t="s">
        <v>904</v>
      </c>
      <c r="E314" s="41" t="s">
        <v>904</v>
      </c>
      <c r="F314" s="41" t="s">
        <v>904</v>
      </c>
      <c r="G314" s="41" t="s">
        <v>904</v>
      </c>
      <c r="H314" s="41" t="s">
        <v>904</v>
      </c>
      <c r="I314" s="41" t="s">
        <v>904</v>
      </c>
      <c r="J314" s="41" t="s">
        <v>904</v>
      </c>
      <c r="K314" s="41" t="s">
        <v>904</v>
      </c>
      <c r="L314" s="41" t="s">
        <v>904</v>
      </c>
      <c r="M314" s="60"/>
      <c r="N314" s="41" t="s">
        <v>904</v>
      </c>
      <c r="O314" s="60"/>
      <c r="P314" s="41" t="s">
        <v>904</v>
      </c>
      <c r="Q314" s="69"/>
      <c r="R314" s="69"/>
      <c r="S314" s="69"/>
      <c r="T314" s="69"/>
      <c r="U314" s="70"/>
      <c r="V314" s="70"/>
      <c r="W314" s="71"/>
      <c r="X314" s="43"/>
      <c r="Y314" s="43"/>
      <c r="Z314" s="41" t="s">
        <v>904</v>
      </c>
      <c r="AA314" s="41" t="s">
        <v>904</v>
      </c>
      <c r="AB314" s="41"/>
      <c r="AC314" s="69"/>
      <c r="AD314" s="44"/>
    </row>
    <row r="315" spans="3:28" ht="20.100000000000001" customHeight="1" x14ac:dyDescent="0.25">
      <c r="C315" s="57" t="s">
        <v>904</v>
      </c>
      <c r="D315" s="57" t="s">
        <v>904</v>
      </c>
      <c r="E315" s="41" t="s">
        <v>904</v>
      </c>
      <c r="F315" s="41" t="s">
        <v>904</v>
      </c>
      <c r="G315" s="41" t="s">
        <v>904</v>
      </c>
      <c r="H315" s="41" t="s">
        <v>904</v>
      </c>
      <c r="I315" s="41" t="s">
        <v>904</v>
      </c>
      <c r="J315" s="41" t="s">
        <v>904</v>
      </c>
      <c r="K315" s="41" t="s">
        <v>904</v>
      </c>
      <c r="L315" s="41" t="s">
        <v>904</v>
      </c>
      <c r="M315" s="60"/>
      <c r="N315" s="41" t="s">
        <v>904</v>
      </c>
      <c r="O315" s="60"/>
      <c r="P315" s="41" t="s">
        <v>904</v>
      </c>
      <c r="Q315" s="69"/>
      <c r="R315" s="69"/>
      <c r="S315" s="69"/>
      <c r="T315" s="69"/>
      <c r="U315" s="70"/>
      <c r="V315" s="70"/>
      <c r="W315" s="71"/>
      <c r="X315" s="43"/>
      <c r="Y315" s="43"/>
      <c r="Z315" s="41" t="s">
        <v>904</v>
      </c>
      <c r="AA315" s="41" t="s">
        <v>904</v>
      </c>
      <c r="AB315" s="41"/>
      <c r="AC315" s="69"/>
      <c r="AD315" s="44"/>
    </row>
    <row r="316" spans="3:28" ht="20.100000000000001" customHeight="1" x14ac:dyDescent="0.25">
      <c r="C316" s="57" t="s">
        <v>904</v>
      </c>
      <c r="D316" s="57" t="s">
        <v>904</v>
      </c>
      <c r="E316" s="41" t="s">
        <v>904</v>
      </c>
      <c r="F316" s="41" t="s">
        <v>904</v>
      </c>
      <c r="G316" s="41" t="s">
        <v>904</v>
      </c>
      <c r="H316" s="41" t="s">
        <v>904</v>
      </c>
      <c r="I316" s="41" t="s">
        <v>904</v>
      </c>
      <c r="J316" s="41" t="s">
        <v>904</v>
      </c>
      <c r="K316" s="41" t="s">
        <v>904</v>
      </c>
      <c r="L316" s="41" t="s">
        <v>904</v>
      </c>
      <c r="M316" s="60"/>
      <c r="N316" s="41" t="s">
        <v>904</v>
      </c>
      <c r="O316" s="60"/>
      <c r="P316" s="41" t="s">
        <v>904</v>
      </c>
      <c r="Q316" s="69"/>
      <c r="R316" s="69"/>
      <c r="S316" s="69"/>
      <c r="T316" s="69"/>
      <c r="U316" s="70"/>
      <c r="V316" s="70"/>
      <c r="W316" s="71"/>
      <c r="X316" s="43"/>
      <c r="Y316" s="43"/>
      <c r="Z316" s="41" t="s">
        <v>904</v>
      </c>
      <c r="AA316" s="41" t="s">
        <v>904</v>
      </c>
      <c r="AB316" s="41"/>
      <c r="AC316" s="69"/>
      <c r="AD316" s="44"/>
    </row>
    <row r="317" spans="3:28" ht="20.100000000000001" customHeight="1" x14ac:dyDescent="0.25">
      <c r="C317" s="57" t="s">
        <v>904</v>
      </c>
      <c r="D317" s="57" t="s">
        <v>904</v>
      </c>
      <c r="E317" s="41" t="s">
        <v>904</v>
      </c>
      <c r="F317" s="41" t="s">
        <v>904</v>
      </c>
      <c r="G317" s="41" t="s">
        <v>904</v>
      </c>
      <c r="H317" s="41" t="s">
        <v>904</v>
      </c>
      <c r="I317" s="41" t="s">
        <v>904</v>
      </c>
      <c r="J317" s="41" t="s">
        <v>904</v>
      </c>
      <c r="K317" s="41" t="s">
        <v>904</v>
      </c>
      <c r="L317" s="41" t="s">
        <v>904</v>
      </c>
      <c r="M317" s="60"/>
      <c r="N317" s="41" t="s">
        <v>904</v>
      </c>
      <c r="O317" s="60"/>
      <c r="P317" s="41" t="s">
        <v>904</v>
      </c>
      <c r="Q317" s="69"/>
      <c r="R317" s="69"/>
      <c r="S317" s="69"/>
      <c r="T317" s="69"/>
      <c r="U317" s="70"/>
      <c r="V317" s="70"/>
      <c r="W317" s="71"/>
      <c r="X317" s="43"/>
      <c r="Y317" s="43"/>
      <c r="Z317" s="41" t="s">
        <v>904</v>
      </c>
      <c r="AA317" s="41" t="s">
        <v>904</v>
      </c>
      <c r="AB317" s="41"/>
      <c r="AC317" s="69"/>
      <c r="AD317" s="44"/>
    </row>
    <row r="318" spans="3:28" ht="20.100000000000001" customHeight="1" x14ac:dyDescent="0.25">
      <c r="C318" s="57" t="s">
        <v>904</v>
      </c>
      <c r="D318" s="57" t="s">
        <v>904</v>
      </c>
      <c r="E318" s="41" t="s">
        <v>904</v>
      </c>
      <c r="F318" s="41" t="s">
        <v>904</v>
      </c>
      <c r="G318" s="41" t="s">
        <v>904</v>
      </c>
      <c r="H318" s="41" t="s">
        <v>904</v>
      </c>
      <c r="I318" s="41" t="s">
        <v>904</v>
      </c>
      <c r="J318" s="41" t="s">
        <v>904</v>
      </c>
      <c r="K318" s="41" t="s">
        <v>904</v>
      </c>
      <c r="L318" s="41" t="s">
        <v>904</v>
      </c>
      <c r="M318" s="60"/>
      <c r="N318" s="41" t="s">
        <v>904</v>
      </c>
      <c r="O318" s="60"/>
      <c r="P318" s="41" t="s">
        <v>904</v>
      </c>
      <c r="Q318" s="69"/>
      <c r="R318" s="69"/>
      <c r="S318" s="69"/>
      <c r="T318" s="69"/>
      <c r="U318" s="70"/>
      <c r="V318" s="70"/>
      <c r="W318" s="71"/>
      <c r="X318" s="43"/>
      <c r="Y318" s="43"/>
      <c r="Z318" s="41" t="s">
        <v>904</v>
      </c>
      <c r="AA318" s="41" t="s">
        <v>904</v>
      </c>
      <c r="AB318" s="41"/>
      <c r="AC318" s="69"/>
      <c r="AD318" s="44"/>
    </row>
    <row r="319" spans="3:28" ht="20.100000000000001" customHeight="1" x14ac:dyDescent="0.25">
      <c r="C319" s="57" t="s">
        <v>904</v>
      </c>
      <c r="D319" s="57" t="s">
        <v>904</v>
      </c>
      <c r="E319" s="41" t="s">
        <v>904</v>
      </c>
      <c r="F319" s="41" t="s">
        <v>904</v>
      </c>
      <c r="G319" s="41" t="s">
        <v>904</v>
      </c>
      <c r="H319" s="41" t="s">
        <v>904</v>
      </c>
      <c r="I319" s="41" t="s">
        <v>904</v>
      </c>
      <c r="J319" s="41" t="s">
        <v>904</v>
      </c>
      <c r="K319" s="41" t="s">
        <v>904</v>
      </c>
      <c r="L319" s="41" t="s">
        <v>904</v>
      </c>
      <c r="M319" s="60"/>
      <c r="N319" s="41" t="s">
        <v>904</v>
      </c>
      <c r="O319" s="60"/>
      <c r="P319" s="41" t="s">
        <v>904</v>
      </c>
      <c r="Q319" s="69"/>
      <c r="R319" s="69"/>
      <c r="S319" s="69"/>
      <c r="T319" s="69"/>
      <c r="U319" s="70"/>
      <c r="V319" s="70"/>
      <c r="W319" s="71"/>
      <c r="X319" s="43"/>
      <c r="Y319" s="43"/>
      <c r="Z319" s="41" t="s">
        <v>904</v>
      </c>
      <c r="AA319" s="41" t="s">
        <v>904</v>
      </c>
      <c r="AB319" s="41"/>
      <c r="AC319" s="69"/>
      <c r="AD319" s="44"/>
    </row>
    <row r="320" spans="3:28" ht="20.100000000000001" customHeight="1" x14ac:dyDescent="0.25">
      <c r="C320" s="57" t="s">
        <v>904</v>
      </c>
      <c r="D320" s="57" t="s">
        <v>904</v>
      </c>
      <c r="E320" s="41" t="s">
        <v>904</v>
      </c>
      <c r="F320" s="41" t="s">
        <v>904</v>
      </c>
      <c r="G320" s="41" t="s">
        <v>904</v>
      </c>
      <c r="H320" s="41" t="s">
        <v>904</v>
      </c>
      <c r="I320" s="41" t="s">
        <v>904</v>
      </c>
      <c r="J320" s="41" t="s">
        <v>904</v>
      </c>
      <c r="K320" s="41" t="s">
        <v>904</v>
      </c>
      <c r="L320" s="41" t="s">
        <v>904</v>
      </c>
      <c r="M320" s="60"/>
      <c r="N320" s="41" t="s">
        <v>904</v>
      </c>
      <c r="O320" s="60"/>
      <c r="P320" s="41" t="s">
        <v>904</v>
      </c>
      <c r="Q320" s="69"/>
      <c r="R320" s="69"/>
      <c r="S320" s="69"/>
      <c r="T320" s="69"/>
      <c r="U320" s="70"/>
      <c r="V320" s="70"/>
      <c r="W320" s="71"/>
      <c r="X320" s="43"/>
      <c r="Y320" s="43"/>
      <c r="Z320" s="41" t="s">
        <v>904</v>
      </c>
      <c r="AA320" s="41" t="s">
        <v>904</v>
      </c>
      <c r="AB320" s="41"/>
      <c r="AC320" s="69"/>
      <c r="AD320" s="44"/>
    </row>
    <row r="321" spans="3:28" ht="20.100000000000001" customHeight="1" x14ac:dyDescent="0.25">
      <c r="C321" s="57" t="s">
        <v>904</v>
      </c>
      <c r="D321" s="57" t="s">
        <v>904</v>
      </c>
      <c r="E321" s="41" t="s">
        <v>904</v>
      </c>
      <c r="F321" s="41" t="s">
        <v>904</v>
      </c>
      <c r="G321" s="41" t="s">
        <v>904</v>
      </c>
      <c r="H321" s="41" t="s">
        <v>904</v>
      </c>
      <c r="I321" s="41" t="s">
        <v>904</v>
      </c>
      <c r="J321" s="41" t="s">
        <v>904</v>
      </c>
      <c r="K321" s="41" t="s">
        <v>904</v>
      </c>
      <c r="L321" s="41" t="s">
        <v>904</v>
      </c>
      <c r="M321" s="60"/>
      <c r="N321" s="41" t="s">
        <v>904</v>
      </c>
      <c r="O321" s="60"/>
      <c r="P321" s="41" t="s">
        <v>904</v>
      </c>
      <c r="Q321" s="69"/>
      <c r="R321" s="69"/>
      <c r="S321" s="69"/>
      <c r="T321" s="69"/>
      <c r="U321" s="70"/>
      <c r="V321" s="70"/>
      <c r="W321" s="71"/>
      <c r="X321" s="43"/>
      <c r="Y321" s="43"/>
      <c r="Z321" s="41" t="s">
        <v>904</v>
      </c>
      <c r="AA321" s="41" t="s">
        <v>904</v>
      </c>
      <c r="AB321" s="41"/>
      <c r="AC321" s="69"/>
      <c r="AD321" s="44"/>
    </row>
    <row r="322" spans="3:28" ht="20.100000000000001" customHeight="1" x14ac:dyDescent="0.25">
      <c r="C322" s="57" t="s">
        <v>904</v>
      </c>
      <c r="D322" s="57" t="s">
        <v>904</v>
      </c>
      <c r="E322" s="41" t="s">
        <v>904</v>
      </c>
      <c r="F322" s="41" t="s">
        <v>904</v>
      </c>
      <c r="G322" s="41" t="s">
        <v>904</v>
      </c>
      <c r="H322" s="41" t="s">
        <v>904</v>
      </c>
      <c r="I322" s="41" t="s">
        <v>904</v>
      </c>
      <c r="J322" s="41" t="s">
        <v>904</v>
      </c>
      <c r="K322" s="41" t="s">
        <v>904</v>
      </c>
      <c r="L322" s="41" t="s">
        <v>904</v>
      </c>
      <c r="M322" s="60"/>
      <c r="N322" s="41" t="s">
        <v>904</v>
      </c>
      <c r="O322" s="60"/>
      <c r="P322" s="41" t="s">
        <v>904</v>
      </c>
      <c r="Q322" s="69"/>
      <c r="R322" s="69"/>
      <c r="S322" s="69"/>
      <c r="T322" s="69"/>
      <c r="U322" s="70"/>
      <c r="V322" s="70"/>
      <c r="W322" s="71"/>
      <c r="X322" s="43"/>
      <c r="Y322" s="43"/>
      <c r="Z322" s="41" t="s">
        <v>904</v>
      </c>
      <c r="AA322" s="41" t="s">
        <v>904</v>
      </c>
      <c r="AB322" s="41"/>
      <c r="AC322" s="69"/>
      <c r="AD322" s="44"/>
    </row>
    <row r="323" spans="3:28" ht="20.100000000000001" customHeight="1" x14ac:dyDescent="0.25">
      <c r="C323" s="57" t="s">
        <v>904</v>
      </c>
      <c r="D323" s="57" t="s">
        <v>904</v>
      </c>
      <c r="E323" s="41" t="s">
        <v>904</v>
      </c>
      <c r="F323" s="41" t="s">
        <v>904</v>
      </c>
      <c r="G323" s="41" t="s">
        <v>904</v>
      </c>
      <c r="H323" s="41" t="s">
        <v>904</v>
      </c>
      <c r="I323" s="41" t="s">
        <v>904</v>
      </c>
      <c r="J323" s="41" t="s">
        <v>904</v>
      </c>
      <c r="K323" s="41" t="s">
        <v>904</v>
      </c>
      <c r="L323" s="41" t="s">
        <v>904</v>
      </c>
      <c r="M323" s="60"/>
      <c r="N323" s="41" t="s">
        <v>904</v>
      </c>
      <c r="O323" s="60"/>
      <c r="P323" s="41" t="s">
        <v>904</v>
      </c>
      <c r="Q323" s="69"/>
      <c r="R323" s="69"/>
      <c r="S323" s="69"/>
      <c r="T323" s="69"/>
      <c r="U323" s="70"/>
      <c r="V323" s="70"/>
      <c r="W323" s="71"/>
      <c r="X323" s="43"/>
      <c r="Y323" s="43"/>
      <c r="Z323" s="41" t="s">
        <v>904</v>
      </c>
      <c r="AA323" s="41" t="s">
        <v>904</v>
      </c>
      <c r="AB323" s="41"/>
      <c r="AC323" s="69"/>
      <c r="AD323" s="44"/>
    </row>
    <row r="324" spans="3:28" ht="20.100000000000001" customHeight="1" x14ac:dyDescent="0.25">
      <c r="C324" s="57" t="s">
        <v>904</v>
      </c>
      <c r="D324" s="57" t="s">
        <v>904</v>
      </c>
      <c r="E324" s="41" t="s">
        <v>904</v>
      </c>
      <c r="F324" s="41" t="s">
        <v>904</v>
      </c>
      <c r="G324" s="41" t="s">
        <v>904</v>
      </c>
      <c r="H324" s="41" t="s">
        <v>904</v>
      </c>
      <c r="I324" s="41" t="s">
        <v>904</v>
      </c>
      <c r="J324" s="41" t="s">
        <v>904</v>
      </c>
      <c r="K324" s="41" t="s">
        <v>904</v>
      </c>
      <c r="L324" s="41" t="s">
        <v>904</v>
      </c>
      <c r="M324" s="60"/>
      <c r="N324" s="41" t="s">
        <v>904</v>
      </c>
      <c r="O324" s="60"/>
      <c r="P324" s="41" t="s">
        <v>904</v>
      </c>
      <c r="Q324" s="69"/>
      <c r="R324" s="69"/>
      <c r="S324" s="69"/>
      <c r="T324" s="69"/>
      <c r="U324" s="70"/>
      <c r="V324" s="70"/>
      <c r="W324" s="71"/>
      <c r="X324" s="43"/>
      <c r="Y324" s="43"/>
      <c r="Z324" s="41" t="s">
        <v>904</v>
      </c>
      <c r="AA324" s="41" t="s">
        <v>904</v>
      </c>
      <c r="AB324" s="41"/>
      <c r="AC324" s="69"/>
      <c r="AD324" s="44"/>
    </row>
    <row r="325" spans="3:28" ht="20.100000000000001" customHeight="1" x14ac:dyDescent="0.25">
      <c r="C325" s="57" t="s">
        <v>904</v>
      </c>
      <c r="D325" s="57" t="s">
        <v>904</v>
      </c>
      <c r="E325" s="41" t="s">
        <v>904</v>
      </c>
      <c r="F325" s="41" t="s">
        <v>904</v>
      </c>
      <c r="G325" s="41" t="s">
        <v>904</v>
      </c>
      <c r="H325" s="41" t="s">
        <v>904</v>
      </c>
      <c r="I325" s="41" t="s">
        <v>904</v>
      </c>
      <c r="J325" s="41" t="s">
        <v>904</v>
      </c>
      <c r="K325" s="41" t="s">
        <v>904</v>
      </c>
      <c r="L325" s="41" t="s">
        <v>904</v>
      </c>
      <c r="M325" s="60"/>
      <c r="N325" s="41" t="s">
        <v>904</v>
      </c>
      <c r="O325" s="60"/>
      <c r="P325" s="41" t="s">
        <v>904</v>
      </c>
      <c r="Q325" s="69"/>
      <c r="R325" s="69"/>
      <c r="S325" s="69"/>
      <c r="T325" s="69"/>
      <c r="U325" s="70"/>
      <c r="V325" s="70"/>
      <c r="W325" s="71"/>
      <c r="X325" s="43"/>
      <c r="Y325" s="43"/>
      <c r="Z325" s="41" t="s">
        <v>904</v>
      </c>
      <c r="AA325" s="41" t="s">
        <v>904</v>
      </c>
      <c r="AB325" s="41"/>
      <c r="AC325" s="69"/>
      <c r="AD325" s="44"/>
    </row>
    <row r="326" spans="3:28" ht="20.100000000000001" customHeight="1" x14ac:dyDescent="0.25">
      <c r="C326" s="57" t="s">
        <v>904</v>
      </c>
      <c r="D326" s="57" t="s">
        <v>904</v>
      </c>
      <c r="E326" s="41" t="s">
        <v>904</v>
      </c>
      <c r="F326" s="41" t="s">
        <v>904</v>
      </c>
      <c r="G326" s="41" t="s">
        <v>904</v>
      </c>
      <c r="H326" s="41" t="s">
        <v>904</v>
      </c>
      <c r="I326" s="41" t="s">
        <v>904</v>
      </c>
      <c r="J326" s="41" t="s">
        <v>904</v>
      </c>
      <c r="K326" s="41" t="s">
        <v>904</v>
      </c>
      <c r="L326" s="41" t="s">
        <v>904</v>
      </c>
      <c r="M326" s="60"/>
      <c r="N326" s="41" t="s">
        <v>904</v>
      </c>
      <c r="O326" s="60"/>
      <c r="P326" s="41" t="s">
        <v>904</v>
      </c>
      <c r="Q326" s="69"/>
      <c r="R326" s="69"/>
      <c r="S326" s="69"/>
      <c r="T326" s="69"/>
      <c r="U326" s="70"/>
      <c r="V326" s="70"/>
      <c r="W326" s="71"/>
      <c r="X326" s="43"/>
      <c r="Y326" s="43"/>
      <c r="Z326" s="41" t="s">
        <v>904</v>
      </c>
      <c r="AA326" s="41" t="s">
        <v>904</v>
      </c>
      <c r="AB326" s="41"/>
      <c r="AC326" s="69"/>
      <c r="AD326" s="44"/>
    </row>
    <row r="327" spans="3:28" ht="20.100000000000001" customHeight="1" x14ac:dyDescent="0.25">
      <c r="C327" s="57" t="s">
        <v>904</v>
      </c>
      <c r="D327" s="57" t="s">
        <v>904</v>
      </c>
      <c r="E327" s="41" t="s">
        <v>904</v>
      </c>
      <c r="F327" s="41" t="s">
        <v>904</v>
      </c>
      <c r="G327" s="41" t="s">
        <v>904</v>
      </c>
      <c r="H327" s="41" t="s">
        <v>904</v>
      </c>
      <c r="I327" s="41" t="s">
        <v>904</v>
      </c>
      <c r="J327" s="41" t="s">
        <v>904</v>
      </c>
      <c r="K327" s="41" t="s">
        <v>904</v>
      </c>
      <c r="L327" s="41" t="s">
        <v>904</v>
      </c>
      <c r="M327" s="60"/>
      <c r="N327" s="41" t="s">
        <v>904</v>
      </c>
      <c r="O327" s="60"/>
      <c r="P327" s="41" t="s">
        <v>904</v>
      </c>
      <c r="Q327" s="69"/>
      <c r="R327" s="69"/>
      <c r="S327" s="69"/>
      <c r="T327" s="69"/>
      <c r="U327" s="70"/>
      <c r="V327" s="70"/>
      <c r="W327" s="71"/>
      <c r="X327" s="43"/>
      <c r="Y327" s="43"/>
      <c r="Z327" s="41" t="s">
        <v>904</v>
      </c>
      <c r="AA327" s="41" t="s">
        <v>904</v>
      </c>
      <c r="AB327" s="41"/>
      <c r="AC327" s="69"/>
      <c r="AD327" s="44"/>
    </row>
    <row r="328" spans="3:28" ht="20.100000000000001" customHeight="1" x14ac:dyDescent="0.25">
      <c r="C328" s="57" t="s">
        <v>904</v>
      </c>
      <c r="D328" s="57" t="s">
        <v>904</v>
      </c>
      <c r="E328" s="41" t="s">
        <v>904</v>
      </c>
      <c r="F328" s="41" t="s">
        <v>904</v>
      </c>
      <c r="G328" s="41" t="s">
        <v>904</v>
      </c>
      <c r="H328" s="41" t="s">
        <v>904</v>
      </c>
      <c r="I328" s="41" t="s">
        <v>904</v>
      </c>
      <c r="J328" s="41" t="s">
        <v>904</v>
      </c>
      <c r="K328" s="41" t="s">
        <v>904</v>
      </c>
      <c r="L328" s="41" t="s">
        <v>904</v>
      </c>
      <c r="M328" s="60"/>
      <c r="N328" s="41" t="s">
        <v>904</v>
      </c>
      <c r="O328" s="60"/>
      <c r="P328" s="41" t="s">
        <v>904</v>
      </c>
      <c r="Q328" s="69"/>
      <c r="R328" s="69"/>
      <c r="S328" s="69"/>
      <c r="T328" s="69"/>
      <c r="U328" s="70"/>
      <c r="V328" s="70"/>
      <c r="W328" s="71"/>
      <c r="X328" s="43"/>
      <c r="Y328" s="43"/>
      <c r="Z328" s="41" t="s">
        <v>904</v>
      </c>
      <c r="AA328" s="41" t="s">
        <v>904</v>
      </c>
      <c r="AB328" s="41"/>
      <c r="AC328" s="69"/>
      <c r="AD328" s="44"/>
    </row>
    <row r="329" spans="3:28" ht="20.100000000000001" customHeight="1" x14ac:dyDescent="0.25">
      <c r="C329" s="57" t="s">
        <v>904</v>
      </c>
      <c r="D329" s="57" t="s">
        <v>904</v>
      </c>
      <c r="E329" s="41" t="s">
        <v>904</v>
      </c>
      <c r="F329" s="41" t="s">
        <v>904</v>
      </c>
      <c r="G329" s="41" t="s">
        <v>904</v>
      </c>
      <c r="H329" s="41" t="s">
        <v>904</v>
      </c>
      <c r="I329" s="41" t="s">
        <v>904</v>
      </c>
      <c r="J329" s="41" t="s">
        <v>904</v>
      </c>
      <c r="K329" s="41" t="s">
        <v>904</v>
      </c>
      <c r="L329" s="41" t="s">
        <v>904</v>
      </c>
      <c r="M329" s="60"/>
      <c r="N329" s="41" t="s">
        <v>904</v>
      </c>
      <c r="O329" s="60"/>
      <c r="P329" s="41" t="s">
        <v>904</v>
      </c>
      <c r="Q329" s="69"/>
      <c r="R329" s="69"/>
      <c r="S329" s="69"/>
      <c r="T329" s="69"/>
      <c r="U329" s="70"/>
      <c r="V329" s="70"/>
      <c r="W329" s="71"/>
      <c r="X329" s="43"/>
      <c r="Y329" s="43"/>
      <c r="Z329" s="41" t="s">
        <v>904</v>
      </c>
      <c r="AA329" s="41" t="s">
        <v>904</v>
      </c>
      <c r="AB329" s="41"/>
      <c r="AC329" s="69"/>
      <c r="AD329" s="44"/>
    </row>
    <row r="330" spans="3:28" ht="20.100000000000001" customHeight="1" x14ac:dyDescent="0.25">
      <c r="C330" s="57" t="s">
        <v>904</v>
      </c>
      <c r="D330" s="57" t="s">
        <v>904</v>
      </c>
      <c r="E330" s="41" t="s">
        <v>904</v>
      </c>
      <c r="F330" s="41" t="s">
        <v>904</v>
      </c>
      <c r="G330" s="41" t="s">
        <v>904</v>
      </c>
      <c r="H330" s="41" t="s">
        <v>904</v>
      </c>
      <c r="I330" s="41" t="s">
        <v>904</v>
      </c>
      <c r="J330" s="41" t="s">
        <v>904</v>
      </c>
      <c r="K330" s="41" t="s">
        <v>904</v>
      </c>
      <c r="L330" s="41" t="s">
        <v>904</v>
      </c>
      <c r="M330" s="60"/>
      <c r="N330" s="41" t="s">
        <v>904</v>
      </c>
      <c r="O330" s="60"/>
      <c r="P330" s="41" t="s">
        <v>904</v>
      </c>
      <c r="Q330" s="69"/>
      <c r="R330" s="69"/>
      <c r="S330" s="69"/>
      <c r="T330" s="69"/>
      <c r="U330" s="70"/>
      <c r="V330" s="70"/>
      <c r="W330" s="71"/>
      <c r="X330" s="43"/>
      <c r="Y330" s="43"/>
      <c r="Z330" s="41" t="s">
        <v>904</v>
      </c>
      <c r="AA330" s="41" t="s">
        <v>904</v>
      </c>
      <c r="AB330" s="41"/>
      <c r="AC330" s="69"/>
      <c r="AD330" s="44"/>
    </row>
    <row r="331" spans="3:28" ht="20.100000000000001" customHeight="1" x14ac:dyDescent="0.25">
      <c r="C331" s="57" t="s">
        <v>904</v>
      </c>
      <c r="D331" s="57" t="s">
        <v>904</v>
      </c>
      <c r="E331" s="41" t="s">
        <v>904</v>
      </c>
      <c r="F331" s="41" t="s">
        <v>904</v>
      </c>
      <c r="G331" s="41" t="s">
        <v>904</v>
      </c>
      <c r="H331" s="41" t="s">
        <v>904</v>
      </c>
      <c r="I331" s="41" t="s">
        <v>904</v>
      </c>
      <c r="J331" s="41" t="s">
        <v>904</v>
      </c>
      <c r="K331" s="41" t="s">
        <v>904</v>
      </c>
      <c r="L331" s="41" t="s">
        <v>904</v>
      </c>
      <c r="M331" s="60"/>
      <c r="N331" s="41" t="s">
        <v>904</v>
      </c>
      <c r="O331" s="60"/>
      <c r="P331" s="41" t="s">
        <v>904</v>
      </c>
      <c r="Q331" s="69"/>
      <c r="R331" s="69"/>
      <c r="S331" s="69"/>
      <c r="T331" s="69"/>
      <c r="U331" s="70"/>
      <c r="V331" s="70"/>
      <c r="W331" s="71"/>
      <c r="X331" s="43"/>
      <c r="Y331" s="43"/>
      <c r="Z331" s="41" t="s">
        <v>904</v>
      </c>
      <c r="AA331" s="41" t="s">
        <v>904</v>
      </c>
      <c r="AB331" s="41"/>
      <c r="AC331" s="69"/>
      <c r="AD331" s="44"/>
    </row>
    <row r="332" spans="3:28" ht="20.100000000000001" customHeight="1" x14ac:dyDescent="0.25">
      <c r="C332" s="57" t="s">
        <v>904</v>
      </c>
      <c r="D332" s="57" t="s">
        <v>904</v>
      </c>
      <c r="E332" s="41" t="s">
        <v>904</v>
      </c>
      <c r="F332" s="41" t="s">
        <v>904</v>
      </c>
      <c r="G332" s="41" t="s">
        <v>904</v>
      </c>
      <c r="H332" s="41" t="s">
        <v>904</v>
      </c>
      <c r="I332" s="41" t="s">
        <v>904</v>
      </c>
      <c r="J332" s="41" t="s">
        <v>904</v>
      </c>
      <c r="K332" s="41" t="s">
        <v>904</v>
      </c>
      <c r="L332" s="41" t="s">
        <v>904</v>
      </c>
      <c r="M332" s="60"/>
      <c r="N332" s="41" t="s">
        <v>904</v>
      </c>
      <c r="O332" s="60"/>
      <c r="P332" s="41" t="s">
        <v>904</v>
      </c>
      <c r="Q332" s="69"/>
      <c r="R332" s="69"/>
      <c r="S332" s="69"/>
      <c r="T332" s="69"/>
      <c r="U332" s="70"/>
      <c r="V332" s="70"/>
      <c r="W332" s="71"/>
      <c r="X332" s="43"/>
      <c r="Y332" s="43"/>
      <c r="Z332" s="41" t="s">
        <v>904</v>
      </c>
      <c r="AA332" s="41" t="s">
        <v>904</v>
      </c>
      <c r="AB332" s="41"/>
      <c r="AC332" s="69"/>
      <c r="AD332" s="44"/>
    </row>
    <row r="333" spans="3:28" ht="20.100000000000001" customHeight="1" x14ac:dyDescent="0.25">
      <c r="C333" s="57" t="s">
        <v>904</v>
      </c>
      <c r="D333" s="57" t="s">
        <v>904</v>
      </c>
      <c r="E333" s="41" t="s">
        <v>904</v>
      </c>
      <c r="F333" s="41" t="s">
        <v>904</v>
      </c>
      <c r="G333" s="41" t="s">
        <v>904</v>
      </c>
      <c r="H333" s="41" t="s">
        <v>904</v>
      </c>
      <c r="I333" s="41" t="s">
        <v>904</v>
      </c>
      <c r="J333" s="41" t="s">
        <v>904</v>
      </c>
      <c r="K333" s="41" t="s">
        <v>904</v>
      </c>
      <c r="L333" s="41" t="s">
        <v>904</v>
      </c>
      <c r="M333" s="60"/>
      <c r="N333" s="41" t="s">
        <v>904</v>
      </c>
      <c r="O333" s="60"/>
      <c r="P333" s="41" t="s">
        <v>904</v>
      </c>
      <c r="Q333" s="69"/>
      <c r="R333" s="69"/>
      <c r="S333" s="69"/>
      <c r="T333" s="69"/>
      <c r="U333" s="70"/>
      <c r="V333" s="70"/>
      <c r="W333" s="71"/>
      <c r="X333" s="43"/>
      <c r="Y333" s="43"/>
      <c r="Z333" s="41" t="s">
        <v>904</v>
      </c>
      <c r="AA333" s="41" t="s">
        <v>904</v>
      </c>
      <c r="AB333" s="41"/>
      <c r="AC333" s="69"/>
      <c r="AD333" s="44"/>
    </row>
    <row r="334" spans="3:28" ht="20.100000000000001" customHeight="1" x14ac:dyDescent="0.25">
      <c r="C334" s="57" t="s">
        <v>904</v>
      </c>
      <c r="D334" s="57" t="s">
        <v>904</v>
      </c>
      <c r="E334" s="41" t="s">
        <v>904</v>
      </c>
      <c r="F334" s="41" t="s">
        <v>904</v>
      </c>
      <c r="G334" s="41" t="s">
        <v>904</v>
      </c>
      <c r="H334" s="41" t="s">
        <v>904</v>
      </c>
      <c r="I334" s="41" t="s">
        <v>904</v>
      </c>
      <c r="J334" s="41" t="s">
        <v>904</v>
      </c>
      <c r="K334" s="41" t="s">
        <v>904</v>
      </c>
      <c r="L334" s="41" t="s">
        <v>904</v>
      </c>
      <c r="M334" s="60"/>
      <c r="N334" s="41" t="s">
        <v>904</v>
      </c>
      <c r="O334" s="60"/>
      <c r="P334" s="41" t="s">
        <v>904</v>
      </c>
      <c r="Q334" s="69"/>
      <c r="R334" s="69"/>
      <c r="S334" s="69"/>
      <c r="T334" s="69"/>
      <c r="U334" s="70"/>
      <c r="V334" s="70"/>
      <c r="W334" s="71"/>
      <c r="X334" s="43"/>
      <c r="Y334" s="43"/>
      <c r="Z334" s="41" t="s">
        <v>904</v>
      </c>
      <c r="AA334" s="41" t="s">
        <v>904</v>
      </c>
      <c r="AB334" s="41"/>
      <c r="AC334" s="69"/>
      <c r="AD334" s="44"/>
    </row>
    <row r="335" spans="3:28" ht="20.100000000000001" customHeight="1" x14ac:dyDescent="0.25">
      <c r="C335" s="57" t="s">
        <v>904</v>
      </c>
      <c r="D335" s="57" t="s">
        <v>904</v>
      </c>
      <c r="E335" s="41" t="s">
        <v>904</v>
      </c>
      <c r="F335" s="41" t="s">
        <v>904</v>
      </c>
      <c r="G335" s="41" t="s">
        <v>904</v>
      </c>
      <c r="H335" s="41" t="s">
        <v>904</v>
      </c>
      <c r="I335" s="41" t="s">
        <v>904</v>
      </c>
      <c r="J335" s="41" t="s">
        <v>904</v>
      </c>
      <c r="K335" s="41" t="s">
        <v>904</v>
      </c>
      <c r="L335" s="41" t="s">
        <v>904</v>
      </c>
      <c r="M335" s="60"/>
      <c r="N335" s="41" t="s">
        <v>904</v>
      </c>
      <c r="O335" s="60"/>
      <c r="P335" s="41" t="s">
        <v>904</v>
      </c>
      <c r="Q335" s="69"/>
      <c r="R335" s="69"/>
      <c r="S335" s="69"/>
      <c r="T335" s="69"/>
      <c r="U335" s="70"/>
      <c r="V335" s="70"/>
      <c r="W335" s="71"/>
      <c r="X335" s="43"/>
      <c r="Y335" s="43"/>
      <c r="Z335" s="41" t="s">
        <v>904</v>
      </c>
      <c r="AA335" s="41" t="s">
        <v>904</v>
      </c>
      <c r="AB335" s="41"/>
      <c r="AC335" s="69"/>
      <c r="AD335" s="44"/>
    </row>
    <row r="336" spans="3:28" ht="20.100000000000001" customHeight="1" x14ac:dyDescent="0.25">
      <c r="C336" s="57" t="s">
        <v>904</v>
      </c>
      <c r="D336" s="57" t="s">
        <v>904</v>
      </c>
      <c r="E336" s="41" t="s">
        <v>904</v>
      </c>
      <c r="F336" s="41" t="s">
        <v>904</v>
      </c>
      <c r="G336" s="41" t="s">
        <v>904</v>
      </c>
      <c r="H336" s="41" t="s">
        <v>904</v>
      </c>
      <c r="I336" s="41" t="s">
        <v>904</v>
      </c>
      <c r="J336" s="41" t="s">
        <v>904</v>
      </c>
      <c r="K336" s="41" t="s">
        <v>904</v>
      </c>
      <c r="L336" s="41" t="s">
        <v>904</v>
      </c>
      <c r="M336" s="60"/>
      <c r="N336" s="41" t="s">
        <v>904</v>
      </c>
      <c r="O336" s="60"/>
      <c r="P336" s="41" t="s">
        <v>904</v>
      </c>
      <c r="Q336" s="69"/>
      <c r="R336" s="69"/>
      <c r="S336" s="69"/>
      <c r="T336" s="69"/>
      <c r="U336" s="70"/>
      <c r="V336" s="70"/>
      <c r="W336" s="71"/>
      <c r="X336" s="43"/>
      <c r="Y336" s="43"/>
      <c r="Z336" s="41" t="s">
        <v>904</v>
      </c>
      <c r="AA336" s="41" t="s">
        <v>904</v>
      </c>
      <c r="AB336" s="41"/>
      <c r="AC336" s="69"/>
      <c r="AD336" s="44"/>
    </row>
    <row r="337" spans="3:28" ht="20.100000000000001" customHeight="1" x14ac:dyDescent="0.25">
      <c r="C337" s="57" t="s">
        <v>904</v>
      </c>
      <c r="D337" s="57" t="s">
        <v>904</v>
      </c>
      <c r="E337" s="41" t="s">
        <v>904</v>
      </c>
      <c r="F337" s="41" t="s">
        <v>904</v>
      </c>
      <c r="G337" s="41" t="s">
        <v>904</v>
      </c>
      <c r="H337" s="41" t="s">
        <v>904</v>
      </c>
      <c r="I337" s="41" t="s">
        <v>904</v>
      </c>
      <c r="J337" s="41" t="s">
        <v>904</v>
      </c>
      <c r="K337" s="41" t="s">
        <v>904</v>
      </c>
      <c r="L337" s="41" t="s">
        <v>904</v>
      </c>
      <c r="M337" s="60"/>
      <c r="N337" s="41" t="s">
        <v>904</v>
      </c>
      <c r="O337" s="60"/>
      <c r="P337" s="41" t="s">
        <v>904</v>
      </c>
      <c r="Q337" s="69"/>
      <c r="R337" s="69"/>
      <c r="S337" s="69"/>
      <c r="T337" s="69"/>
      <c r="U337" s="70"/>
      <c r="V337" s="70"/>
      <c r="W337" s="71"/>
      <c r="X337" s="43"/>
      <c r="Y337" s="43"/>
      <c r="Z337" s="41" t="s">
        <v>904</v>
      </c>
      <c r="AA337" s="41" t="s">
        <v>904</v>
      </c>
      <c r="AB337" s="41"/>
      <c r="AC337" s="69"/>
      <c r="AD337" s="44"/>
    </row>
    <row r="338" spans="3:28" ht="20.100000000000001" customHeight="1" x14ac:dyDescent="0.25">
      <c r="C338" s="57" t="s">
        <v>904</v>
      </c>
      <c r="D338" s="57" t="s">
        <v>904</v>
      </c>
      <c r="E338" s="41" t="s">
        <v>904</v>
      </c>
      <c r="F338" s="41" t="s">
        <v>904</v>
      </c>
      <c r="G338" s="41" t="s">
        <v>904</v>
      </c>
      <c r="H338" s="41" t="s">
        <v>904</v>
      </c>
      <c r="I338" s="41" t="s">
        <v>904</v>
      </c>
      <c r="J338" s="41" t="s">
        <v>904</v>
      </c>
      <c r="K338" s="41" t="s">
        <v>904</v>
      </c>
      <c r="L338" s="41" t="s">
        <v>904</v>
      </c>
      <c r="M338" s="60"/>
      <c r="N338" s="41" t="s">
        <v>904</v>
      </c>
      <c r="O338" s="60"/>
      <c r="P338" s="41" t="s">
        <v>904</v>
      </c>
      <c r="Q338" s="69"/>
      <c r="R338" s="69"/>
      <c r="S338" s="69"/>
      <c r="T338" s="69"/>
      <c r="U338" s="70"/>
      <c r="V338" s="70"/>
      <c r="W338" s="71"/>
      <c r="X338" s="43"/>
      <c r="Y338" s="43"/>
      <c r="Z338" s="41" t="s">
        <v>904</v>
      </c>
      <c r="AA338" s="41" t="s">
        <v>904</v>
      </c>
      <c r="AB338" s="41"/>
      <c r="AC338" s="69"/>
      <c r="AD338" s="44"/>
    </row>
    <row r="339" spans="3:28" ht="20.100000000000001" customHeight="1" x14ac:dyDescent="0.25">
      <c r="C339" s="57" t="s">
        <v>904</v>
      </c>
      <c r="D339" s="57" t="s">
        <v>904</v>
      </c>
      <c r="E339" s="41" t="s">
        <v>904</v>
      </c>
      <c r="F339" s="41" t="s">
        <v>904</v>
      </c>
      <c r="G339" s="41" t="s">
        <v>904</v>
      </c>
      <c r="H339" s="41" t="s">
        <v>904</v>
      </c>
      <c r="I339" s="41" t="s">
        <v>904</v>
      </c>
      <c r="J339" s="41" t="s">
        <v>904</v>
      </c>
      <c r="K339" s="41" t="s">
        <v>904</v>
      </c>
      <c r="L339" s="41" t="s">
        <v>904</v>
      </c>
      <c r="M339" s="60"/>
      <c r="N339" s="41" t="s">
        <v>904</v>
      </c>
      <c r="O339" s="60"/>
      <c r="P339" s="41" t="s">
        <v>904</v>
      </c>
      <c r="Q339" s="69"/>
      <c r="R339" s="69"/>
      <c r="S339" s="69"/>
      <c r="T339" s="69"/>
      <c r="U339" s="70"/>
      <c r="V339" s="70"/>
      <c r="W339" s="71"/>
      <c r="X339" s="43"/>
      <c r="Y339" s="43"/>
      <c r="Z339" s="41" t="s">
        <v>904</v>
      </c>
      <c r="AA339" s="41" t="s">
        <v>904</v>
      </c>
      <c r="AB339" s="41"/>
      <c r="AC339" s="69"/>
      <c r="AD339" s="44"/>
    </row>
    <row r="340" spans="3:28" ht="20.100000000000001" customHeight="1" x14ac:dyDescent="0.25">
      <c r="C340" s="57" t="s">
        <v>904</v>
      </c>
      <c r="D340" s="57" t="s">
        <v>904</v>
      </c>
      <c r="E340" s="41" t="s">
        <v>904</v>
      </c>
      <c r="F340" s="41" t="s">
        <v>904</v>
      </c>
      <c r="G340" s="41" t="s">
        <v>904</v>
      </c>
      <c r="H340" s="41" t="s">
        <v>904</v>
      </c>
      <c r="I340" s="41" t="s">
        <v>904</v>
      </c>
      <c r="J340" s="41" t="s">
        <v>904</v>
      </c>
      <c r="K340" s="41" t="s">
        <v>904</v>
      </c>
      <c r="L340" s="41" t="s">
        <v>904</v>
      </c>
      <c r="M340" s="60"/>
      <c r="N340" s="41" t="s">
        <v>904</v>
      </c>
      <c r="O340" s="60"/>
      <c r="P340" s="41" t="s">
        <v>904</v>
      </c>
      <c r="Q340" s="69"/>
      <c r="R340" s="69"/>
      <c r="S340" s="69"/>
      <c r="T340" s="69"/>
      <c r="U340" s="70"/>
      <c r="V340" s="70"/>
      <c r="W340" s="71"/>
      <c r="X340" s="43"/>
      <c r="Y340" s="43"/>
      <c r="Z340" s="41" t="s">
        <v>904</v>
      </c>
      <c r="AA340" s="41" t="s">
        <v>904</v>
      </c>
      <c r="AB340" s="41"/>
      <c r="AC340" s="69"/>
      <c r="AD340" s="44"/>
    </row>
    <row r="341" spans="3:28" ht="20.100000000000001" customHeight="1" x14ac:dyDescent="0.25">
      <c r="C341" s="57" t="s">
        <v>904</v>
      </c>
      <c r="D341" s="57" t="s">
        <v>904</v>
      </c>
      <c r="E341" s="41" t="s">
        <v>904</v>
      </c>
      <c r="F341" s="41" t="s">
        <v>904</v>
      </c>
      <c r="G341" s="41" t="s">
        <v>904</v>
      </c>
      <c r="H341" s="41" t="s">
        <v>904</v>
      </c>
      <c r="I341" s="41" t="s">
        <v>904</v>
      </c>
      <c r="J341" s="41" t="s">
        <v>904</v>
      </c>
      <c r="K341" s="41" t="s">
        <v>904</v>
      </c>
      <c r="L341" s="41" t="s">
        <v>904</v>
      </c>
      <c r="M341" s="60"/>
      <c r="N341" s="41" t="s">
        <v>904</v>
      </c>
      <c r="O341" s="60"/>
      <c r="P341" s="41" t="s">
        <v>904</v>
      </c>
      <c r="Q341" s="69"/>
      <c r="R341" s="69"/>
      <c r="S341" s="69"/>
      <c r="T341" s="69"/>
      <c r="U341" s="70"/>
      <c r="V341" s="70"/>
      <c r="W341" s="71"/>
      <c r="X341" s="43"/>
      <c r="Y341" s="43"/>
      <c r="Z341" s="41" t="s">
        <v>904</v>
      </c>
      <c r="AA341" s="41" t="s">
        <v>904</v>
      </c>
      <c r="AB341" s="41"/>
      <c r="AC341" s="69"/>
      <c r="AD341" s="44"/>
    </row>
    <row r="342" spans="3:28" ht="20.100000000000001" customHeight="1" x14ac:dyDescent="0.25">
      <c r="C342" s="57" t="s">
        <v>904</v>
      </c>
      <c r="D342" s="57" t="s">
        <v>904</v>
      </c>
      <c r="E342" s="41" t="s">
        <v>904</v>
      </c>
      <c r="F342" s="41" t="s">
        <v>904</v>
      </c>
      <c r="G342" s="41" t="s">
        <v>904</v>
      </c>
      <c r="H342" s="41" t="s">
        <v>904</v>
      </c>
      <c r="I342" s="41" t="s">
        <v>904</v>
      </c>
      <c r="J342" s="41" t="s">
        <v>904</v>
      </c>
      <c r="K342" s="41" t="s">
        <v>904</v>
      </c>
      <c r="L342" s="41" t="s">
        <v>904</v>
      </c>
      <c r="M342" s="60"/>
      <c r="N342" s="41" t="s">
        <v>904</v>
      </c>
      <c r="O342" s="60"/>
      <c r="P342" s="41" t="s">
        <v>904</v>
      </c>
      <c r="Q342" s="69"/>
      <c r="R342" s="69"/>
      <c r="S342" s="69"/>
      <c r="T342" s="69"/>
      <c r="U342" s="70"/>
      <c r="V342" s="70"/>
      <c r="W342" s="71"/>
      <c r="X342" s="43"/>
      <c r="Y342" s="43"/>
      <c r="Z342" s="41" t="s">
        <v>904</v>
      </c>
      <c r="AA342" s="41" t="s">
        <v>904</v>
      </c>
      <c r="AB342" s="41"/>
      <c r="AC342" s="69"/>
      <c r="AD342" s="44"/>
    </row>
    <row r="343" spans="3:28" ht="20.100000000000001" customHeight="1" x14ac:dyDescent="0.25">
      <c r="C343" s="57" t="s">
        <v>904</v>
      </c>
      <c r="D343" s="57" t="s">
        <v>904</v>
      </c>
      <c r="E343" s="41" t="s">
        <v>904</v>
      </c>
      <c r="F343" s="41" t="s">
        <v>904</v>
      </c>
      <c r="G343" s="41" t="s">
        <v>904</v>
      </c>
      <c r="H343" s="41" t="s">
        <v>904</v>
      </c>
      <c r="I343" s="41" t="s">
        <v>904</v>
      </c>
      <c r="J343" s="41" t="s">
        <v>904</v>
      </c>
      <c r="K343" s="41" t="s">
        <v>904</v>
      </c>
      <c r="L343" s="41" t="s">
        <v>904</v>
      </c>
      <c r="M343" s="60"/>
      <c r="N343" s="41" t="s">
        <v>904</v>
      </c>
      <c r="O343" s="60"/>
      <c r="P343" s="41" t="s">
        <v>904</v>
      </c>
      <c r="Q343" s="69"/>
      <c r="R343" s="69"/>
      <c r="S343" s="69"/>
      <c r="T343" s="69"/>
      <c r="U343" s="70"/>
      <c r="V343" s="70"/>
      <c r="W343" s="71"/>
      <c r="X343" s="43"/>
      <c r="Y343" s="43"/>
      <c r="Z343" s="41" t="s">
        <v>904</v>
      </c>
      <c r="AA343" s="41" t="s">
        <v>904</v>
      </c>
      <c r="AB343" s="41"/>
      <c r="AC343" s="69"/>
      <c r="AD343" s="44"/>
    </row>
    <row r="344" spans="3:28" ht="20.100000000000001" customHeight="1" x14ac:dyDescent="0.25">
      <c r="C344" s="57" t="s">
        <v>904</v>
      </c>
      <c r="D344" s="57" t="s">
        <v>904</v>
      </c>
      <c r="E344" s="41" t="s">
        <v>904</v>
      </c>
      <c r="F344" s="41" t="s">
        <v>904</v>
      </c>
      <c r="G344" s="41" t="s">
        <v>904</v>
      </c>
      <c r="H344" s="41" t="s">
        <v>904</v>
      </c>
      <c r="I344" s="41" t="s">
        <v>904</v>
      </c>
      <c r="J344" s="41" t="s">
        <v>904</v>
      </c>
      <c r="K344" s="41" t="s">
        <v>904</v>
      </c>
      <c r="L344" s="41" t="s">
        <v>904</v>
      </c>
      <c r="M344" s="60"/>
      <c r="N344" s="41" t="s">
        <v>904</v>
      </c>
      <c r="O344" s="60"/>
      <c r="P344" s="41" t="s">
        <v>904</v>
      </c>
      <c r="Q344" s="69"/>
      <c r="R344" s="69"/>
      <c r="S344" s="69"/>
      <c r="T344" s="69"/>
      <c r="U344" s="70"/>
      <c r="V344" s="70"/>
      <c r="W344" s="71"/>
      <c r="X344" s="43"/>
      <c r="Y344" s="43"/>
      <c r="Z344" s="41" t="s">
        <v>904</v>
      </c>
      <c r="AA344" s="41" t="s">
        <v>904</v>
      </c>
      <c r="AB344" s="41"/>
      <c r="AC344" s="69"/>
      <c r="AD344" s="44"/>
    </row>
    <row r="345" spans="3:28" ht="20.100000000000001" customHeight="1" x14ac:dyDescent="0.25">
      <c r="C345" s="57" t="s">
        <v>904</v>
      </c>
      <c r="D345" s="57" t="s">
        <v>904</v>
      </c>
      <c r="E345" s="41" t="s">
        <v>904</v>
      </c>
      <c r="F345" s="41" t="s">
        <v>904</v>
      </c>
      <c r="G345" s="41" t="s">
        <v>904</v>
      </c>
      <c r="H345" s="41" t="s">
        <v>904</v>
      </c>
      <c r="I345" s="41" t="s">
        <v>904</v>
      </c>
      <c r="J345" s="41" t="s">
        <v>904</v>
      </c>
      <c r="K345" s="41" t="s">
        <v>904</v>
      </c>
      <c r="L345" s="41" t="s">
        <v>904</v>
      </c>
      <c r="M345" s="60"/>
      <c r="N345" s="41" t="s">
        <v>904</v>
      </c>
      <c r="O345" s="60"/>
      <c r="P345" s="41" t="s">
        <v>904</v>
      </c>
      <c r="Q345" s="69"/>
      <c r="R345" s="69"/>
      <c r="S345" s="69"/>
      <c r="T345" s="69"/>
      <c r="U345" s="70"/>
      <c r="V345" s="70"/>
      <c r="W345" s="71"/>
      <c r="X345" s="43"/>
      <c r="Y345" s="43"/>
      <c r="Z345" s="41" t="s">
        <v>904</v>
      </c>
      <c r="AA345" s="41" t="s">
        <v>904</v>
      </c>
      <c r="AB345" s="41"/>
      <c r="AC345" s="69"/>
      <c r="AD345" s="44"/>
    </row>
    <row r="346" spans="3:28" ht="20.100000000000001" customHeight="1" x14ac:dyDescent="0.25">
      <c r="C346" s="57" t="s">
        <v>904</v>
      </c>
      <c r="D346" s="57" t="s">
        <v>904</v>
      </c>
      <c r="E346" s="41" t="s">
        <v>904</v>
      </c>
      <c r="F346" s="41" t="s">
        <v>904</v>
      </c>
      <c r="G346" s="41" t="s">
        <v>904</v>
      </c>
      <c r="H346" s="41" t="s">
        <v>904</v>
      </c>
      <c r="I346" s="41" t="s">
        <v>904</v>
      </c>
      <c r="J346" s="41" t="s">
        <v>904</v>
      </c>
      <c r="K346" s="41" t="s">
        <v>904</v>
      </c>
      <c r="L346" s="41" t="s">
        <v>904</v>
      </c>
      <c r="M346" s="60"/>
      <c r="N346" s="41" t="s">
        <v>904</v>
      </c>
      <c r="O346" s="60"/>
      <c r="P346" s="41" t="s">
        <v>904</v>
      </c>
      <c r="Q346" s="69"/>
      <c r="R346" s="69"/>
      <c r="S346" s="69"/>
      <c r="T346" s="69"/>
      <c r="U346" s="70"/>
      <c r="V346" s="70"/>
      <c r="W346" s="71"/>
      <c r="X346" s="43"/>
      <c r="Y346" s="43"/>
      <c r="Z346" s="41" t="s">
        <v>904</v>
      </c>
      <c r="AA346" s="41" t="s">
        <v>904</v>
      </c>
      <c r="AB346" s="41"/>
      <c r="AC346" s="69"/>
      <c r="AD346" s="44"/>
    </row>
    <row r="347" spans="3:28" ht="20.100000000000001" customHeight="1" x14ac:dyDescent="0.25">
      <c r="C347" s="57" t="s">
        <v>904</v>
      </c>
      <c r="D347" s="57" t="s">
        <v>904</v>
      </c>
      <c r="E347" s="41" t="s">
        <v>904</v>
      </c>
      <c r="F347" s="41" t="s">
        <v>904</v>
      </c>
      <c r="G347" s="41" t="s">
        <v>904</v>
      </c>
      <c r="H347" s="41" t="s">
        <v>904</v>
      </c>
      <c r="I347" s="41" t="s">
        <v>904</v>
      </c>
      <c r="J347" s="41" t="s">
        <v>904</v>
      </c>
      <c r="K347" s="41" t="s">
        <v>904</v>
      </c>
      <c r="L347" s="41" t="s">
        <v>904</v>
      </c>
      <c r="M347" s="60"/>
      <c r="N347" s="41" t="s">
        <v>904</v>
      </c>
      <c r="O347" s="60"/>
      <c r="P347" s="41" t="s">
        <v>904</v>
      </c>
      <c r="Q347" s="69"/>
      <c r="R347" s="69"/>
      <c r="S347" s="69"/>
      <c r="T347" s="69"/>
      <c r="U347" s="70"/>
      <c r="V347" s="70"/>
      <c r="W347" s="71"/>
      <c r="X347" s="43"/>
      <c r="Y347" s="43"/>
      <c r="Z347" s="41" t="s">
        <v>904</v>
      </c>
      <c r="AA347" s="41" t="s">
        <v>904</v>
      </c>
      <c r="AB347" s="41"/>
      <c r="AC347" s="69"/>
      <c r="AD347" s="44"/>
    </row>
    <row r="348" spans="3:28" ht="20.100000000000001" customHeight="1" x14ac:dyDescent="0.25">
      <c r="C348" s="57" t="s">
        <v>904</v>
      </c>
      <c r="D348" s="57" t="s">
        <v>904</v>
      </c>
      <c r="E348" s="41" t="s">
        <v>904</v>
      </c>
      <c r="F348" s="41" t="s">
        <v>904</v>
      </c>
      <c r="G348" s="41" t="s">
        <v>904</v>
      </c>
      <c r="H348" s="41" t="s">
        <v>904</v>
      </c>
      <c r="I348" s="41" t="s">
        <v>904</v>
      </c>
      <c r="J348" s="41" t="s">
        <v>904</v>
      </c>
      <c r="K348" s="41" t="s">
        <v>904</v>
      </c>
      <c r="L348" s="41" t="s">
        <v>904</v>
      </c>
      <c r="M348" s="60"/>
      <c r="N348" s="41" t="s">
        <v>904</v>
      </c>
      <c r="O348" s="60"/>
      <c r="P348" s="41" t="s">
        <v>904</v>
      </c>
      <c r="Q348" s="69"/>
      <c r="R348" s="69"/>
      <c r="S348" s="69"/>
      <c r="T348" s="69"/>
      <c r="U348" s="70"/>
      <c r="V348" s="70"/>
      <c r="W348" s="71"/>
      <c r="X348" s="43"/>
      <c r="Y348" s="43"/>
      <c r="Z348" s="41" t="s">
        <v>904</v>
      </c>
      <c r="AA348" s="41" t="s">
        <v>904</v>
      </c>
      <c r="AB348" s="41"/>
      <c r="AC348" s="69"/>
      <c r="AD348" s="44"/>
    </row>
    <row r="349" spans="3:28" ht="20.100000000000001" customHeight="1" x14ac:dyDescent="0.25">
      <c r="C349" s="57" t="s">
        <v>904</v>
      </c>
      <c r="D349" s="57" t="s">
        <v>904</v>
      </c>
      <c r="E349" s="41" t="s">
        <v>904</v>
      </c>
      <c r="F349" s="41" t="s">
        <v>904</v>
      </c>
      <c r="G349" s="41" t="s">
        <v>904</v>
      </c>
      <c r="H349" s="41" t="s">
        <v>904</v>
      </c>
      <c r="I349" s="41" t="s">
        <v>904</v>
      </c>
      <c r="J349" s="41" t="s">
        <v>904</v>
      </c>
      <c r="K349" s="41" t="s">
        <v>904</v>
      </c>
      <c r="L349" s="41" t="s">
        <v>904</v>
      </c>
      <c r="M349" s="60"/>
      <c r="N349" s="41" t="s">
        <v>904</v>
      </c>
      <c r="O349" s="60"/>
      <c r="P349" s="41" t="s">
        <v>904</v>
      </c>
      <c r="Q349" s="69"/>
      <c r="R349" s="69"/>
      <c r="S349" s="69"/>
      <c r="T349" s="69"/>
      <c r="U349" s="70"/>
      <c r="V349" s="70"/>
      <c r="W349" s="71"/>
      <c r="X349" s="43"/>
      <c r="Y349" s="43"/>
      <c r="Z349" s="41" t="s">
        <v>904</v>
      </c>
      <c r="AA349" s="41" t="s">
        <v>904</v>
      </c>
      <c r="AB349" s="41"/>
      <c r="AC349" s="69"/>
      <c r="AD349" s="44"/>
    </row>
    <row r="350" spans="3:28" ht="20.100000000000001" customHeight="1" x14ac:dyDescent="0.25">
      <c r="C350" s="57" t="s">
        <v>904</v>
      </c>
      <c r="D350" s="57" t="s">
        <v>904</v>
      </c>
      <c r="E350" s="41" t="s">
        <v>904</v>
      </c>
      <c r="F350" s="41" t="s">
        <v>904</v>
      </c>
      <c r="G350" s="41" t="s">
        <v>904</v>
      </c>
      <c r="H350" s="41" t="s">
        <v>904</v>
      </c>
      <c r="I350" s="41" t="s">
        <v>904</v>
      </c>
      <c r="J350" s="41" t="s">
        <v>904</v>
      </c>
      <c r="K350" s="41" t="s">
        <v>904</v>
      </c>
      <c r="L350" s="41" t="s">
        <v>904</v>
      </c>
      <c r="M350" s="60"/>
      <c r="N350" s="41" t="s">
        <v>904</v>
      </c>
      <c r="O350" s="60"/>
      <c r="P350" s="41" t="s">
        <v>904</v>
      </c>
      <c r="Q350" s="69"/>
      <c r="R350" s="69"/>
      <c r="S350" s="69"/>
      <c r="T350" s="69"/>
      <c r="U350" s="70"/>
      <c r="V350" s="70"/>
      <c r="W350" s="71"/>
      <c r="X350" s="43"/>
      <c r="Y350" s="43"/>
      <c r="Z350" s="41" t="s">
        <v>904</v>
      </c>
      <c r="AA350" s="41" t="s">
        <v>904</v>
      </c>
      <c r="AB350" s="41"/>
      <c r="AC350" s="69"/>
      <c r="AD350" s="44"/>
    </row>
    <row r="351" spans="3:28" ht="20.100000000000001" customHeight="1" x14ac:dyDescent="0.25">
      <c r="C351" s="57" t="s">
        <v>904</v>
      </c>
      <c r="D351" s="57" t="s">
        <v>904</v>
      </c>
      <c r="E351" s="41" t="s">
        <v>904</v>
      </c>
      <c r="F351" s="41" t="s">
        <v>904</v>
      </c>
      <c r="G351" s="41" t="s">
        <v>904</v>
      </c>
      <c r="H351" s="41" t="s">
        <v>904</v>
      </c>
      <c r="I351" s="41" t="s">
        <v>904</v>
      </c>
      <c r="J351" s="41" t="s">
        <v>904</v>
      </c>
      <c r="K351" s="41" t="s">
        <v>904</v>
      </c>
      <c r="L351" s="41" t="s">
        <v>904</v>
      </c>
      <c r="M351" s="60"/>
      <c r="N351" s="41" t="s">
        <v>904</v>
      </c>
      <c r="O351" s="60"/>
      <c r="P351" s="41" t="s">
        <v>904</v>
      </c>
      <c r="Q351" s="69"/>
      <c r="R351" s="69"/>
      <c r="S351" s="69"/>
      <c r="T351" s="69"/>
      <c r="U351" s="70"/>
      <c r="V351" s="70"/>
      <c r="W351" s="71"/>
      <c r="X351" s="43"/>
      <c r="Y351" s="43"/>
      <c r="Z351" s="41" t="s">
        <v>904</v>
      </c>
      <c r="AA351" s="41" t="s">
        <v>904</v>
      </c>
      <c r="AB351" s="41"/>
      <c r="AC351" s="69"/>
      <c r="AD351" s="44"/>
    </row>
    <row r="352" spans="3:28" ht="20.100000000000001" customHeight="1" x14ac:dyDescent="0.25">
      <c r="C352" s="57" t="s">
        <v>904</v>
      </c>
      <c r="D352" s="57" t="s">
        <v>904</v>
      </c>
      <c r="E352" s="41" t="s">
        <v>904</v>
      </c>
      <c r="F352" s="41" t="s">
        <v>904</v>
      </c>
      <c r="G352" s="41" t="s">
        <v>904</v>
      </c>
      <c r="H352" s="41" t="s">
        <v>904</v>
      </c>
      <c r="I352" s="41" t="s">
        <v>904</v>
      </c>
      <c r="J352" s="41" t="s">
        <v>904</v>
      </c>
      <c r="K352" s="41" t="s">
        <v>904</v>
      </c>
      <c r="L352" s="41" t="s">
        <v>904</v>
      </c>
      <c r="M352" s="60"/>
      <c r="N352" s="41" t="s">
        <v>904</v>
      </c>
      <c r="O352" s="60"/>
      <c r="P352" s="41" t="s">
        <v>904</v>
      </c>
      <c r="Q352" s="69"/>
      <c r="R352" s="69"/>
      <c r="S352" s="69"/>
      <c r="T352" s="69"/>
      <c r="U352" s="70"/>
      <c r="V352" s="70"/>
      <c r="W352" s="71"/>
      <c r="X352" s="43"/>
      <c r="Y352" s="43"/>
      <c r="Z352" s="41" t="s">
        <v>904</v>
      </c>
      <c r="AA352" s="41" t="s">
        <v>904</v>
      </c>
      <c r="AB352" s="41"/>
      <c r="AC352" s="69"/>
      <c r="AD352" s="44"/>
    </row>
    <row r="353" spans="3:28" ht="20.100000000000001" customHeight="1" x14ac:dyDescent="0.25">
      <c r="C353" s="57" t="s">
        <v>904</v>
      </c>
      <c r="D353" s="57" t="s">
        <v>904</v>
      </c>
      <c r="E353" s="41" t="s">
        <v>904</v>
      </c>
      <c r="F353" s="41" t="s">
        <v>904</v>
      </c>
      <c r="G353" s="41" t="s">
        <v>904</v>
      </c>
      <c r="H353" s="41" t="s">
        <v>904</v>
      </c>
      <c r="I353" s="41" t="s">
        <v>904</v>
      </c>
      <c r="J353" s="41" t="s">
        <v>904</v>
      </c>
      <c r="K353" s="41" t="s">
        <v>904</v>
      </c>
      <c r="L353" s="41" t="s">
        <v>904</v>
      </c>
      <c r="M353" s="60"/>
      <c r="N353" s="41" t="s">
        <v>904</v>
      </c>
      <c r="O353" s="60"/>
      <c r="P353" s="41" t="s">
        <v>904</v>
      </c>
      <c r="Q353" s="69"/>
      <c r="R353" s="69"/>
      <c r="S353" s="69"/>
      <c r="T353" s="69"/>
      <c r="U353" s="70"/>
      <c r="V353" s="70"/>
      <c r="W353" s="71"/>
      <c r="X353" s="43"/>
      <c r="Y353" s="43"/>
      <c r="Z353" s="41" t="s">
        <v>904</v>
      </c>
      <c r="AA353" s="41" t="s">
        <v>904</v>
      </c>
      <c r="AB353" s="41"/>
      <c r="AC353" s="69"/>
      <c r="AD353" s="44"/>
    </row>
    <row r="354" spans="3:28" ht="20.100000000000001" customHeight="1" x14ac:dyDescent="0.25">
      <c r="C354" s="57" t="s">
        <v>904</v>
      </c>
      <c r="D354" s="57" t="s">
        <v>904</v>
      </c>
      <c r="E354" s="41" t="s">
        <v>904</v>
      </c>
      <c r="F354" s="41" t="s">
        <v>904</v>
      </c>
      <c r="G354" s="41" t="s">
        <v>904</v>
      </c>
      <c r="H354" s="41" t="s">
        <v>904</v>
      </c>
      <c r="I354" s="41" t="s">
        <v>904</v>
      </c>
      <c r="J354" s="41" t="s">
        <v>904</v>
      </c>
      <c r="K354" s="41" t="s">
        <v>904</v>
      </c>
      <c r="L354" s="41" t="s">
        <v>904</v>
      </c>
      <c r="M354" s="60"/>
      <c r="N354" s="41" t="s">
        <v>904</v>
      </c>
      <c r="O354" s="60"/>
      <c r="P354" s="41" t="s">
        <v>904</v>
      </c>
      <c r="Q354" s="69"/>
      <c r="R354" s="69"/>
      <c r="S354" s="69"/>
      <c r="T354" s="69"/>
      <c r="U354" s="70"/>
      <c r="V354" s="70"/>
      <c r="W354" s="71"/>
      <c r="X354" s="43"/>
      <c r="Y354" s="43"/>
      <c r="Z354" s="41" t="s">
        <v>904</v>
      </c>
      <c r="AA354" s="41" t="s">
        <v>904</v>
      </c>
      <c r="AB354" s="41"/>
      <c r="AC354" s="69"/>
      <c r="AD354" s="44"/>
    </row>
    <row r="355" spans="3:28" ht="20.100000000000001" customHeight="1" x14ac:dyDescent="0.25">
      <c r="C355" s="57" t="s">
        <v>904</v>
      </c>
      <c r="D355" s="57" t="s">
        <v>904</v>
      </c>
      <c r="E355" s="41" t="s">
        <v>904</v>
      </c>
      <c r="F355" s="41" t="s">
        <v>904</v>
      </c>
      <c r="G355" s="41" t="s">
        <v>904</v>
      </c>
      <c r="H355" s="41" t="s">
        <v>904</v>
      </c>
      <c r="I355" s="41" t="s">
        <v>904</v>
      </c>
      <c r="J355" s="41" t="s">
        <v>904</v>
      </c>
      <c r="K355" s="41" t="s">
        <v>904</v>
      </c>
      <c r="L355" s="41" t="s">
        <v>904</v>
      </c>
      <c r="M355" s="60"/>
      <c r="N355" s="41" t="s">
        <v>904</v>
      </c>
      <c r="O355" s="60"/>
      <c r="P355" s="41" t="s">
        <v>904</v>
      </c>
      <c r="Q355" s="69"/>
      <c r="R355" s="69"/>
      <c r="S355" s="69"/>
      <c r="T355" s="69"/>
      <c r="U355" s="70"/>
      <c r="V355" s="70"/>
      <c r="W355" s="71"/>
      <c r="X355" s="43"/>
      <c r="Y355" s="43"/>
      <c r="Z355" s="41" t="s">
        <v>904</v>
      </c>
      <c r="AA355" s="41" t="s">
        <v>904</v>
      </c>
      <c r="AB355" s="41"/>
      <c r="AC355" s="69"/>
      <c r="AD355" s="44"/>
    </row>
    <row r="356" spans="3:28" ht="20.100000000000001" customHeight="1" x14ac:dyDescent="0.25">
      <c r="C356" s="57" t="s">
        <v>904</v>
      </c>
      <c r="D356" s="57" t="s">
        <v>904</v>
      </c>
      <c r="E356" s="41" t="s">
        <v>904</v>
      </c>
      <c r="F356" s="41" t="s">
        <v>904</v>
      </c>
      <c r="G356" s="41" t="s">
        <v>904</v>
      </c>
      <c r="H356" s="41" t="s">
        <v>904</v>
      </c>
      <c r="I356" s="41" t="s">
        <v>904</v>
      </c>
      <c r="J356" s="41" t="s">
        <v>904</v>
      </c>
      <c r="K356" s="41" t="s">
        <v>904</v>
      </c>
      <c r="L356" s="41" t="s">
        <v>904</v>
      </c>
      <c r="M356" s="60"/>
      <c r="N356" s="41" t="s">
        <v>904</v>
      </c>
      <c r="O356" s="60"/>
      <c r="P356" s="41" t="s">
        <v>904</v>
      </c>
      <c r="Q356" s="69"/>
      <c r="R356" s="69"/>
      <c r="S356" s="69"/>
      <c r="T356" s="69"/>
      <c r="U356" s="70"/>
      <c r="V356" s="70"/>
      <c r="W356" s="71"/>
      <c r="X356" s="43"/>
      <c r="Y356" s="43"/>
      <c r="Z356" s="41" t="s">
        <v>904</v>
      </c>
      <c r="AA356" s="41" t="s">
        <v>904</v>
      </c>
      <c r="AB356" s="41"/>
      <c r="AC356" s="69"/>
      <c r="AD356" s="44"/>
    </row>
    <row r="357" spans="3:28" ht="20.100000000000001" customHeight="1" x14ac:dyDescent="0.25">
      <c r="C357" s="57" t="s">
        <v>904</v>
      </c>
      <c r="D357" s="57" t="s">
        <v>904</v>
      </c>
      <c r="E357" s="41" t="s">
        <v>904</v>
      </c>
      <c r="F357" s="41" t="s">
        <v>904</v>
      </c>
      <c r="G357" s="41" t="s">
        <v>904</v>
      </c>
      <c r="H357" s="41" t="s">
        <v>904</v>
      </c>
      <c r="I357" s="41" t="s">
        <v>904</v>
      </c>
      <c r="J357" s="41" t="s">
        <v>904</v>
      </c>
      <c r="K357" s="41" t="s">
        <v>904</v>
      </c>
      <c r="L357" s="41" t="s">
        <v>904</v>
      </c>
      <c r="M357" s="60"/>
      <c r="N357" s="41" t="s">
        <v>904</v>
      </c>
      <c r="O357" s="60"/>
      <c r="P357" s="41" t="s">
        <v>904</v>
      </c>
      <c r="Q357" s="69"/>
      <c r="R357" s="69"/>
      <c r="S357" s="69"/>
      <c r="T357" s="69"/>
      <c r="U357" s="70"/>
      <c r="V357" s="70"/>
      <c r="W357" s="71"/>
      <c r="X357" s="43"/>
      <c r="Y357" s="43"/>
      <c r="Z357" s="41" t="s">
        <v>904</v>
      </c>
      <c r="AA357" s="41" t="s">
        <v>904</v>
      </c>
      <c r="AB357" s="41"/>
      <c r="AC357" s="69"/>
      <c r="AD357" s="44"/>
    </row>
    <row r="358" spans="3:28" ht="20.100000000000001" customHeight="1" x14ac:dyDescent="0.25">
      <c r="C358" s="57" t="s">
        <v>904</v>
      </c>
      <c r="D358" s="57" t="s">
        <v>904</v>
      </c>
      <c r="E358" s="41" t="s">
        <v>904</v>
      </c>
      <c r="F358" s="41" t="s">
        <v>904</v>
      </c>
      <c r="G358" s="41" t="s">
        <v>904</v>
      </c>
      <c r="H358" s="41" t="s">
        <v>904</v>
      </c>
      <c r="I358" s="41" t="s">
        <v>904</v>
      </c>
      <c r="J358" s="41" t="s">
        <v>904</v>
      </c>
      <c r="K358" s="41" t="s">
        <v>904</v>
      </c>
      <c r="L358" s="41" t="s">
        <v>904</v>
      </c>
      <c r="M358" s="60"/>
      <c r="N358" s="41" t="s">
        <v>904</v>
      </c>
      <c r="O358" s="60"/>
      <c r="P358" s="41" t="s">
        <v>904</v>
      </c>
      <c r="Q358" s="69"/>
      <c r="R358" s="69"/>
      <c r="S358" s="69"/>
      <c r="T358" s="69"/>
      <c r="U358" s="70"/>
      <c r="V358" s="70"/>
      <c r="W358" s="71"/>
      <c r="X358" s="43"/>
      <c r="Y358" s="43"/>
      <c r="Z358" s="41" t="s">
        <v>904</v>
      </c>
      <c r="AA358" s="41" t="s">
        <v>904</v>
      </c>
      <c r="AB358" s="41"/>
      <c r="AC358" s="69"/>
      <c r="AD358" s="44"/>
    </row>
    <row r="359" spans="3:28" ht="20.100000000000001" customHeight="1" x14ac:dyDescent="0.25">
      <c r="C359" s="57" t="s">
        <v>904</v>
      </c>
      <c r="D359" s="57" t="s">
        <v>904</v>
      </c>
      <c r="E359" s="41" t="s">
        <v>904</v>
      </c>
      <c r="F359" s="41" t="s">
        <v>904</v>
      </c>
      <c r="G359" s="41" t="s">
        <v>904</v>
      </c>
      <c r="H359" s="41" t="s">
        <v>904</v>
      </c>
      <c r="I359" s="41" t="s">
        <v>904</v>
      </c>
      <c r="J359" s="41" t="s">
        <v>904</v>
      </c>
      <c r="K359" s="41" t="s">
        <v>904</v>
      </c>
      <c r="L359" s="41" t="s">
        <v>904</v>
      </c>
      <c r="M359" s="60"/>
      <c r="N359" s="41" t="s">
        <v>904</v>
      </c>
      <c r="O359" s="60"/>
      <c r="P359" s="41" t="s">
        <v>904</v>
      </c>
      <c r="Q359" s="69"/>
      <c r="R359" s="69"/>
      <c r="S359" s="69"/>
      <c r="T359" s="69"/>
      <c r="U359" s="70"/>
      <c r="V359" s="70"/>
      <c r="W359" s="71"/>
      <c r="X359" s="43"/>
      <c r="Y359" s="43"/>
      <c r="Z359" s="41" t="s">
        <v>904</v>
      </c>
      <c r="AA359" s="41" t="s">
        <v>904</v>
      </c>
      <c r="AB359" s="41"/>
      <c r="AC359" s="69"/>
      <c r="AD359" s="44"/>
    </row>
    <row r="360" spans="3:28" ht="20.100000000000001" customHeight="1" x14ac:dyDescent="0.25">
      <c r="C360" s="57" t="s">
        <v>904</v>
      </c>
      <c r="D360" s="57" t="s">
        <v>904</v>
      </c>
      <c r="E360" s="41" t="s">
        <v>904</v>
      </c>
      <c r="F360" s="41" t="s">
        <v>904</v>
      </c>
      <c r="G360" s="41" t="s">
        <v>904</v>
      </c>
      <c r="H360" s="41" t="s">
        <v>904</v>
      </c>
      <c r="I360" s="41" t="s">
        <v>904</v>
      </c>
      <c r="J360" s="41" t="s">
        <v>904</v>
      </c>
      <c r="K360" s="41" t="s">
        <v>904</v>
      </c>
      <c r="L360" s="41" t="s">
        <v>904</v>
      </c>
      <c r="M360" s="60"/>
      <c r="N360" s="41" t="s">
        <v>904</v>
      </c>
      <c r="O360" s="60"/>
      <c r="P360" s="41" t="s">
        <v>904</v>
      </c>
      <c r="Q360" s="69"/>
      <c r="R360" s="69"/>
      <c r="S360" s="69"/>
      <c r="T360" s="69"/>
      <c r="U360" s="70"/>
      <c r="V360" s="70"/>
      <c r="W360" s="71"/>
      <c r="X360" s="43"/>
      <c r="Y360" s="43"/>
      <c r="Z360" s="41" t="s">
        <v>904</v>
      </c>
      <c r="AA360" s="41" t="s">
        <v>904</v>
      </c>
      <c r="AB360" s="41"/>
      <c r="AC360" s="69"/>
      <c r="AD360" s="44"/>
    </row>
    <row r="361" spans="3:28" ht="20.100000000000001" customHeight="1" x14ac:dyDescent="0.25">
      <c r="C361" s="57" t="s">
        <v>904</v>
      </c>
      <c r="D361" s="57" t="s">
        <v>904</v>
      </c>
      <c r="E361" s="41" t="s">
        <v>904</v>
      </c>
      <c r="F361" s="41" t="s">
        <v>904</v>
      </c>
      <c r="G361" s="41" t="s">
        <v>904</v>
      </c>
      <c r="H361" s="41" t="s">
        <v>904</v>
      </c>
      <c r="I361" s="41" t="s">
        <v>904</v>
      </c>
      <c r="J361" s="41" t="s">
        <v>904</v>
      </c>
      <c r="K361" s="41" t="s">
        <v>904</v>
      </c>
      <c r="L361" s="41" t="s">
        <v>904</v>
      </c>
      <c r="M361" s="60"/>
      <c r="N361" s="41" t="s">
        <v>904</v>
      </c>
      <c r="O361" s="60"/>
      <c r="P361" s="41" t="s">
        <v>904</v>
      </c>
      <c r="Q361" s="69"/>
      <c r="R361" s="69"/>
      <c r="S361" s="69"/>
      <c r="T361" s="69"/>
      <c r="U361" s="70"/>
      <c r="V361" s="70"/>
      <c r="W361" s="71"/>
      <c r="X361" s="43"/>
      <c r="Y361" s="43"/>
      <c r="Z361" s="41" t="s">
        <v>904</v>
      </c>
      <c r="AA361" s="41" t="s">
        <v>904</v>
      </c>
      <c r="AB361" s="41"/>
      <c r="AC361" s="69"/>
      <c r="AD361" s="44"/>
    </row>
    <row r="362" spans="3:28" ht="20.100000000000001" customHeight="1" x14ac:dyDescent="0.25">
      <c r="C362" s="57" t="s">
        <v>904</v>
      </c>
      <c r="D362" s="57" t="s">
        <v>904</v>
      </c>
      <c r="E362" s="41" t="s">
        <v>904</v>
      </c>
      <c r="F362" s="41" t="s">
        <v>904</v>
      </c>
      <c r="G362" s="41" t="s">
        <v>904</v>
      </c>
      <c r="H362" s="41" t="s">
        <v>904</v>
      </c>
      <c r="I362" s="41" t="s">
        <v>904</v>
      </c>
      <c r="J362" s="41" t="s">
        <v>904</v>
      </c>
      <c r="K362" s="41" t="s">
        <v>904</v>
      </c>
      <c r="L362" s="41" t="s">
        <v>904</v>
      </c>
      <c r="M362" s="60"/>
      <c r="N362" s="41" t="s">
        <v>904</v>
      </c>
      <c r="O362" s="60"/>
      <c r="P362" s="41" t="s">
        <v>904</v>
      </c>
      <c r="Q362" s="69"/>
      <c r="R362" s="69"/>
      <c r="S362" s="69"/>
      <c r="T362" s="69"/>
      <c r="U362" s="70"/>
      <c r="V362" s="70"/>
      <c r="W362" s="71"/>
      <c r="X362" s="43"/>
      <c r="Y362" s="43"/>
      <c r="Z362" s="41" t="s">
        <v>904</v>
      </c>
      <c r="AA362" s="41" t="s">
        <v>904</v>
      </c>
      <c r="AB362" s="41"/>
      <c r="AC362" s="69"/>
      <c r="AD362" s="44"/>
    </row>
    <row r="363" spans="3:28" ht="20.100000000000001" customHeight="1" x14ac:dyDescent="0.25">
      <c r="C363" s="57" t="s">
        <v>904</v>
      </c>
      <c r="D363" s="57" t="s">
        <v>904</v>
      </c>
      <c r="E363" s="41" t="s">
        <v>904</v>
      </c>
      <c r="F363" s="41" t="s">
        <v>904</v>
      </c>
      <c r="G363" s="41" t="s">
        <v>904</v>
      </c>
      <c r="H363" s="41" t="s">
        <v>904</v>
      </c>
      <c r="I363" s="41" t="s">
        <v>904</v>
      </c>
      <c r="J363" s="41" t="s">
        <v>904</v>
      </c>
      <c r="K363" s="41" t="s">
        <v>904</v>
      </c>
      <c r="L363" s="41" t="s">
        <v>904</v>
      </c>
      <c r="M363" s="60"/>
      <c r="N363" s="41" t="s">
        <v>904</v>
      </c>
      <c r="O363" s="60"/>
      <c r="P363" s="41" t="s">
        <v>904</v>
      </c>
      <c r="Q363" s="69"/>
      <c r="R363" s="69"/>
      <c r="S363" s="69"/>
      <c r="T363" s="69"/>
      <c r="U363" s="70"/>
      <c r="V363" s="70"/>
      <c r="W363" s="71"/>
      <c r="X363" s="43"/>
      <c r="Y363" s="43"/>
      <c r="Z363" s="41" t="s">
        <v>904</v>
      </c>
      <c r="AA363" s="41" t="s">
        <v>904</v>
      </c>
      <c r="AB363" s="41"/>
      <c r="AC363" s="69"/>
      <c r="AD363" s="44"/>
    </row>
    <row r="364" spans="3:28" ht="20.100000000000001" customHeight="1" x14ac:dyDescent="0.25">
      <c r="C364" s="57" t="s">
        <v>904</v>
      </c>
      <c r="D364" s="57" t="s">
        <v>904</v>
      </c>
      <c r="E364" s="41" t="s">
        <v>904</v>
      </c>
      <c r="F364" s="41" t="s">
        <v>904</v>
      </c>
      <c r="G364" s="41" t="s">
        <v>904</v>
      </c>
      <c r="H364" s="41" t="s">
        <v>904</v>
      </c>
      <c r="I364" s="41" t="s">
        <v>904</v>
      </c>
      <c r="J364" s="41" t="s">
        <v>904</v>
      </c>
      <c r="K364" s="41" t="s">
        <v>904</v>
      </c>
      <c r="L364" s="41" t="s">
        <v>904</v>
      </c>
      <c r="M364" s="60"/>
      <c r="N364" s="41" t="s">
        <v>904</v>
      </c>
      <c r="O364" s="60"/>
      <c r="P364" s="41" t="s">
        <v>904</v>
      </c>
      <c r="Q364" s="69"/>
      <c r="R364" s="69"/>
      <c r="S364" s="69"/>
      <c r="T364" s="69"/>
      <c r="U364" s="70"/>
      <c r="V364" s="70"/>
      <c r="W364" s="71"/>
      <c r="X364" s="43"/>
      <c r="Y364" s="43"/>
      <c r="Z364" s="41" t="s">
        <v>904</v>
      </c>
      <c r="AA364" s="41" t="s">
        <v>904</v>
      </c>
      <c r="AB364" s="41"/>
      <c r="AC364" s="69"/>
      <c r="AD364" s="44"/>
    </row>
    <row r="365" spans="3:28" ht="20.100000000000001" customHeight="1" x14ac:dyDescent="0.25">
      <c r="C365" s="57" t="s">
        <v>904</v>
      </c>
      <c r="D365" s="57" t="s">
        <v>904</v>
      </c>
      <c r="E365" s="41" t="s">
        <v>904</v>
      </c>
      <c r="F365" s="41" t="s">
        <v>904</v>
      </c>
      <c r="G365" s="41" t="s">
        <v>904</v>
      </c>
      <c r="H365" s="41" t="s">
        <v>904</v>
      </c>
      <c r="I365" s="41" t="s">
        <v>904</v>
      </c>
      <c r="J365" s="41" t="s">
        <v>904</v>
      </c>
      <c r="K365" s="41" t="s">
        <v>904</v>
      </c>
      <c r="L365" s="41" t="s">
        <v>904</v>
      </c>
      <c r="M365" s="60"/>
      <c r="N365" s="41" t="s">
        <v>904</v>
      </c>
      <c r="O365" s="60"/>
      <c r="P365" s="41" t="s">
        <v>904</v>
      </c>
      <c r="Q365" s="69"/>
      <c r="R365" s="69"/>
      <c r="S365" s="69"/>
      <c r="T365" s="69"/>
      <c r="U365" s="70"/>
      <c r="V365" s="70"/>
      <c r="W365" s="71"/>
      <c r="X365" s="43"/>
      <c r="Y365" s="43"/>
      <c r="Z365" s="41" t="s">
        <v>904</v>
      </c>
      <c r="AA365" s="41" t="s">
        <v>904</v>
      </c>
      <c r="AB365" s="41"/>
      <c r="AC365" s="69"/>
      <c r="AD365" s="44"/>
    </row>
    <row r="366" spans="3:28" ht="20.100000000000001" customHeight="1" x14ac:dyDescent="0.25">
      <c r="C366" s="57" t="s">
        <v>904</v>
      </c>
      <c r="D366" s="57" t="s">
        <v>904</v>
      </c>
      <c r="E366" s="41" t="s">
        <v>904</v>
      </c>
      <c r="F366" s="41" t="s">
        <v>904</v>
      </c>
      <c r="G366" s="41" t="s">
        <v>904</v>
      </c>
      <c r="H366" s="41" t="s">
        <v>904</v>
      </c>
      <c r="I366" s="41" t="s">
        <v>904</v>
      </c>
      <c r="J366" s="41" t="s">
        <v>904</v>
      </c>
      <c r="K366" s="41" t="s">
        <v>904</v>
      </c>
      <c r="L366" s="41" t="s">
        <v>904</v>
      </c>
      <c r="M366" s="60"/>
      <c r="N366" s="41" t="s">
        <v>904</v>
      </c>
      <c r="O366" s="60"/>
      <c r="P366" s="41" t="s">
        <v>904</v>
      </c>
      <c r="Q366" s="69"/>
      <c r="R366" s="69"/>
      <c r="S366" s="69"/>
      <c r="T366" s="69"/>
      <c r="U366" s="70"/>
      <c r="V366" s="70"/>
      <c r="W366" s="71"/>
      <c r="X366" s="43"/>
      <c r="Y366" s="43"/>
      <c r="Z366" s="41" t="s">
        <v>904</v>
      </c>
      <c r="AA366" s="41" t="s">
        <v>904</v>
      </c>
      <c r="AB366" s="41"/>
      <c r="AC366" s="69"/>
      <c r="AD366" s="44"/>
    </row>
    <row r="367" spans="3:28" ht="20.100000000000001" customHeight="1" x14ac:dyDescent="0.25">
      <c r="C367" s="57" t="s">
        <v>904</v>
      </c>
      <c r="D367" s="57" t="s">
        <v>904</v>
      </c>
      <c r="E367" s="41" t="s">
        <v>904</v>
      </c>
      <c r="F367" s="41" t="s">
        <v>904</v>
      </c>
      <c r="G367" s="41" t="s">
        <v>904</v>
      </c>
      <c r="H367" s="41" t="s">
        <v>904</v>
      </c>
      <c r="I367" s="41" t="s">
        <v>904</v>
      </c>
      <c r="J367" s="41" t="s">
        <v>904</v>
      </c>
      <c r="K367" s="41" t="s">
        <v>904</v>
      </c>
      <c r="L367" s="41" t="s">
        <v>904</v>
      </c>
      <c r="M367" s="60"/>
      <c r="N367" s="41" t="s">
        <v>904</v>
      </c>
      <c r="O367" s="60"/>
      <c r="P367" s="41" t="s">
        <v>904</v>
      </c>
      <c r="Q367" s="69"/>
      <c r="R367" s="69"/>
      <c r="S367" s="69"/>
      <c r="T367" s="69"/>
      <c r="U367" s="70"/>
      <c r="V367" s="70"/>
      <c r="W367" s="71"/>
      <c r="X367" s="43"/>
      <c r="Y367" s="43"/>
      <c r="Z367" s="41" t="s">
        <v>904</v>
      </c>
      <c r="AA367" s="41" t="s">
        <v>904</v>
      </c>
      <c r="AB367" s="41"/>
      <c r="AC367" s="69"/>
      <c r="AD367" s="44"/>
    </row>
    <row r="368" spans="3:28" ht="20.100000000000001" customHeight="1" x14ac:dyDescent="0.25">
      <c r="C368" s="57" t="s">
        <v>904</v>
      </c>
      <c r="D368" s="57" t="s">
        <v>904</v>
      </c>
      <c r="E368" s="41" t="s">
        <v>904</v>
      </c>
      <c r="F368" s="41" t="s">
        <v>904</v>
      </c>
      <c r="G368" s="41" t="s">
        <v>904</v>
      </c>
      <c r="H368" s="41" t="s">
        <v>904</v>
      </c>
      <c r="I368" s="41" t="s">
        <v>904</v>
      </c>
      <c r="J368" s="41" t="s">
        <v>904</v>
      </c>
      <c r="K368" s="41" t="s">
        <v>904</v>
      </c>
      <c r="L368" s="41" t="s">
        <v>904</v>
      </c>
      <c r="M368" s="60"/>
      <c r="N368" s="41" t="s">
        <v>904</v>
      </c>
      <c r="O368" s="60"/>
      <c r="P368" s="41" t="s">
        <v>904</v>
      </c>
      <c r="Q368" s="69"/>
      <c r="R368" s="69"/>
      <c r="S368" s="69"/>
      <c r="T368" s="69"/>
      <c r="U368" s="70"/>
      <c r="V368" s="70"/>
      <c r="W368" s="71"/>
      <c r="X368" s="43"/>
      <c r="Y368" s="43"/>
      <c r="Z368" s="41" t="s">
        <v>904</v>
      </c>
      <c r="AA368" s="41" t="s">
        <v>904</v>
      </c>
      <c r="AB368" s="41"/>
      <c r="AC368" s="69"/>
      <c r="AD368" s="44"/>
    </row>
    <row r="369" spans="3:28" ht="20.100000000000001" customHeight="1" x14ac:dyDescent="0.25">
      <c r="C369" s="57" t="s">
        <v>904</v>
      </c>
      <c r="D369" s="57" t="s">
        <v>904</v>
      </c>
      <c r="E369" s="41" t="s">
        <v>904</v>
      </c>
      <c r="F369" s="41" t="s">
        <v>904</v>
      </c>
      <c r="G369" s="41" t="s">
        <v>904</v>
      </c>
      <c r="H369" s="41" t="s">
        <v>904</v>
      </c>
      <c r="I369" s="41" t="s">
        <v>904</v>
      </c>
      <c r="J369" s="41" t="s">
        <v>904</v>
      </c>
      <c r="K369" s="41" t="s">
        <v>904</v>
      </c>
      <c r="L369" s="41" t="s">
        <v>904</v>
      </c>
      <c r="M369" s="60"/>
      <c r="N369" s="41" t="s">
        <v>904</v>
      </c>
      <c r="O369" s="60"/>
      <c r="P369" s="41" t="s">
        <v>904</v>
      </c>
      <c r="Q369" s="69"/>
      <c r="R369" s="69"/>
      <c r="S369" s="69"/>
      <c r="T369" s="69"/>
      <c r="U369" s="70"/>
      <c r="V369" s="70"/>
      <c r="W369" s="71"/>
      <c r="X369" s="43"/>
      <c r="Y369" s="43"/>
      <c r="Z369" s="41" t="s">
        <v>904</v>
      </c>
      <c r="AA369" s="41" t="s">
        <v>904</v>
      </c>
      <c r="AB369" s="41"/>
      <c r="AC369" s="69"/>
      <c r="AD369" s="44"/>
    </row>
    <row r="370" spans="3:28" ht="20.100000000000001" customHeight="1" x14ac:dyDescent="0.25">
      <c r="R370" s="72"/>
      <c r="S370" s="72"/>
    </row>
    <row r="371" spans="3:28" ht="20.100000000000001" customHeight="1" x14ac:dyDescent="0.25">
      <c r="R371" s="72"/>
      <c r="S371" s="72"/>
    </row>
    <row r="372" spans="3:28" ht="20.100000000000001" customHeight="1" x14ac:dyDescent="0.25">
      <c r="R372" s="72"/>
      <c r="S372" s="72"/>
    </row>
    <row r="373" spans="3:28" ht="20.100000000000001" customHeight="1" x14ac:dyDescent="0.25">
      <c r="R373" s="72"/>
      <c r="S373" s="72"/>
    </row>
    <row r="374" spans="3:28" ht="20.100000000000001" customHeight="1" x14ac:dyDescent="0.25">
      <c r="R374" s="72"/>
      <c r="S374" s="72"/>
    </row>
    <row r="375" spans="3:28" ht="20.100000000000001" customHeight="1" x14ac:dyDescent="0.25">
      <c r="R375" s="72"/>
      <c r="S375" s="72"/>
    </row>
    <row r="376" spans="3:28" ht="20.100000000000001" customHeight="1" x14ac:dyDescent="0.25">
      <c r="R376" s="72"/>
      <c r="S376" s="72"/>
    </row>
    <row r="377" spans="3:28" ht="20.100000000000001" customHeight="1" x14ac:dyDescent="0.25">
      <c r="R377" s="72"/>
      <c r="S377" s="72"/>
    </row>
    <row r="378" spans="3:28" ht="20.100000000000001" customHeight="1" x14ac:dyDescent="0.25">
      <c r="R378" s="72"/>
      <c r="S378" s="72"/>
    </row>
    <row r="379" spans="3:28" ht="20.100000000000001" customHeight="1" x14ac:dyDescent="0.25">
      <c r="R379" s="72"/>
      <c r="S379" s="72"/>
    </row>
    <row r="380" spans="3:28" ht="20.100000000000001" customHeight="1" x14ac:dyDescent="0.25">
      <c r="R380" s="72"/>
      <c r="S380" s="72"/>
    </row>
    <row r="381" spans="3:28" ht="20.100000000000001" customHeight="1" x14ac:dyDescent="0.25">
      <c r="R381" s="72"/>
      <c r="S381" s="72"/>
    </row>
    <row r="382" spans="3:28" ht="20.100000000000001" customHeight="1" x14ac:dyDescent="0.25">
      <c r="R382" s="72"/>
      <c r="S382" s="72"/>
    </row>
    <row r="383" spans="3:28" ht="20.100000000000001" customHeight="1" x14ac:dyDescent="0.25">
      <c r="R383" s="72"/>
      <c r="S383" s="72"/>
    </row>
    <row r="384" spans="3:28" ht="20.100000000000001" customHeight="1" x14ac:dyDescent="0.25">
      <c r="R384" s="72"/>
      <c r="S384" s="72"/>
    </row>
    <row r="385" spans="18:19" ht="20.100000000000001" customHeight="1" x14ac:dyDescent="0.25">
      <c r="R385" s="72"/>
      <c r="S385" s="72"/>
    </row>
    <row r="386" spans="18:19" ht="20.100000000000001" customHeight="1" x14ac:dyDescent="0.25">
      <c r="R386" s="72"/>
      <c r="S386" s="72"/>
    </row>
    <row r="387" spans="18:19" ht="20.100000000000001" customHeight="1" x14ac:dyDescent="0.25">
      <c r="R387" s="72"/>
      <c r="S387" s="72"/>
    </row>
    <row r="388" spans="18:19" ht="20.100000000000001" customHeight="1" x14ac:dyDescent="0.25">
      <c r="R388" s="72"/>
      <c r="S388" s="72"/>
    </row>
    <row r="389" spans="18:19" ht="20.100000000000001" customHeight="1" x14ac:dyDescent="0.25">
      <c r="R389" s="72"/>
      <c r="S389" s="72"/>
    </row>
    <row r="390" spans="18:19" ht="20.100000000000001" customHeight="1" x14ac:dyDescent="0.25">
      <c r="R390" s="72"/>
      <c r="S390" s="72"/>
    </row>
    <row r="391" spans="18:19" ht="20.100000000000001" customHeight="1" x14ac:dyDescent="0.25">
      <c r="R391" s="72"/>
      <c r="S391" s="72"/>
    </row>
    <row r="392" spans="18:19" ht="20.100000000000001" customHeight="1" x14ac:dyDescent="0.25">
      <c r="R392" s="72"/>
      <c r="S392" s="72"/>
    </row>
    <row r="393" spans="18:19" ht="20.100000000000001" customHeight="1" x14ac:dyDescent="0.25">
      <c r="R393" s="72"/>
      <c r="S393" s="72"/>
    </row>
    <row r="394" spans="18:19" ht="20.100000000000001" customHeight="1" x14ac:dyDescent="0.25">
      <c r="R394" s="72"/>
      <c r="S394" s="72"/>
    </row>
    <row r="395" spans="18:19" ht="20.100000000000001" customHeight="1" x14ac:dyDescent="0.25">
      <c r="R395" s="72"/>
      <c r="S395" s="72"/>
    </row>
    <row r="396" spans="18:19" ht="20.100000000000001" customHeight="1" x14ac:dyDescent="0.25">
      <c r="R396" s="72"/>
      <c r="S396" s="72"/>
    </row>
    <row r="397" spans="18:19" ht="20.100000000000001" customHeight="1" x14ac:dyDescent="0.25">
      <c r="R397" s="72"/>
      <c r="S397" s="72"/>
    </row>
    <row r="398" spans="18:19" ht="20.100000000000001" customHeight="1" x14ac:dyDescent="0.25">
      <c r="R398" s="72"/>
      <c r="S398" s="72"/>
    </row>
    <row r="399" spans="18:19" ht="20.100000000000001" customHeight="1" x14ac:dyDescent="0.25">
      <c r="R399" s="72"/>
      <c r="S399" s="72"/>
    </row>
    <row r="400" spans="18:19" ht="20.100000000000001" customHeight="1" x14ac:dyDescent="0.25">
      <c r="R400" s="72"/>
      <c r="S400" s="72"/>
    </row>
    <row r="401" spans="18:19" ht="20.100000000000001" customHeight="1" x14ac:dyDescent="0.25">
      <c r="R401" s="72"/>
      <c r="S401" s="72"/>
    </row>
    <row r="402" spans="18:19" ht="20.100000000000001" customHeight="1" x14ac:dyDescent="0.25">
      <c r="R402" s="72"/>
      <c r="S402" s="72"/>
    </row>
    <row r="403" spans="18:19" ht="20.100000000000001" customHeight="1" x14ac:dyDescent="0.25">
      <c r="R403" s="72"/>
      <c r="S403" s="72"/>
    </row>
    <row r="404" spans="18:19" ht="20.100000000000001" customHeight="1" x14ac:dyDescent="0.25">
      <c r="R404" s="72"/>
      <c r="S404" s="72"/>
    </row>
    <row r="405" spans="18:19" ht="20.100000000000001" customHeight="1" x14ac:dyDescent="0.25">
      <c r="R405" s="72"/>
      <c r="S405" s="72"/>
    </row>
    <row r="406" spans="18:19" ht="20.100000000000001" customHeight="1" x14ac:dyDescent="0.25">
      <c r="R406" s="72"/>
      <c r="S406" s="72"/>
    </row>
    <row r="407" spans="18:19" ht="20.100000000000001" customHeight="1" x14ac:dyDescent="0.25">
      <c r="R407" s="72"/>
      <c r="S407" s="72"/>
    </row>
    <row r="408" spans="18:19" ht="20.100000000000001" customHeight="1" x14ac:dyDescent="0.25">
      <c r="R408" s="72"/>
      <c r="S408" s="72"/>
    </row>
    <row r="409" spans="18:19" ht="20.100000000000001" customHeight="1" x14ac:dyDescent="0.25">
      <c r="R409" s="72"/>
      <c r="S409" s="72"/>
    </row>
    <row r="410" spans="18:19" ht="20.100000000000001" customHeight="1" x14ac:dyDescent="0.25">
      <c r="R410" s="72"/>
      <c r="S410" s="72"/>
    </row>
    <row r="411" spans="18:19" ht="20.100000000000001" customHeight="1" x14ac:dyDescent="0.25">
      <c r="R411" s="72"/>
      <c r="S411" s="72"/>
    </row>
    <row r="412" spans="18:19" ht="20.100000000000001" customHeight="1" x14ac:dyDescent="0.25">
      <c r="R412" s="72"/>
      <c r="S412" s="72"/>
    </row>
    <row r="413" spans="18:19" ht="20.100000000000001" customHeight="1" x14ac:dyDescent="0.25">
      <c r="R413" s="72"/>
      <c r="S413" s="72"/>
    </row>
    <row r="414" spans="18:19" ht="20.100000000000001" customHeight="1" x14ac:dyDescent="0.25">
      <c r="R414" s="72"/>
      <c r="S414" s="72"/>
    </row>
    <row r="415" spans="18:19" ht="20.100000000000001" customHeight="1" x14ac:dyDescent="0.25">
      <c r="R415" s="72"/>
      <c r="S415" s="72"/>
    </row>
    <row r="416" spans="18:19" ht="20.100000000000001" customHeight="1" x14ac:dyDescent="0.25">
      <c r="R416" s="72"/>
      <c r="S416" s="72"/>
    </row>
    <row r="417" spans="18:19" ht="20.100000000000001" customHeight="1" x14ac:dyDescent="0.25">
      <c r="R417" s="72"/>
      <c r="S417" s="72"/>
    </row>
    <row r="418" spans="18:19" ht="20.100000000000001" customHeight="1" x14ac:dyDescent="0.25">
      <c r="R418" s="72"/>
      <c r="S418" s="72"/>
    </row>
    <row r="419" spans="18:19" ht="20.100000000000001" customHeight="1" x14ac:dyDescent="0.25">
      <c r="R419" s="72"/>
      <c r="S419" s="72"/>
    </row>
    <row r="420" spans="18:19" ht="20.100000000000001" customHeight="1" x14ac:dyDescent="0.25">
      <c r="R420" s="72"/>
      <c r="S420" s="72"/>
    </row>
    <row r="421" spans="18:19" ht="20.100000000000001" customHeight="1" x14ac:dyDescent="0.25">
      <c r="R421" s="72"/>
      <c r="S421" s="72"/>
    </row>
    <row r="422" spans="18:19" ht="20.100000000000001" customHeight="1" x14ac:dyDescent="0.25">
      <c r="R422" s="72"/>
      <c r="S422" s="72"/>
    </row>
    <row r="423" spans="18:19" ht="20.100000000000001" customHeight="1" x14ac:dyDescent="0.25">
      <c r="R423" s="72"/>
      <c r="S423" s="72"/>
    </row>
    <row r="424" spans="18:19" ht="20.100000000000001" customHeight="1" x14ac:dyDescent="0.25">
      <c r="R424" s="72"/>
      <c r="S424" s="72"/>
    </row>
    <row r="425" spans="18:19" ht="20.100000000000001" customHeight="1" x14ac:dyDescent="0.25">
      <c r="R425" s="72"/>
      <c r="S425" s="72"/>
    </row>
    <row r="426" spans="18:19" ht="20.100000000000001" customHeight="1" x14ac:dyDescent="0.25">
      <c r="R426" s="72"/>
      <c r="S426" s="72"/>
    </row>
    <row r="427" spans="18:19" ht="20.100000000000001" customHeight="1" x14ac:dyDescent="0.25">
      <c r="R427" s="72"/>
      <c r="S427" s="72"/>
    </row>
    <row r="428" spans="18:19" ht="20.100000000000001" customHeight="1" x14ac:dyDescent="0.25">
      <c r="R428" s="72"/>
      <c r="S428" s="72"/>
    </row>
    <row r="429" spans="18:19" ht="20.100000000000001" customHeight="1" x14ac:dyDescent="0.25">
      <c r="R429" s="72"/>
      <c r="S429" s="72"/>
    </row>
    <row r="430" spans="18:19" ht="20.100000000000001" customHeight="1" x14ac:dyDescent="0.25">
      <c r="R430" s="72"/>
      <c r="S430" s="72"/>
    </row>
    <row r="431" spans="18:19" ht="20.100000000000001" customHeight="1" x14ac:dyDescent="0.25">
      <c r="R431" s="72"/>
      <c r="S431" s="72"/>
    </row>
    <row r="432" spans="18:19" ht="20.100000000000001" customHeight="1" x14ac:dyDescent="0.25">
      <c r="R432" s="72"/>
      <c r="S432" s="72"/>
    </row>
    <row r="433" spans="18:19" ht="20.100000000000001" customHeight="1" x14ac:dyDescent="0.25">
      <c r="R433" s="72"/>
      <c r="S433" s="72"/>
    </row>
    <row r="434" spans="18:19" ht="20.100000000000001" customHeight="1" x14ac:dyDescent="0.25">
      <c r="R434" s="72"/>
      <c r="S434" s="72"/>
    </row>
    <row r="435" spans="18:19" ht="20.100000000000001" customHeight="1" x14ac:dyDescent="0.25">
      <c r="R435" s="72"/>
      <c r="S435" s="72"/>
    </row>
    <row r="436" spans="18:19" ht="20.100000000000001" customHeight="1" x14ac:dyDescent="0.25">
      <c r="R436" s="72"/>
      <c r="S436" s="72"/>
    </row>
    <row r="437" spans="18:19" ht="20.100000000000001" customHeight="1" x14ac:dyDescent="0.25">
      <c r="R437" s="72"/>
      <c r="S437" s="72"/>
    </row>
    <row r="438" spans="18:19" ht="20.100000000000001" customHeight="1" x14ac:dyDescent="0.25">
      <c r="R438" s="72"/>
      <c r="S438" s="72"/>
    </row>
    <row r="439" spans="18:19" ht="20.100000000000001" customHeight="1" x14ac:dyDescent="0.25">
      <c r="R439" s="72"/>
      <c r="S439" s="72"/>
    </row>
    <row r="440" spans="18:19" ht="20.100000000000001" customHeight="1" x14ac:dyDescent="0.25">
      <c r="R440" s="72"/>
      <c r="S440" s="72"/>
    </row>
    <row r="441" spans="18:19" ht="20.100000000000001" customHeight="1" x14ac:dyDescent="0.25">
      <c r="R441" s="72"/>
      <c r="S441" s="72"/>
    </row>
    <row r="442" spans="18:19" ht="20.100000000000001" customHeight="1" x14ac:dyDescent="0.25">
      <c r="R442" s="72"/>
      <c r="S442" s="72"/>
    </row>
    <row r="443" spans="18:19" ht="20.100000000000001" customHeight="1" x14ac:dyDescent="0.25">
      <c r="R443" s="72"/>
      <c r="S443" s="72"/>
    </row>
    <row r="444" spans="18:19" ht="20.100000000000001" customHeight="1" x14ac:dyDescent="0.25">
      <c r="R444" s="72"/>
      <c r="S444" s="72"/>
    </row>
    <row r="445" spans="18:19" ht="20.100000000000001" customHeight="1" x14ac:dyDescent="0.25">
      <c r="R445" s="72"/>
      <c r="S445" s="72"/>
    </row>
    <row r="446" spans="18:19" ht="20.100000000000001" customHeight="1" x14ac:dyDescent="0.25">
      <c r="R446" s="72"/>
      <c r="S446" s="72"/>
    </row>
    <row r="447" spans="18:19" ht="20.100000000000001" customHeight="1" x14ac:dyDescent="0.25">
      <c r="R447" s="72"/>
      <c r="S447" s="72"/>
    </row>
    <row r="448" spans="18:19" ht="20.100000000000001" customHeight="1" x14ac:dyDescent="0.25">
      <c r="R448" s="72"/>
      <c r="S448" s="72"/>
    </row>
    <row r="449" spans="18:19" ht="20.100000000000001" customHeight="1" x14ac:dyDescent="0.25">
      <c r="R449" s="72"/>
      <c r="S449" s="72"/>
    </row>
    <row r="450" spans="18:19" ht="20.100000000000001" customHeight="1" x14ac:dyDescent="0.25">
      <c r="R450" s="72"/>
      <c r="S450" s="72"/>
    </row>
    <row r="451" spans="18:19" ht="20.100000000000001" customHeight="1" x14ac:dyDescent="0.25">
      <c r="R451" s="72"/>
      <c r="S451" s="72"/>
    </row>
    <row r="452" spans="18:19" ht="20.100000000000001" customHeight="1" x14ac:dyDescent="0.25">
      <c r="R452" s="72"/>
      <c r="S452" s="72"/>
    </row>
    <row r="453" spans="18:19" ht="20.100000000000001" customHeight="1" x14ac:dyDescent="0.25">
      <c r="R453" s="72"/>
      <c r="S453" s="72"/>
    </row>
    <row r="454" spans="18:19" ht="20.100000000000001" customHeight="1" x14ac:dyDescent="0.25">
      <c r="R454" s="72"/>
      <c r="S454" s="72"/>
    </row>
    <row r="455" spans="18:19" ht="20.100000000000001" customHeight="1" x14ac:dyDescent="0.25">
      <c r="R455" s="72"/>
      <c r="S455" s="72"/>
    </row>
    <row r="456" spans="18:19" ht="20.100000000000001" customHeight="1" x14ac:dyDescent="0.25">
      <c r="R456" s="72"/>
      <c r="S456" s="72"/>
    </row>
    <row r="457" spans="18:19" ht="20.100000000000001" customHeight="1" x14ac:dyDescent="0.25">
      <c r="R457" s="72"/>
      <c r="S457" s="72"/>
    </row>
    <row r="458" spans="18:19" ht="20.100000000000001" customHeight="1" x14ac:dyDescent="0.25">
      <c r="R458" s="72"/>
      <c r="S458" s="72"/>
    </row>
    <row r="459" spans="18:19" ht="20.100000000000001" customHeight="1" x14ac:dyDescent="0.25">
      <c r="R459" s="72"/>
      <c r="S459" s="72"/>
    </row>
    <row r="460" spans="18:19" ht="20.100000000000001" customHeight="1" x14ac:dyDescent="0.25">
      <c r="R460" s="72"/>
      <c r="S460" s="72"/>
    </row>
    <row r="461" spans="18:19" ht="20.100000000000001" customHeight="1" x14ac:dyDescent="0.25">
      <c r="R461" s="72"/>
      <c r="S461" s="72"/>
    </row>
    <row r="462" spans="18:19" ht="20.100000000000001" customHeight="1" x14ac:dyDescent="0.25">
      <c r="R462" s="72"/>
      <c r="S462" s="72"/>
    </row>
    <row r="463" spans="18:19" ht="20.100000000000001" customHeight="1" x14ac:dyDescent="0.25">
      <c r="R463" s="72"/>
      <c r="S463" s="72"/>
    </row>
    <row r="464" spans="18:19" ht="20.100000000000001" customHeight="1" x14ac:dyDescent="0.25">
      <c r="R464" s="72"/>
      <c r="S464" s="72"/>
    </row>
    <row r="465" spans="18:19" ht="20.100000000000001" customHeight="1" x14ac:dyDescent="0.25">
      <c r="R465" s="72"/>
      <c r="S465" s="72"/>
    </row>
    <row r="466" spans="18:19" ht="20.100000000000001" customHeight="1" x14ac:dyDescent="0.25">
      <c r="R466" s="72"/>
      <c r="S466" s="72"/>
    </row>
    <row r="467" spans="18:19" ht="20.100000000000001" customHeight="1" x14ac:dyDescent="0.25">
      <c r="R467" s="72"/>
      <c r="S467" s="72"/>
    </row>
    <row r="468" spans="18:19" ht="20.100000000000001" customHeight="1" x14ac:dyDescent="0.25">
      <c r="R468" s="72"/>
      <c r="S468" s="72"/>
    </row>
    <row r="469" spans="18:19" ht="20.100000000000001" customHeight="1" x14ac:dyDescent="0.25">
      <c r="R469" s="72"/>
      <c r="S469" s="72"/>
    </row>
    <row r="470" spans="18:19" ht="20.100000000000001" customHeight="1" x14ac:dyDescent="0.25">
      <c r="R470" s="72"/>
      <c r="S470" s="72"/>
    </row>
    <row r="471" spans="18:19" ht="20.100000000000001" customHeight="1" x14ac:dyDescent="0.25">
      <c r="R471" s="72"/>
      <c r="S471" s="72"/>
    </row>
    <row r="472" spans="18:19" ht="20.100000000000001" customHeight="1" x14ac:dyDescent="0.25">
      <c r="R472" s="72"/>
      <c r="S472" s="72"/>
    </row>
    <row r="473" spans="18:19" ht="20.100000000000001" customHeight="1" x14ac:dyDescent="0.25">
      <c r="R473" s="72"/>
      <c r="S473" s="72"/>
    </row>
    <row r="474" spans="18:19" ht="20.100000000000001" customHeight="1" x14ac:dyDescent="0.25">
      <c r="R474" s="72"/>
      <c r="S474" s="72"/>
    </row>
    <row r="475" spans="18:19" ht="20.100000000000001" customHeight="1" x14ac:dyDescent="0.25">
      <c r="R475" s="72"/>
      <c r="S475" s="72"/>
    </row>
    <row r="476" spans="18:19" ht="20.100000000000001" customHeight="1" x14ac:dyDescent="0.25">
      <c r="R476" s="72"/>
      <c r="S476" s="72"/>
    </row>
    <row r="477" spans="18:19" ht="20.100000000000001" customHeight="1" x14ac:dyDescent="0.25">
      <c r="R477" s="72"/>
      <c r="S477" s="72"/>
    </row>
    <row r="478" spans="18:19" ht="20.100000000000001" customHeight="1" x14ac:dyDescent="0.25">
      <c r="R478" s="72"/>
      <c r="S478" s="72"/>
    </row>
    <row r="479" spans="18:19" ht="20.100000000000001" customHeight="1" x14ac:dyDescent="0.25">
      <c r="R479" s="72"/>
      <c r="S479" s="72"/>
    </row>
    <row r="480" spans="18:19" ht="20.100000000000001" customHeight="1" x14ac:dyDescent="0.25">
      <c r="R480" s="72"/>
      <c r="S480" s="72"/>
    </row>
    <row r="481" spans="18:19" ht="20.100000000000001" customHeight="1" x14ac:dyDescent="0.25">
      <c r="R481" s="72"/>
      <c r="S481" s="72"/>
    </row>
    <row r="482" spans="18:19" ht="20.100000000000001" customHeight="1" x14ac:dyDescent="0.25">
      <c r="R482" s="72"/>
      <c r="S482" s="72"/>
    </row>
    <row r="483" spans="18:19" ht="20.100000000000001" customHeight="1" x14ac:dyDescent="0.25">
      <c r="R483" s="72"/>
      <c r="S483" s="72"/>
    </row>
    <row r="484" spans="18:19" ht="20.100000000000001" customHeight="1" x14ac:dyDescent="0.25">
      <c r="R484" s="72"/>
      <c r="S484" s="72"/>
    </row>
    <row r="485" spans="18:19" ht="20.100000000000001" customHeight="1" x14ac:dyDescent="0.25">
      <c r="R485" s="72"/>
      <c r="S485" s="72"/>
    </row>
    <row r="486" spans="18:19" ht="20.100000000000001" customHeight="1" x14ac:dyDescent="0.25">
      <c r="R486" s="72"/>
      <c r="S486" s="72"/>
    </row>
    <row r="487" spans="18:19" ht="20.100000000000001" customHeight="1" x14ac:dyDescent="0.25">
      <c r="R487" s="72"/>
      <c r="S487" s="72"/>
    </row>
    <row r="488" spans="18:19" ht="20.100000000000001" customHeight="1" x14ac:dyDescent="0.25">
      <c r="R488" s="72"/>
      <c r="S488" s="72"/>
    </row>
    <row r="489" spans="18:19" ht="20.100000000000001" customHeight="1" x14ac:dyDescent="0.25">
      <c r="R489" s="72"/>
      <c r="S489" s="72"/>
    </row>
    <row r="490" spans="18:19" ht="20.100000000000001" customHeight="1" x14ac:dyDescent="0.25">
      <c r="R490" s="72"/>
      <c r="S490" s="72"/>
    </row>
    <row r="491" spans="18:19" ht="20.100000000000001" customHeight="1" x14ac:dyDescent="0.25">
      <c r="R491" s="72"/>
      <c r="S491" s="72"/>
    </row>
    <row r="492" spans="18:19" ht="20.100000000000001" customHeight="1" x14ac:dyDescent="0.25">
      <c r="R492" s="72"/>
      <c r="S492" s="72"/>
    </row>
    <row r="493" spans="18:19" ht="20.100000000000001" customHeight="1" x14ac:dyDescent="0.25">
      <c r="R493" s="72"/>
      <c r="S493" s="72"/>
    </row>
    <row r="494" spans="18:19" ht="20.100000000000001" customHeight="1" x14ac:dyDescent="0.25">
      <c r="R494" s="72"/>
      <c r="S494" s="72"/>
    </row>
    <row r="495" spans="18:19" ht="20.100000000000001" customHeight="1" x14ac:dyDescent="0.25">
      <c r="R495" s="72"/>
      <c r="S495" s="72"/>
    </row>
    <row r="496" spans="18:19" ht="20.100000000000001" customHeight="1" x14ac:dyDescent="0.25">
      <c r="R496" s="72"/>
      <c r="S496" s="72"/>
    </row>
    <row r="497" spans="18:19" ht="20.100000000000001" customHeight="1" x14ac:dyDescent="0.25">
      <c r="R497" s="72"/>
      <c r="S497" s="72"/>
    </row>
    <row r="498" spans="18:19" ht="20.100000000000001" customHeight="1" x14ac:dyDescent="0.25">
      <c r="R498" s="72"/>
      <c r="S498" s="72"/>
    </row>
    <row r="499" spans="18:19" ht="20.100000000000001" customHeight="1" x14ac:dyDescent="0.25">
      <c r="R499" s="72"/>
      <c r="S499" s="72"/>
    </row>
    <row r="500" spans="18:19" ht="20.100000000000001" customHeight="1" x14ac:dyDescent="0.25">
      <c r="R500" s="72"/>
      <c r="S500" s="72"/>
    </row>
    <row r="501" spans="18:19" ht="20.100000000000001" customHeight="1" x14ac:dyDescent="0.25">
      <c r="R501" s="72"/>
      <c r="S501" s="72"/>
    </row>
    <row r="502" spans="18:19" ht="20.100000000000001" customHeight="1" x14ac:dyDescent="0.25">
      <c r="R502" s="72"/>
      <c r="S502" s="72"/>
    </row>
    <row r="503" spans="18:19" ht="20.100000000000001" customHeight="1" x14ac:dyDescent="0.25">
      <c r="R503" s="72"/>
      <c r="S503" s="72"/>
    </row>
    <row r="504" spans="18:19" ht="20.100000000000001" customHeight="1" x14ac:dyDescent="0.25">
      <c r="R504" s="72"/>
      <c r="S504" s="72"/>
    </row>
    <row r="505" spans="18:19" ht="20.100000000000001" customHeight="1" x14ac:dyDescent="0.25">
      <c r="R505" s="72"/>
      <c r="S505" s="72"/>
    </row>
    <row r="506" spans="18:19" ht="20.100000000000001" customHeight="1" x14ac:dyDescent="0.25">
      <c r="R506" s="72"/>
      <c r="S506" s="72"/>
    </row>
    <row r="507" spans="18:19" ht="20.100000000000001" customHeight="1" x14ac:dyDescent="0.25">
      <c r="R507" s="72"/>
      <c r="S507" s="72"/>
    </row>
    <row r="508" spans="18:19" ht="20.100000000000001" customHeight="1" x14ac:dyDescent="0.25">
      <c r="R508" s="72"/>
      <c r="S508" s="72"/>
    </row>
    <row r="509" spans="18:19" ht="20.100000000000001" customHeight="1" x14ac:dyDescent="0.25">
      <c r="R509" s="72"/>
      <c r="S509" s="72"/>
    </row>
    <row r="510" spans="18:19" ht="20.100000000000001" customHeight="1" x14ac:dyDescent="0.25">
      <c r="R510" s="72"/>
      <c r="S510" s="72"/>
    </row>
    <row r="511" spans="18:19" ht="20.100000000000001" customHeight="1" x14ac:dyDescent="0.25">
      <c r="R511" s="72"/>
      <c r="S511" s="72"/>
    </row>
    <row r="512" spans="18:19" ht="20.100000000000001" customHeight="1" x14ac:dyDescent="0.25">
      <c r="R512" s="72"/>
      <c r="S512" s="72"/>
    </row>
    <row r="513" spans="18:19" ht="20.100000000000001" customHeight="1" x14ac:dyDescent="0.25">
      <c r="R513" s="72"/>
      <c r="S513" s="72"/>
    </row>
    <row r="514" spans="18:19" ht="20.100000000000001" customHeight="1" x14ac:dyDescent="0.25">
      <c r="R514" s="72"/>
      <c r="S514" s="72"/>
    </row>
    <row r="515" spans="18:19" x14ac:dyDescent="0.25">
      <c r="R515" s="72"/>
      <c r="S515" s="72"/>
    </row>
    <row r="516" spans="18:19" x14ac:dyDescent="0.25">
      <c r="R516" s="72"/>
      <c r="S516" s="72"/>
    </row>
    <row r="517" spans="18:19" x14ac:dyDescent="0.25">
      <c r="R517" s="72"/>
      <c r="S517" s="72"/>
    </row>
    <row r="518" spans="18:19" x14ac:dyDescent="0.25">
      <c r="R518" s="72"/>
      <c r="S518" s="72"/>
    </row>
    <row r="519" spans="18:19" x14ac:dyDescent="0.25">
      <c r="R519" s="72"/>
      <c r="S519" s="72"/>
    </row>
    <row r="520" spans="18:19" x14ac:dyDescent="0.25">
      <c r="R520" s="72"/>
      <c r="S520" s="72"/>
    </row>
    <row r="521" spans="18:19" x14ac:dyDescent="0.25">
      <c r="R521" s="72"/>
      <c r="S521" s="72"/>
    </row>
    <row r="522" spans="18:19" x14ac:dyDescent="0.25">
      <c r="R522" s="72"/>
      <c r="S522" s="72"/>
    </row>
    <row r="523" spans="18:19" x14ac:dyDescent="0.25">
      <c r="R523" s="72"/>
      <c r="S523" s="72"/>
    </row>
    <row r="524" spans="18:19" x14ac:dyDescent="0.25">
      <c r="R524" s="72"/>
      <c r="S524" s="72"/>
    </row>
    <row r="525" spans="18:19" x14ac:dyDescent="0.25">
      <c r="R525" s="72"/>
      <c r="S525" s="72"/>
    </row>
    <row r="526" spans="18:19" x14ac:dyDescent="0.25">
      <c r="R526" s="72"/>
      <c r="S526" s="72"/>
    </row>
    <row r="527" spans="18:19" x14ac:dyDescent="0.25">
      <c r="R527" s="72"/>
      <c r="S527" s="72"/>
    </row>
    <row r="528" spans="18:19" x14ac:dyDescent="0.25">
      <c r="R528" s="72"/>
      <c r="S528" s="72"/>
    </row>
    <row r="529" spans="18:19" x14ac:dyDescent="0.25">
      <c r="R529" s="72"/>
      <c r="S529" s="72"/>
    </row>
    <row r="530" spans="18:19" x14ac:dyDescent="0.25">
      <c r="R530" s="72"/>
      <c r="S530" s="72"/>
    </row>
    <row r="531" spans="18:19" x14ac:dyDescent="0.25">
      <c r="R531" s="72"/>
      <c r="S531" s="72"/>
    </row>
    <row r="532" spans="18:19" x14ac:dyDescent="0.25">
      <c r="R532" s="72"/>
      <c r="S532" s="72"/>
    </row>
    <row r="533" spans="18:19" x14ac:dyDescent="0.25">
      <c r="R533" s="72"/>
      <c r="S533" s="72"/>
    </row>
    <row r="534" spans="18:19" x14ac:dyDescent="0.25">
      <c r="R534" s="72"/>
      <c r="S534" s="72"/>
    </row>
    <row r="535" spans="18:19" x14ac:dyDescent="0.25">
      <c r="R535" s="72"/>
      <c r="S535" s="72"/>
    </row>
    <row r="536" spans="18:19" x14ac:dyDescent="0.25">
      <c r="R536" s="72"/>
      <c r="S536" s="72"/>
    </row>
    <row r="537" spans="18:19" x14ac:dyDescent="0.25">
      <c r="R537" s="72"/>
      <c r="S537" s="72"/>
    </row>
    <row r="538" spans="18:19" x14ac:dyDescent="0.25">
      <c r="R538" s="72"/>
      <c r="S538" s="72"/>
    </row>
    <row r="539" spans="18:19" x14ac:dyDescent="0.25">
      <c r="R539" s="72"/>
      <c r="S539" s="72"/>
    </row>
    <row r="540" spans="18:19" x14ac:dyDescent="0.25">
      <c r="R540" s="72"/>
      <c r="S540" s="72"/>
    </row>
    <row r="541" spans="18:19" x14ac:dyDescent="0.25">
      <c r="R541" s="72"/>
      <c r="S541" s="72"/>
    </row>
    <row r="542" spans="18:19" x14ac:dyDescent="0.25">
      <c r="R542" s="72"/>
      <c r="S542" s="72"/>
    </row>
    <row r="543" spans="18:19" x14ac:dyDescent="0.25">
      <c r="R543" s="72"/>
      <c r="S543" s="72"/>
    </row>
    <row r="544" spans="18:19" x14ac:dyDescent="0.25">
      <c r="R544" s="72"/>
      <c r="S544" s="72"/>
    </row>
    <row r="545" spans="18:19" x14ac:dyDescent="0.25">
      <c r="R545" s="72"/>
      <c r="S545" s="72"/>
    </row>
    <row r="546" spans="18:19" x14ac:dyDescent="0.25">
      <c r="R546" s="72"/>
      <c r="S546" s="72"/>
    </row>
    <row r="547" spans="18:19" x14ac:dyDescent="0.25">
      <c r="R547" s="72"/>
      <c r="S547" s="72"/>
    </row>
    <row r="548" spans="18:19" x14ac:dyDescent="0.25">
      <c r="R548" s="72"/>
      <c r="S548" s="72"/>
    </row>
    <row r="549" spans="18:19" x14ac:dyDescent="0.25">
      <c r="R549" s="72"/>
      <c r="S549" s="72"/>
    </row>
    <row r="550" spans="18:19" x14ac:dyDescent="0.25">
      <c r="R550" s="72"/>
      <c r="S550" s="72"/>
    </row>
    <row r="551" spans="18:19" x14ac:dyDescent="0.25">
      <c r="R551" s="72"/>
      <c r="S551" s="72"/>
    </row>
    <row r="552" spans="18:19" x14ac:dyDescent="0.25">
      <c r="R552" s="72"/>
      <c r="S552" s="72"/>
    </row>
    <row r="553" spans="18:19" x14ac:dyDescent="0.25">
      <c r="R553" s="72"/>
      <c r="S553" s="72"/>
    </row>
    <row r="554" spans="18:19" x14ac:dyDescent="0.25">
      <c r="R554" s="72"/>
      <c r="S554" s="72"/>
    </row>
    <row r="555" spans="18:19" x14ac:dyDescent="0.25">
      <c r="R555" s="72"/>
      <c r="S555" s="72"/>
    </row>
    <row r="556" spans="18:19" x14ac:dyDescent="0.25">
      <c r="R556" s="72"/>
      <c r="S556" s="72"/>
    </row>
    <row r="557" spans="18:19" x14ac:dyDescent="0.25">
      <c r="R557" s="72"/>
      <c r="S557" s="72"/>
    </row>
    <row r="558" spans="18:19" x14ac:dyDescent="0.25">
      <c r="R558" s="72"/>
      <c r="S558" s="72"/>
    </row>
    <row r="559" spans="18:19" x14ac:dyDescent="0.25">
      <c r="R559" s="72"/>
      <c r="S559" s="72"/>
    </row>
    <row r="560" spans="18:19" x14ac:dyDescent="0.25">
      <c r="R560" s="72"/>
      <c r="S560" s="72"/>
    </row>
    <row r="561" spans="18:19" x14ac:dyDescent="0.25">
      <c r="R561" s="72"/>
      <c r="S561" s="72"/>
    </row>
    <row r="562" spans="18:19" x14ac:dyDescent="0.25">
      <c r="R562" s="72"/>
      <c r="S562" s="72"/>
    </row>
    <row r="563" spans="18:19" x14ac:dyDescent="0.25">
      <c r="R563" s="72"/>
      <c r="S563" s="72"/>
    </row>
    <row r="564" spans="18:19" x14ac:dyDescent="0.25">
      <c r="R564" s="72"/>
      <c r="S564" s="72"/>
    </row>
    <row r="565" spans="18:19" x14ac:dyDescent="0.25">
      <c r="R565" s="72"/>
      <c r="S565" s="72"/>
    </row>
    <row r="566" spans="18:19" x14ac:dyDescent="0.25">
      <c r="R566" s="72"/>
      <c r="S566" s="72"/>
    </row>
    <row r="567" spans="18:19" x14ac:dyDescent="0.25">
      <c r="R567" s="72"/>
      <c r="S567" s="72"/>
    </row>
    <row r="568" spans="18:19" x14ac:dyDescent="0.25">
      <c r="R568" s="72"/>
      <c r="S568" s="72"/>
    </row>
    <row r="569" spans="18:19" x14ac:dyDescent="0.25">
      <c r="R569" s="72"/>
      <c r="S569" s="72"/>
    </row>
    <row r="570" spans="18:19" x14ac:dyDescent="0.25">
      <c r="R570" s="72"/>
      <c r="S570" s="72"/>
    </row>
    <row r="571" spans="18:19" x14ac:dyDescent="0.25">
      <c r="R571" s="72"/>
      <c r="S571" s="72"/>
    </row>
    <row r="572" spans="18:19" x14ac:dyDescent="0.25">
      <c r="R572" s="72"/>
      <c r="S572" s="72"/>
    </row>
    <row r="573" spans="18:19" x14ac:dyDescent="0.25">
      <c r="R573" s="72"/>
      <c r="S573" s="72"/>
    </row>
    <row r="574" spans="18:19" x14ac:dyDescent="0.25">
      <c r="R574" s="72"/>
      <c r="S574" s="72"/>
    </row>
    <row r="575" spans="18:19" x14ac:dyDescent="0.25">
      <c r="R575" s="72"/>
      <c r="S575" s="72"/>
    </row>
    <row r="576" spans="18:19" x14ac:dyDescent="0.25">
      <c r="R576" s="72"/>
      <c r="S576" s="72"/>
    </row>
    <row r="577" spans="18:19" x14ac:dyDescent="0.25">
      <c r="R577" s="72"/>
      <c r="S577" s="72"/>
    </row>
    <row r="578" spans="18:19" x14ac:dyDescent="0.25">
      <c r="R578" s="72"/>
      <c r="S578" s="72"/>
    </row>
    <row r="579" spans="18:19" x14ac:dyDescent="0.25">
      <c r="R579" s="72"/>
      <c r="S579" s="72"/>
    </row>
    <row r="580" spans="18:19" x14ac:dyDescent="0.25">
      <c r="R580" s="72"/>
      <c r="S580" s="72"/>
    </row>
    <row r="581" spans="18:19" x14ac:dyDescent="0.25">
      <c r="R581" s="72"/>
      <c r="S581" s="72"/>
    </row>
    <row r="582" spans="18:19" x14ac:dyDescent="0.25">
      <c r="R582" s="72"/>
      <c r="S582" s="72"/>
    </row>
    <row r="583" spans="18:19" x14ac:dyDescent="0.25">
      <c r="R583" s="72"/>
      <c r="S583" s="72"/>
    </row>
    <row r="584" spans="18:19" x14ac:dyDescent="0.25">
      <c r="R584" s="72"/>
      <c r="S584" s="72"/>
    </row>
    <row r="585" spans="18:19" x14ac:dyDescent="0.25">
      <c r="R585" s="72"/>
      <c r="S585" s="72"/>
    </row>
    <row r="586" spans="18:19" x14ac:dyDescent="0.25">
      <c r="R586" s="72"/>
      <c r="S586" s="72"/>
    </row>
    <row r="587" spans="18:19" x14ac:dyDescent="0.25">
      <c r="R587" s="72"/>
      <c r="S587" s="72"/>
    </row>
    <row r="588" spans="18:19" x14ac:dyDescent="0.25">
      <c r="R588" s="72"/>
      <c r="S588" s="72"/>
    </row>
    <row r="589" spans="18:19" x14ac:dyDescent="0.25">
      <c r="R589" s="72"/>
      <c r="S589" s="72"/>
    </row>
    <row r="590" spans="18:19" x14ac:dyDescent="0.25">
      <c r="R590" s="72"/>
      <c r="S590" s="72"/>
    </row>
    <row r="591" spans="18:19" x14ac:dyDescent="0.25">
      <c r="R591" s="72"/>
      <c r="S591" s="72"/>
    </row>
    <row r="592" spans="18:19" x14ac:dyDescent="0.25">
      <c r="R592" s="72"/>
      <c r="S592" s="72"/>
    </row>
    <row r="593" spans="18:19" x14ac:dyDescent="0.25">
      <c r="R593" s="72"/>
      <c r="S593" s="72"/>
    </row>
    <row r="594" spans="18:19" x14ac:dyDescent="0.25">
      <c r="R594" s="72"/>
      <c r="S594" s="72"/>
    </row>
    <row r="595" spans="18:19" x14ac:dyDescent="0.25">
      <c r="R595" s="72"/>
      <c r="S595" s="72"/>
    </row>
    <row r="596" spans="18:19" x14ac:dyDescent="0.25">
      <c r="R596" s="72"/>
      <c r="S596" s="72"/>
    </row>
    <row r="597" spans="18:19" x14ac:dyDescent="0.25">
      <c r="R597" s="72"/>
      <c r="S597" s="72"/>
    </row>
    <row r="598" spans="18:19" x14ac:dyDescent="0.25">
      <c r="R598" s="72"/>
      <c r="S598" s="72"/>
    </row>
    <row r="599" spans="18:19" x14ac:dyDescent="0.25">
      <c r="R599" s="72"/>
      <c r="S599" s="72"/>
    </row>
    <row r="600" spans="18:19" x14ac:dyDescent="0.25">
      <c r="R600" s="72"/>
      <c r="S600" s="72"/>
    </row>
    <row r="601" spans="18:19" x14ac:dyDescent="0.25">
      <c r="R601" s="72"/>
      <c r="S601" s="72"/>
    </row>
    <row r="602" spans="18:19" x14ac:dyDescent="0.25">
      <c r="R602" s="72"/>
      <c r="S602" s="72"/>
    </row>
    <row r="603" spans="18:19" x14ac:dyDescent="0.25">
      <c r="R603" s="72"/>
      <c r="S603" s="72"/>
    </row>
    <row r="604" spans="18:19" x14ac:dyDescent="0.25">
      <c r="R604" s="72"/>
      <c r="S604" s="72"/>
    </row>
    <row r="605" spans="18:19" x14ac:dyDescent="0.25">
      <c r="R605" s="72"/>
      <c r="S605" s="72"/>
    </row>
    <row r="606" spans="18:19" x14ac:dyDescent="0.25">
      <c r="R606" s="72"/>
      <c r="S606" s="72"/>
    </row>
    <row r="607" spans="18:19" x14ac:dyDescent="0.25">
      <c r="R607" s="72"/>
      <c r="S607" s="72"/>
    </row>
    <row r="608" spans="18:19" x14ac:dyDescent="0.25">
      <c r="R608" s="72"/>
      <c r="S608" s="72"/>
    </row>
    <row r="609" spans="18:19" x14ac:dyDescent="0.25">
      <c r="R609" s="72"/>
      <c r="S609" s="72"/>
    </row>
    <row r="610" spans="18:19" x14ac:dyDescent="0.25">
      <c r="R610" s="72"/>
      <c r="S610" s="72"/>
    </row>
    <row r="611" spans="18:19" x14ac:dyDescent="0.25">
      <c r="R611" s="72"/>
      <c r="S611" s="72"/>
    </row>
    <row r="612" spans="18:19" x14ac:dyDescent="0.25">
      <c r="R612" s="72"/>
      <c r="S612" s="72"/>
    </row>
    <row r="613" spans="18:19" x14ac:dyDescent="0.25">
      <c r="R613" s="72"/>
      <c r="S613" s="72"/>
    </row>
    <row r="614" spans="18:19" x14ac:dyDescent="0.25">
      <c r="R614" s="72"/>
      <c r="S614" s="72"/>
    </row>
    <row r="615" spans="18:19" x14ac:dyDescent="0.25">
      <c r="R615" s="72"/>
      <c r="S615" s="72"/>
    </row>
    <row r="616" spans="18:19" x14ac:dyDescent="0.25">
      <c r="R616" s="72"/>
      <c r="S616" s="72"/>
    </row>
    <row r="617" spans="18:19" x14ac:dyDescent="0.25">
      <c r="R617" s="72"/>
      <c r="S617" s="72"/>
    </row>
    <row r="618" spans="18:19" x14ac:dyDescent="0.25">
      <c r="R618" s="72"/>
      <c r="S618" s="72"/>
    </row>
    <row r="619" spans="18:19" x14ac:dyDescent="0.25">
      <c r="R619" s="72"/>
      <c r="S619" s="72"/>
    </row>
    <row r="620" spans="18:19" x14ac:dyDescent="0.25">
      <c r="R620" s="72"/>
      <c r="S620" s="72"/>
    </row>
    <row r="621" spans="18:19" x14ac:dyDescent="0.25">
      <c r="R621" s="72"/>
      <c r="S621" s="72"/>
    </row>
    <row r="622" spans="18:19" x14ac:dyDescent="0.25">
      <c r="R622" s="72"/>
      <c r="S622" s="72"/>
    </row>
    <row r="623" spans="18:19" x14ac:dyDescent="0.25">
      <c r="R623" s="72"/>
      <c r="S623" s="72"/>
    </row>
    <row r="624" spans="18:19" x14ac:dyDescent="0.25">
      <c r="R624" s="72"/>
      <c r="S624" s="72"/>
    </row>
    <row r="625" spans="18:19" x14ac:dyDescent="0.25">
      <c r="R625" s="72"/>
      <c r="S625" s="72"/>
    </row>
    <row r="626" spans="18:19" x14ac:dyDescent="0.25">
      <c r="R626" s="72"/>
      <c r="S626" s="72"/>
    </row>
    <row r="627" spans="18:19" x14ac:dyDescent="0.25">
      <c r="R627" s="72"/>
      <c r="S627" s="72"/>
    </row>
    <row r="628" spans="18:19" x14ac:dyDescent="0.25">
      <c r="R628" s="72"/>
      <c r="S628" s="72"/>
    </row>
    <row r="629" spans="18:19" x14ac:dyDescent="0.25">
      <c r="R629" s="72"/>
      <c r="S629" s="72"/>
    </row>
    <row r="630" spans="18:19" x14ac:dyDescent="0.25">
      <c r="R630" s="72"/>
      <c r="S630" s="72"/>
    </row>
    <row r="631" spans="18:19" x14ac:dyDescent="0.25">
      <c r="R631" s="72"/>
      <c r="S631" s="72"/>
    </row>
    <row r="632" spans="18:19" x14ac:dyDescent="0.25">
      <c r="R632" s="72"/>
      <c r="S632" s="72"/>
    </row>
    <row r="633" spans="18:19" x14ac:dyDescent="0.25">
      <c r="R633" s="72"/>
      <c r="S633" s="72"/>
    </row>
    <row r="634" spans="18:19" x14ac:dyDescent="0.25">
      <c r="R634" s="72"/>
      <c r="S634" s="72"/>
    </row>
    <row r="635" spans="18:19" x14ac:dyDescent="0.25">
      <c r="R635" s="72"/>
      <c r="S635" s="72"/>
    </row>
    <row r="636" spans="18:19" x14ac:dyDescent="0.25">
      <c r="R636" s="72"/>
      <c r="S636" s="72"/>
    </row>
    <row r="637" spans="18:19" x14ac:dyDescent="0.25">
      <c r="R637" s="72"/>
      <c r="S637" s="72"/>
    </row>
    <row r="638" spans="18:19" x14ac:dyDescent="0.25">
      <c r="R638" s="72"/>
      <c r="S638" s="72"/>
    </row>
    <row r="639" spans="18:19" x14ac:dyDescent="0.25">
      <c r="R639" s="72"/>
      <c r="S639" s="72"/>
    </row>
    <row r="640" spans="18:19" x14ac:dyDescent="0.25">
      <c r="R640" s="72"/>
      <c r="S640" s="72"/>
    </row>
    <row r="641" spans="18:19" x14ac:dyDescent="0.25">
      <c r="R641" s="72"/>
      <c r="S641" s="72"/>
    </row>
    <row r="642" spans="18:19" x14ac:dyDescent="0.25">
      <c r="R642" s="72"/>
      <c r="S642" s="72"/>
    </row>
    <row r="643" spans="18:19" x14ac:dyDescent="0.25">
      <c r="R643" s="72"/>
      <c r="S643" s="72"/>
    </row>
    <row r="644" spans="18:19" x14ac:dyDescent="0.25">
      <c r="R644" s="72"/>
      <c r="S644" s="72"/>
    </row>
    <row r="645" spans="18:19" x14ac:dyDescent="0.25">
      <c r="R645" s="72"/>
      <c r="S645" s="72"/>
    </row>
    <row r="646" spans="18:19" x14ac:dyDescent="0.25">
      <c r="R646" s="72"/>
      <c r="S646" s="72"/>
    </row>
    <row r="647" spans="18:19" x14ac:dyDescent="0.25">
      <c r="R647" s="72"/>
      <c r="S647" s="72"/>
    </row>
    <row r="648" spans="18:19" x14ac:dyDescent="0.25">
      <c r="R648" s="72"/>
      <c r="S648" s="72"/>
    </row>
    <row r="649" spans="18:19" x14ac:dyDescent="0.25">
      <c r="R649" s="72"/>
      <c r="S649" s="72"/>
    </row>
    <row r="650" spans="18:19" x14ac:dyDescent="0.25">
      <c r="R650" s="72"/>
      <c r="S650" s="72"/>
    </row>
    <row r="651" spans="18:19" x14ac:dyDescent="0.25">
      <c r="R651" s="72"/>
      <c r="S651" s="72"/>
    </row>
    <row r="652" spans="18:19" x14ac:dyDescent="0.25">
      <c r="R652" s="72"/>
      <c r="S652" s="72"/>
    </row>
    <row r="653" spans="18:19" x14ac:dyDescent="0.25">
      <c r="R653" s="72"/>
      <c r="S653" s="72"/>
    </row>
    <row r="654" spans="18:19" x14ac:dyDescent="0.25">
      <c r="R654" s="72"/>
      <c r="S654" s="72"/>
    </row>
    <row r="655" spans="18:19" x14ac:dyDescent="0.25">
      <c r="R655" s="72"/>
      <c r="S655" s="72"/>
    </row>
    <row r="656" spans="18:19" x14ac:dyDescent="0.25">
      <c r="R656" s="72"/>
      <c r="S656" s="72"/>
    </row>
    <row r="657" spans="18:19" x14ac:dyDescent="0.25">
      <c r="R657" s="72"/>
      <c r="S657" s="72"/>
    </row>
    <row r="658" spans="18:19" x14ac:dyDescent="0.25">
      <c r="R658" s="72"/>
      <c r="S658" s="72"/>
    </row>
    <row r="659" spans="18:19" x14ac:dyDescent="0.25">
      <c r="R659" s="72"/>
      <c r="S659" s="72"/>
    </row>
    <row r="660" spans="18:19" x14ac:dyDescent="0.25">
      <c r="R660" s="72"/>
      <c r="S660" s="72"/>
    </row>
    <row r="661" spans="18:19" x14ac:dyDescent="0.25">
      <c r="R661" s="72"/>
      <c r="S661" s="72"/>
    </row>
    <row r="662" spans="18:19" x14ac:dyDescent="0.25">
      <c r="R662" s="72"/>
      <c r="S662" s="72"/>
    </row>
    <row r="663" spans="18:19" x14ac:dyDescent="0.25">
      <c r="R663" s="72"/>
      <c r="S663" s="72"/>
    </row>
    <row r="664" spans="18:19" x14ac:dyDescent="0.25">
      <c r="R664" s="72"/>
      <c r="S664" s="72"/>
    </row>
    <row r="665" spans="18:19" x14ac:dyDescent="0.25">
      <c r="R665" s="72"/>
      <c r="S665" s="72"/>
    </row>
    <row r="666" spans="18:19" x14ac:dyDescent="0.25">
      <c r="R666" s="72"/>
      <c r="S666" s="72"/>
    </row>
    <row r="667" spans="18:19" x14ac:dyDescent="0.25">
      <c r="R667" s="72"/>
      <c r="S667" s="72"/>
    </row>
    <row r="668" spans="18:19" x14ac:dyDescent="0.25">
      <c r="R668" s="72"/>
      <c r="S668" s="72"/>
    </row>
    <row r="669" spans="18:19" x14ac:dyDescent="0.25">
      <c r="R669" s="72"/>
      <c r="S669" s="72"/>
    </row>
    <row r="670" spans="18:19" x14ac:dyDescent="0.25">
      <c r="R670" s="72"/>
      <c r="S670" s="72"/>
    </row>
    <row r="671" spans="18:19" x14ac:dyDescent="0.25">
      <c r="R671" s="72"/>
      <c r="S671" s="72"/>
    </row>
    <row r="672" spans="18:19" x14ac:dyDescent="0.25">
      <c r="R672" s="72"/>
      <c r="S672" s="72"/>
    </row>
    <row r="673" spans="18:19" x14ac:dyDescent="0.25">
      <c r="R673" s="72"/>
      <c r="S673" s="72"/>
    </row>
    <row r="674" spans="18:19" x14ac:dyDescent="0.25">
      <c r="R674" s="72"/>
      <c r="S674" s="72"/>
    </row>
    <row r="675" spans="18:19" x14ac:dyDescent="0.25">
      <c r="R675" s="72"/>
      <c r="S675" s="72"/>
    </row>
    <row r="676" spans="18:19" x14ac:dyDescent="0.25">
      <c r="R676" s="72"/>
      <c r="S676" s="72"/>
    </row>
    <row r="677" spans="18:19" x14ac:dyDescent="0.25">
      <c r="R677" s="72"/>
      <c r="S677" s="72"/>
    </row>
    <row r="678" spans="18:19" x14ac:dyDescent="0.25">
      <c r="R678" s="72"/>
      <c r="S678" s="72"/>
    </row>
    <row r="679" spans="18:19" x14ac:dyDescent="0.25">
      <c r="R679" s="72"/>
      <c r="S679" s="72"/>
    </row>
    <row r="680" spans="18:19" x14ac:dyDescent="0.25">
      <c r="R680" s="72"/>
      <c r="S680" s="72"/>
    </row>
    <row r="681" spans="18:19" x14ac:dyDescent="0.25">
      <c r="R681" s="72"/>
      <c r="S681" s="72"/>
    </row>
    <row r="682" spans="18:19" x14ac:dyDescent="0.25">
      <c r="R682" s="72"/>
      <c r="S682" s="72"/>
    </row>
    <row r="683" spans="18:19" x14ac:dyDescent="0.25">
      <c r="R683" s="72"/>
      <c r="S683" s="72"/>
    </row>
    <row r="684" spans="18:19" x14ac:dyDescent="0.25">
      <c r="R684" s="72"/>
      <c r="S684" s="72"/>
    </row>
    <row r="685" spans="18:19" x14ac:dyDescent="0.25">
      <c r="R685" s="72"/>
      <c r="S685" s="72"/>
    </row>
    <row r="686" spans="18:19" x14ac:dyDescent="0.25">
      <c r="R686" s="72"/>
      <c r="S686" s="72"/>
    </row>
    <row r="687" spans="18:19" x14ac:dyDescent="0.25">
      <c r="R687" s="72"/>
      <c r="S687" s="72"/>
    </row>
    <row r="688" spans="18:19" x14ac:dyDescent="0.25">
      <c r="R688" s="72"/>
      <c r="S688" s="72"/>
    </row>
    <row r="689" spans="18:19" x14ac:dyDescent="0.25">
      <c r="R689" s="72"/>
      <c r="S689" s="72"/>
    </row>
    <row r="690" spans="18:19" x14ac:dyDescent="0.25">
      <c r="R690" s="72"/>
      <c r="S690" s="72"/>
    </row>
    <row r="691" spans="18:19" x14ac:dyDescent="0.25">
      <c r="R691" s="72"/>
      <c r="S691" s="72"/>
    </row>
    <row r="692" spans="18:19" x14ac:dyDescent="0.25">
      <c r="R692" s="72"/>
      <c r="S692" s="72"/>
    </row>
    <row r="693" spans="18:19" x14ac:dyDescent="0.25">
      <c r="R693" s="72"/>
      <c r="S693" s="72"/>
    </row>
    <row r="694" spans="18:19" x14ac:dyDescent="0.25">
      <c r="R694" s="72"/>
      <c r="S694" s="72"/>
    </row>
    <row r="695" spans="18:19" x14ac:dyDescent="0.25">
      <c r="R695" s="72"/>
      <c r="S695" s="72"/>
    </row>
    <row r="696" spans="18:19" x14ac:dyDescent="0.25">
      <c r="R696" s="72"/>
      <c r="S696" s="72"/>
    </row>
    <row r="697" spans="18:19" x14ac:dyDescent="0.25">
      <c r="R697" s="72"/>
      <c r="S697" s="72"/>
    </row>
    <row r="698" spans="18:19" x14ac:dyDescent="0.25">
      <c r="R698" s="72"/>
      <c r="S698" s="72"/>
    </row>
    <row r="699" spans="18:19" x14ac:dyDescent="0.25">
      <c r="R699" s="72"/>
      <c r="S699" s="72"/>
    </row>
    <row r="700" spans="18:19" x14ac:dyDescent="0.25">
      <c r="R700" s="72"/>
      <c r="S700" s="72"/>
    </row>
    <row r="701" spans="18:19" x14ac:dyDescent="0.25">
      <c r="R701" s="72"/>
      <c r="S701" s="72"/>
    </row>
    <row r="702" spans="18:19" x14ac:dyDescent="0.25">
      <c r="R702" s="72"/>
      <c r="S702" s="72"/>
    </row>
    <row r="703" spans="18:19" x14ac:dyDescent="0.25">
      <c r="R703" s="72"/>
      <c r="S703" s="72"/>
    </row>
    <row r="704" spans="18:19" x14ac:dyDescent="0.25">
      <c r="R704" s="72"/>
      <c r="S704" s="72"/>
    </row>
    <row r="705" spans="18:19" x14ac:dyDescent="0.25">
      <c r="R705" s="72"/>
      <c r="S705" s="72"/>
    </row>
    <row r="706" spans="18:19" x14ac:dyDescent="0.25">
      <c r="R706" s="72"/>
      <c r="S706" s="72"/>
    </row>
    <row r="707" spans="18:19" x14ac:dyDescent="0.25">
      <c r="R707" s="72"/>
      <c r="S707" s="72"/>
    </row>
    <row r="708" spans="18:19" x14ac:dyDescent="0.25">
      <c r="R708" s="72"/>
      <c r="S708" s="72"/>
    </row>
    <row r="709" spans="18:19" x14ac:dyDescent="0.25">
      <c r="R709" s="72"/>
      <c r="S709" s="72"/>
    </row>
    <row r="710" spans="18:19" x14ac:dyDescent="0.25">
      <c r="R710" s="72"/>
      <c r="S710" s="72"/>
    </row>
    <row r="711" spans="18:19" x14ac:dyDescent="0.25">
      <c r="R711" s="72"/>
      <c r="S711" s="72"/>
    </row>
    <row r="712" spans="18:19" x14ac:dyDescent="0.25">
      <c r="R712" s="72"/>
      <c r="S712" s="72"/>
    </row>
    <row r="713" spans="18:19" x14ac:dyDescent="0.25">
      <c r="R713" s="72"/>
      <c r="S713" s="72"/>
    </row>
    <row r="714" spans="18:19" x14ac:dyDescent="0.25">
      <c r="R714" s="72"/>
      <c r="S714" s="72"/>
    </row>
    <row r="715" spans="18:19" x14ac:dyDescent="0.25">
      <c r="R715" s="72"/>
      <c r="S715" s="72"/>
    </row>
    <row r="716" spans="18:19" x14ac:dyDescent="0.25">
      <c r="R716" s="72"/>
      <c r="S716" s="72"/>
    </row>
    <row r="717" spans="18:19" x14ac:dyDescent="0.25">
      <c r="R717" s="72"/>
      <c r="S717" s="72"/>
    </row>
    <row r="718" spans="18:19" x14ac:dyDescent="0.25">
      <c r="R718" s="72"/>
      <c r="S718" s="72"/>
    </row>
    <row r="719" spans="18:19" x14ac:dyDescent="0.25">
      <c r="R719" s="72"/>
      <c r="S719" s="72"/>
    </row>
    <row r="720" spans="18:19" x14ac:dyDescent="0.25">
      <c r="R720" s="72"/>
      <c r="S720" s="72"/>
    </row>
    <row r="721" spans="18:19" x14ac:dyDescent="0.25">
      <c r="R721" s="72"/>
      <c r="S721" s="72"/>
    </row>
    <row r="722" spans="18:19" x14ac:dyDescent="0.25">
      <c r="R722" s="72"/>
      <c r="S722" s="72"/>
    </row>
    <row r="723" spans="18:19" x14ac:dyDescent="0.25">
      <c r="R723" s="72"/>
      <c r="S723" s="72"/>
    </row>
    <row r="724" spans="18:19" x14ac:dyDescent="0.25">
      <c r="R724" s="72"/>
      <c r="S724" s="72"/>
    </row>
    <row r="725" spans="18:19" x14ac:dyDescent="0.25">
      <c r="R725" s="72"/>
      <c r="S725" s="72"/>
    </row>
    <row r="726" spans="18:19" x14ac:dyDescent="0.25">
      <c r="R726" s="72"/>
      <c r="S726" s="72"/>
    </row>
    <row r="727" spans="18:19" x14ac:dyDescent="0.25">
      <c r="R727" s="72"/>
      <c r="S727" s="72"/>
    </row>
    <row r="728" spans="18:19" x14ac:dyDescent="0.25">
      <c r="R728" s="72"/>
      <c r="S728" s="72"/>
    </row>
    <row r="729" spans="18:19" x14ac:dyDescent="0.25">
      <c r="R729" s="72"/>
      <c r="S729" s="72"/>
    </row>
    <row r="730" spans="18:19" x14ac:dyDescent="0.25">
      <c r="R730" s="72"/>
      <c r="S730" s="72"/>
    </row>
    <row r="731" spans="18:19" x14ac:dyDescent="0.25">
      <c r="R731" s="72"/>
      <c r="S731" s="72"/>
    </row>
    <row r="732" spans="18:19" x14ac:dyDescent="0.25">
      <c r="R732" s="72"/>
      <c r="S732" s="72"/>
    </row>
    <row r="733" spans="18:19" x14ac:dyDescent="0.25">
      <c r="R733" s="72"/>
      <c r="S733" s="72"/>
    </row>
    <row r="734" spans="18:19" x14ac:dyDescent="0.25">
      <c r="R734" s="72"/>
      <c r="S734" s="72"/>
    </row>
    <row r="735" spans="18:19" x14ac:dyDescent="0.25">
      <c r="R735" s="72"/>
      <c r="S735" s="72"/>
    </row>
    <row r="736" spans="18:19" x14ac:dyDescent="0.25">
      <c r="R736" s="72"/>
      <c r="S736" s="72"/>
    </row>
    <row r="737" spans="18:19" x14ac:dyDescent="0.25">
      <c r="R737" s="72"/>
      <c r="S737" s="72"/>
    </row>
    <row r="738" spans="18:19" x14ac:dyDescent="0.25">
      <c r="R738" s="72"/>
      <c r="S738" s="72"/>
    </row>
    <row r="739" spans="18:19" x14ac:dyDescent="0.25">
      <c r="R739" s="72"/>
      <c r="S739" s="72"/>
    </row>
    <row r="740" spans="18:19" x14ac:dyDescent="0.25">
      <c r="R740" s="72"/>
      <c r="S740" s="72"/>
    </row>
    <row r="741" spans="18:19" x14ac:dyDescent="0.25">
      <c r="R741" s="72"/>
      <c r="S741" s="72"/>
    </row>
    <row r="742" spans="18:19" x14ac:dyDescent="0.25">
      <c r="R742" s="72"/>
      <c r="S742" s="72"/>
    </row>
    <row r="743" spans="18:19" x14ac:dyDescent="0.25">
      <c r="R743" s="72"/>
      <c r="S743" s="72"/>
    </row>
    <row r="744" spans="18:19" x14ac:dyDescent="0.25">
      <c r="R744" s="72"/>
      <c r="S744" s="72"/>
    </row>
    <row r="745" spans="18:19" x14ac:dyDescent="0.25">
      <c r="R745" s="72"/>
      <c r="S745" s="72"/>
    </row>
    <row r="746" spans="18:19" x14ac:dyDescent="0.25">
      <c r="R746" s="72"/>
      <c r="S746" s="72"/>
    </row>
    <row r="747" spans="18:19" x14ac:dyDescent="0.25">
      <c r="R747" s="72"/>
      <c r="S747" s="72"/>
    </row>
    <row r="748" spans="18:19" x14ac:dyDescent="0.25">
      <c r="R748" s="72"/>
      <c r="S748" s="72"/>
    </row>
    <row r="749" spans="18:19" x14ac:dyDescent="0.25">
      <c r="R749" s="72"/>
      <c r="S749" s="72"/>
    </row>
    <row r="750" spans="18:19" x14ac:dyDescent="0.25">
      <c r="R750" s="72"/>
      <c r="S750" s="72"/>
    </row>
    <row r="751" spans="18:19" x14ac:dyDescent="0.25">
      <c r="R751" s="72"/>
      <c r="S751" s="72"/>
    </row>
    <row r="752" spans="18:19" x14ac:dyDescent="0.25">
      <c r="R752" s="72"/>
      <c r="S752" s="72"/>
    </row>
    <row r="753" spans="18:19" x14ac:dyDescent="0.25">
      <c r="R753" s="72"/>
      <c r="S753" s="72"/>
    </row>
    <row r="754" spans="18:19" x14ac:dyDescent="0.25">
      <c r="R754" s="72"/>
      <c r="S754" s="72"/>
    </row>
    <row r="755" spans="18:19" x14ac:dyDescent="0.25">
      <c r="R755" s="72"/>
      <c r="S755" s="72"/>
    </row>
    <row r="756" spans="18:19" x14ac:dyDescent="0.25">
      <c r="R756" s="72"/>
      <c r="S756" s="72"/>
    </row>
    <row r="757" spans="18:19" x14ac:dyDescent="0.25">
      <c r="R757" s="72"/>
      <c r="S757" s="72"/>
    </row>
    <row r="758" spans="18:19" x14ac:dyDescent="0.25">
      <c r="R758" s="72"/>
      <c r="S758" s="72"/>
    </row>
    <row r="759" spans="18:19" x14ac:dyDescent="0.25">
      <c r="R759" s="72"/>
      <c r="S759" s="72"/>
    </row>
    <row r="760" spans="18:19" x14ac:dyDescent="0.25">
      <c r="R760" s="72"/>
      <c r="S760" s="72"/>
    </row>
    <row r="761" spans="18:19" x14ac:dyDescent="0.25">
      <c r="R761" s="72"/>
      <c r="S761" s="72"/>
    </row>
    <row r="762" spans="18:19" x14ac:dyDescent="0.25">
      <c r="R762" s="72"/>
      <c r="S762" s="72"/>
    </row>
    <row r="763" spans="18:19" x14ac:dyDescent="0.25">
      <c r="R763" s="72"/>
      <c r="S763" s="72"/>
    </row>
    <row r="764" spans="18:19" x14ac:dyDescent="0.25">
      <c r="R764" s="72"/>
      <c r="S764" s="72"/>
    </row>
    <row r="765" spans="18:19" x14ac:dyDescent="0.25">
      <c r="R765" s="72"/>
      <c r="S765" s="72"/>
    </row>
    <row r="766" spans="18:19" x14ac:dyDescent="0.25">
      <c r="R766" s="72"/>
      <c r="S766" s="72"/>
    </row>
    <row r="767" spans="18:19" x14ac:dyDescent="0.25">
      <c r="R767" s="72"/>
      <c r="S767" s="72"/>
    </row>
    <row r="768" spans="18:19" x14ac:dyDescent="0.25">
      <c r="R768" s="72"/>
      <c r="S768" s="72"/>
    </row>
    <row r="769" spans="18:19" x14ac:dyDescent="0.25">
      <c r="R769" s="72"/>
      <c r="S769" s="72"/>
    </row>
    <row r="770" spans="18:19" x14ac:dyDescent="0.25">
      <c r="R770" s="72"/>
      <c r="S770" s="72"/>
    </row>
    <row r="771" spans="18:19" x14ac:dyDescent="0.25">
      <c r="R771" s="72"/>
      <c r="S771" s="72"/>
    </row>
    <row r="772" spans="18:19" x14ac:dyDescent="0.25">
      <c r="R772" s="72"/>
      <c r="S772" s="72"/>
    </row>
    <row r="773" spans="18:19" x14ac:dyDescent="0.25">
      <c r="R773" s="72"/>
      <c r="S773" s="72"/>
    </row>
    <row r="774" spans="18:19" x14ac:dyDescent="0.25">
      <c r="R774" s="72"/>
      <c r="S774" s="72"/>
    </row>
    <row r="775" spans="18:19" x14ac:dyDescent="0.25">
      <c r="R775" s="72"/>
      <c r="S775" s="72"/>
    </row>
    <row r="776" spans="18:19" x14ac:dyDescent="0.25">
      <c r="R776" s="72"/>
      <c r="S776" s="72"/>
    </row>
    <row r="777" spans="18:19" x14ac:dyDescent="0.25">
      <c r="R777" s="72"/>
      <c r="S777" s="72"/>
    </row>
    <row r="778" spans="18:19" x14ac:dyDescent="0.25">
      <c r="R778" s="72"/>
      <c r="S778" s="72"/>
    </row>
    <row r="779" spans="18:19" x14ac:dyDescent="0.25">
      <c r="R779" s="72"/>
      <c r="S779" s="72"/>
    </row>
    <row r="780" spans="18:19" x14ac:dyDescent="0.25">
      <c r="R780" s="72"/>
      <c r="S780" s="72"/>
    </row>
    <row r="781" spans="18:19" x14ac:dyDescent="0.25">
      <c r="R781" s="72"/>
      <c r="S781" s="72"/>
    </row>
    <row r="782" spans="18:19" x14ac:dyDescent="0.25">
      <c r="R782" s="72"/>
      <c r="S782" s="72"/>
    </row>
    <row r="783" spans="18:19" x14ac:dyDescent="0.25">
      <c r="R783" s="72"/>
      <c r="S783" s="72"/>
    </row>
    <row r="784" spans="18:19" x14ac:dyDescent="0.25">
      <c r="R784" s="72"/>
      <c r="S784" s="72"/>
    </row>
    <row r="785" spans="18:19" x14ac:dyDescent="0.25">
      <c r="R785" s="72"/>
      <c r="S785" s="72"/>
    </row>
    <row r="786" spans="18:19" x14ac:dyDescent="0.25">
      <c r="R786" s="72"/>
      <c r="S786" s="72"/>
    </row>
    <row r="787" spans="18:19" x14ac:dyDescent="0.25">
      <c r="R787" s="72"/>
      <c r="S787" s="72"/>
    </row>
    <row r="788" spans="18:19" x14ac:dyDescent="0.25">
      <c r="R788" s="72"/>
      <c r="S788" s="72"/>
    </row>
    <row r="789" spans="18:19" x14ac:dyDescent="0.25">
      <c r="R789" s="72"/>
      <c r="S789" s="72"/>
    </row>
    <row r="790" spans="18:19" x14ac:dyDescent="0.25">
      <c r="R790" s="72"/>
      <c r="S790" s="72"/>
    </row>
    <row r="791" spans="18:19" x14ac:dyDescent="0.25">
      <c r="R791" s="72"/>
      <c r="S791" s="72"/>
    </row>
    <row r="792" spans="18:19" x14ac:dyDescent="0.25">
      <c r="R792" s="72"/>
      <c r="S792" s="72"/>
    </row>
    <row r="793" spans="18:19" x14ac:dyDescent="0.25">
      <c r="R793" s="72"/>
      <c r="S793" s="72"/>
    </row>
    <row r="794" spans="18:19" x14ac:dyDescent="0.25">
      <c r="R794" s="72"/>
      <c r="S794" s="72"/>
    </row>
    <row r="795" spans="18:19" x14ac:dyDescent="0.25">
      <c r="R795" s="72"/>
      <c r="S795" s="72"/>
    </row>
    <row r="796" spans="18:19" x14ac:dyDescent="0.25">
      <c r="R796" s="72"/>
      <c r="S796" s="72"/>
    </row>
    <row r="797" spans="18:19" x14ac:dyDescent="0.25">
      <c r="R797" s="72"/>
      <c r="S797" s="72"/>
    </row>
    <row r="798" spans="18:19" x14ac:dyDescent="0.25">
      <c r="R798" s="72"/>
      <c r="S798" s="72"/>
    </row>
    <row r="799" spans="18:19" x14ac:dyDescent="0.25">
      <c r="R799" s="72"/>
      <c r="S799" s="72"/>
    </row>
    <row r="800" spans="18:19" x14ac:dyDescent="0.25">
      <c r="R800" s="72"/>
      <c r="S800" s="72"/>
    </row>
    <row r="801" spans="18:19" x14ac:dyDescent="0.25">
      <c r="R801" s="72"/>
      <c r="S801" s="72"/>
    </row>
    <row r="802" spans="18:19" x14ac:dyDescent="0.25">
      <c r="R802" s="72"/>
      <c r="S802" s="72"/>
    </row>
    <row r="803" spans="18:19" x14ac:dyDescent="0.25">
      <c r="R803" s="72"/>
      <c r="S803" s="72"/>
    </row>
    <row r="804" spans="18:19" x14ac:dyDescent="0.25">
      <c r="R804" s="72"/>
      <c r="S804" s="72"/>
    </row>
    <row r="805" spans="18:19" x14ac:dyDescent="0.25">
      <c r="R805" s="72"/>
      <c r="S805" s="72"/>
    </row>
    <row r="806" spans="18:19" x14ac:dyDescent="0.25">
      <c r="R806" s="72"/>
      <c r="S806" s="72"/>
    </row>
    <row r="807" spans="18:19" x14ac:dyDescent="0.25">
      <c r="R807" s="72"/>
      <c r="S807" s="72"/>
    </row>
    <row r="808" spans="18:19" x14ac:dyDescent="0.25">
      <c r="R808" s="72"/>
      <c r="S808" s="72"/>
    </row>
    <row r="809" spans="18:19" x14ac:dyDescent="0.25">
      <c r="R809" s="72"/>
      <c r="S809" s="72"/>
    </row>
    <row r="810" spans="18:19" x14ac:dyDescent="0.25">
      <c r="R810" s="72"/>
      <c r="S810" s="72"/>
    </row>
    <row r="811" spans="18:19" x14ac:dyDescent="0.25">
      <c r="R811" s="72"/>
      <c r="S811" s="72"/>
    </row>
    <row r="812" spans="18:19" x14ac:dyDescent="0.25">
      <c r="R812" s="72"/>
      <c r="S812" s="72"/>
    </row>
    <row r="813" spans="18:19" x14ac:dyDescent="0.25">
      <c r="R813" s="72"/>
      <c r="S813" s="72"/>
    </row>
    <row r="814" spans="18:19" x14ac:dyDescent="0.25">
      <c r="R814" s="72"/>
      <c r="S814" s="72"/>
    </row>
    <row r="815" spans="18:19" x14ac:dyDescent="0.25">
      <c r="R815" s="72"/>
      <c r="S815" s="72"/>
    </row>
    <row r="816" spans="18:19" x14ac:dyDescent="0.25">
      <c r="R816" s="72"/>
      <c r="S816" s="72"/>
    </row>
    <row r="817" spans="18:19" x14ac:dyDescent="0.25">
      <c r="R817" s="72"/>
      <c r="S817" s="72"/>
    </row>
    <row r="818" spans="18:19" x14ac:dyDescent="0.25">
      <c r="R818" s="72"/>
      <c r="S818" s="72"/>
    </row>
    <row r="819" spans="18:19" x14ac:dyDescent="0.25">
      <c r="R819" s="72"/>
      <c r="S819" s="72"/>
    </row>
    <row r="820" spans="18:19" x14ac:dyDescent="0.25">
      <c r="R820" s="72"/>
      <c r="S820" s="72"/>
    </row>
    <row r="821" spans="18:19" x14ac:dyDescent="0.25">
      <c r="R821" s="72"/>
      <c r="S821" s="72"/>
    </row>
    <row r="822" spans="18:19" x14ac:dyDescent="0.25">
      <c r="R822" s="72"/>
      <c r="S822" s="72"/>
    </row>
    <row r="823" spans="18:19" x14ac:dyDescent="0.25">
      <c r="R823" s="72"/>
      <c r="S823" s="72"/>
    </row>
    <row r="824" spans="18:19" x14ac:dyDescent="0.25">
      <c r="R824" s="72"/>
      <c r="S824" s="72"/>
    </row>
    <row r="825" spans="18:19" x14ac:dyDescent="0.25">
      <c r="R825" s="72"/>
      <c r="S825" s="72"/>
    </row>
    <row r="826" spans="18:19" x14ac:dyDescent="0.25">
      <c r="R826" s="72"/>
      <c r="S826" s="72"/>
    </row>
    <row r="827" spans="18:19" x14ac:dyDescent="0.25">
      <c r="R827" s="72"/>
      <c r="S827" s="72"/>
    </row>
    <row r="828" spans="18:19" x14ac:dyDescent="0.25">
      <c r="R828" s="72"/>
      <c r="S828" s="72"/>
    </row>
    <row r="829" spans="18:19" x14ac:dyDescent="0.25">
      <c r="R829" s="72"/>
      <c r="S829" s="72"/>
    </row>
    <row r="830" spans="18:19" x14ac:dyDescent="0.25">
      <c r="R830" s="72"/>
      <c r="S830" s="72"/>
    </row>
    <row r="831" spans="18:19" x14ac:dyDescent="0.25">
      <c r="R831" s="72"/>
      <c r="S831" s="72"/>
    </row>
    <row r="832" spans="18:19" x14ac:dyDescent="0.25">
      <c r="R832" s="72"/>
      <c r="S832" s="72"/>
    </row>
    <row r="833" spans="18:19" x14ac:dyDescent="0.25">
      <c r="R833" s="72"/>
      <c r="S833" s="72"/>
    </row>
    <row r="834" spans="18:19" x14ac:dyDescent="0.25">
      <c r="R834" s="72"/>
      <c r="S834" s="72"/>
    </row>
    <row r="835" spans="18:19" x14ac:dyDescent="0.25">
      <c r="R835" s="72"/>
      <c r="S835" s="72"/>
    </row>
    <row r="836" spans="18:19" x14ac:dyDescent="0.25">
      <c r="R836" s="72"/>
      <c r="S836" s="72"/>
    </row>
    <row r="837" spans="18:19" x14ac:dyDescent="0.25">
      <c r="R837" s="72"/>
      <c r="S837" s="72"/>
    </row>
    <row r="838" spans="18:19" x14ac:dyDescent="0.25">
      <c r="R838" s="72"/>
      <c r="S838" s="72"/>
    </row>
    <row r="839" spans="18:19" x14ac:dyDescent="0.25">
      <c r="R839" s="72"/>
      <c r="S839" s="72"/>
    </row>
    <row r="840" spans="18:19" x14ac:dyDescent="0.25">
      <c r="R840" s="72"/>
      <c r="S840" s="72"/>
    </row>
    <row r="841" spans="18:19" x14ac:dyDescent="0.25">
      <c r="R841" s="72"/>
      <c r="S841" s="72"/>
    </row>
    <row r="842" spans="18:19" x14ac:dyDescent="0.25">
      <c r="R842" s="72"/>
      <c r="S842" s="72"/>
    </row>
    <row r="843" spans="18:19" x14ac:dyDescent="0.25">
      <c r="R843" s="72"/>
      <c r="S843" s="72"/>
    </row>
    <row r="844" spans="18:19" x14ac:dyDescent="0.25">
      <c r="R844" s="72"/>
      <c r="S844" s="72"/>
    </row>
    <row r="845" spans="18:19" x14ac:dyDescent="0.25">
      <c r="R845" s="72"/>
      <c r="S845" s="72"/>
    </row>
    <row r="846" spans="18:19" x14ac:dyDescent="0.25">
      <c r="R846" s="72"/>
      <c r="S846" s="72"/>
    </row>
    <row r="847" spans="18:19" x14ac:dyDescent="0.25">
      <c r="R847" s="72"/>
      <c r="S847" s="72"/>
    </row>
    <row r="848" spans="18:19" x14ac:dyDescent="0.25">
      <c r="R848" s="72"/>
      <c r="S848" s="72"/>
    </row>
    <row r="849" spans="18:19" x14ac:dyDescent="0.25">
      <c r="R849" s="72"/>
      <c r="S849" s="72"/>
    </row>
    <row r="850" spans="18:19" x14ac:dyDescent="0.25">
      <c r="R850" s="72"/>
      <c r="S850" s="72"/>
    </row>
    <row r="851" spans="18:19" x14ac:dyDescent="0.25">
      <c r="R851" s="72"/>
      <c r="S851" s="72"/>
    </row>
    <row r="852" spans="18:19" x14ac:dyDescent="0.25">
      <c r="R852" s="72"/>
      <c r="S852" s="72"/>
    </row>
    <row r="853" spans="18:19" x14ac:dyDescent="0.25">
      <c r="R853" s="72"/>
      <c r="S853" s="72"/>
    </row>
    <row r="854" spans="18:19" x14ac:dyDescent="0.25">
      <c r="R854" s="72"/>
      <c r="S854" s="72"/>
    </row>
    <row r="855" spans="18:19" x14ac:dyDescent="0.25">
      <c r="R855" s="72"/>
      <c r="S855" s="72"/>
    </row>
    <row r="856" spans="18:19" x14ac:dyDescent="0.25">
      <c r="R856" s="72"/>
      <c r="S856" s="72"/>
    </row>
    <row r="857" spans="18:19" x14ac:dyDescent="0.25">
      <c r="R857" s="72"/>
      <c r="S857" s="72"/>
    </row>
    <row r="858" spans="18:19" x14ac:dyDescent="0.25">
      <c r="R858" s="72"/>
      <c r="S858" s="72"/>
    </row>
    <row r="859" spans="18:19" x14ac:dyDescent="0.25">
      <c r="R859" s="72"/>
      <c r="S859" s="72"/>
    </row>
    <row r="860" spans="18:19" x14ac:dyDescent="0.25">
      <c r="R860" s="72"/>
      <c r="S860" s="72"/>
    </row>
    <row r="861" spans="18:19" x14ac:dyDescent="0.25">
      <c r="R861" s="72"/>
      <c r="S861" s="72"/>
    </row>
    <row r="862" spans="18:19" x14ac:dyDescent="0.25">
      <c r="R862" s="72"/>
      <c r="S862" s="72"/>
    </row>
    <row r="863" spans="18:19" x14ac:dyDescent="0.25">
      <c r="R863" s="72"/>
      <c r="S863" s="72"/>
    </row>
    <row r="864" spans="18:19" x14ac:dyDescent="0.25">
      <c r="R864" s="72"/>
      <c r="S864" s="72"/>
    </row>
    <row r="865" spans="18:19" x14ac:dyDescent="0.25">
      <c r="R865" s="72"/>
      <c r="S865" s="72"/>
    </row>
    <row r="866" spans="18:19" x14ac:dyDescent="0.25">
      <c r="R866" s="72"/>
      <c r="S866" s="72"/>
    </row>
    <row r="867" spans="18:19" x14ac:dyDescent="0.25">
      <c r="R867" s="72"/>
      <c r="S867" s="72"/>
    </row>
    <row r="868" spans="18:19" x14ac:dyDescent="0.25">
      <c r="R868" s="72"/>
      <c r="S868" s="72"/>
    </row>
    <row r="869" spans="18:19" x14ac:dyDescent="0.25">
      <c r="R869" s="72"/>
      <c r="S869" s="72"/>
    </row>
    <row r="870" spans="18:19" x14ac:dyDescent="0.25">
      <c r="R870" s="72"/>
      <c r="S870" s="72"/>
    </row>
    <row r="871" spans="18:19" x14ac:dyDescent="0.25">
      <c r="R871" s="72"/>
      <c r="S871" s="72"/>
    </row>
    <row r="872" spans="18:19" x14ac:dyDescent="0.25">
      <c r="R872" s="72"/>
      <c r="S872" s="72"/>
    </row>
    <row r="873" spans="18:19" x14ac:dyDescent="0.25">
      <c r="R873" s="72"/>
      <c r="S873" s="72"/>
    </row>
    <row r="874" spans="18:19" x14ac:dyDescent="0.25">
      <c r="R874" s="72"/>
      <c r="S874" s="72"/>
    </row>
    <row r="875" spans="18:19" x14ac:dyDescent="0.25">
      <c r="R875" s="72"/>
      <c r="S875" s="72"/>
    </row>
    <row r="876" spans="18:19" x14ac:dyDescent="0.25">
      <c r="R876" s="72"/>
      <c r="S876" s="72"/>
    </row>
    <row r="877" spans="18:19" x14ac:dyDescent="0.25">
      <c r="R877" s="72"/>
      <c r="S877" s="72"/>
    </row>
    <row r="878" spans="18:19" x14ac:dyDescent="0.25">
      <c r="R878" s="72"/>
      <c r="S878" s="72"/>
    </row>
    <row r="879" spans="18:19" x14ac:dyDescent="0.25">
      <c r="R879" s="72"/>
      <c r="S879" s="72"/>
    </row>
    <row r="880" spans="18:19" x14ac:dyDescent="0.25">
      <c r="R880" s="72"/>
      <c r="S880" s="72"/>
    </row>
    <row r="881" spans="18:19" x14ac:dyDescent="0.25">
      <c r="R881" s="72"/>
      <c r="S881" s="72"/>
    </row>
    <row r="882" spans="18:19" x14ac:dyDescent="0.25">
      <c r="R882" s="72"/>
      <c r="S882" s="72"/>
    </row>
    <row r="883" spans="18:19" x14ac:dyDescent="0.25">
      <c r="R883" s="72"/>
      <c r="S883" s="72"/>
    </row>
    <row r="884" spans="18:19" x14ac:dyDescent="0.25">
      <c r="R884" s="72"/>
      <c r="S884" s="72"/>
    </row>
    <row r="885" spans="18:19" x14ac:dyDescent="0.25">
      <c r="R885" s="72"/>
      <c r="S885" s="72"/>
    </row>
    <row r="886" spans="18:19" x14ac:dyDescent="0.25">
      <c r="R886" s="72"/>
      <c r="S886" s="72"/>
    </row>
    <row r="887" spans="18:19" x14ac:dyDescent="0.25">
      <c r="R887" s="72"/>
      <c r="S887" s="72"/>
    </row>
    <row r="888" spans="18:19" x14ac:dyDescent="0.25">
      <c r="R888" s="72"/>
      <c r="S888" s="72"/>
    </row>
    <row r="889" spans="18:19" x14ac:dyDescent="0.25">
      <c r="R889" s="72"/>
      <c r="S889" s="72"/>
    </row>
    <row r="890" spans="18:19" x14ac:dyDescent="0.25">
      <c r="R890" s="72"/>
      <c r="S890" s="72"/>
    </row>
    <row r="891" spans="18:19" x14ac:dyDescent="0.25">
      <c r="R891" s="72"/>
      <c r="S891" s="72"/>
    </row>
    <row r="892" spans="18:19" x14ac:dyDescent="0.25">
      <c r="R892" s="72"/>
      <c r="S892" s="72"/>
    </row>
    <row r="893" spans="18:19" x14ac:dyDescent="0.25">
      <c r="R893" s="72"/>
      <c r="S893" s="72"/>
    </row>
    <row r="894" spans="18:19" x14ac:dyDescent="0.25">
      <c r="R894" s="72"/>
      <c r="S894" s="72"/>
    </row>
    <row r="895" spans="18:19" x14ac:dyDescent="0.25">
      <c r="R895" s="72"/>
      <c r="S895" s="72"/>
    </row>
    <row r="896" spans="18:19" x14ac:dyDescent="0.25">
      <c r="R896" s="72"/>
      <c r="S896" s="72"/>
    </row>
    <row r="897" spans="18:19" x14ac:dyDescent="0.25">
      <c r="R897" s="72"/>
      <c r="S897" s="72"/>
    </row>
    <row r="898" spans="18:19" x14ac:dyDescent="0.25">
      <c r="R898" s="72"/>
      <c r="S898" s="72"/>
    </row>
    <row r="899" spans="18:19" x14ac:dyDescent="0.25">
      <c r="R899" s="72"/>
      <c r="S899" s="72"/>
    </row>
    <row r="900" spans="18:19" x14ac:dyDescent="0.25">
      <c r="R900" s="72"/>
      <c r="S900" s="72"/>
    </row>
    <row r="901" spans="18:19" x14ac:dyDescent="0.25">
      <c r="R901" s="72"/>
      <c r="S901" s="72"/>
    </row>
    <row r="902" spans="18:19" x14ac:dyDescent="0.25">
      <c r="R902" s="72"/>
      <c r="S902" s="72"/>
    </row>
    <row r="903" spans="18:19" x14ac:dyDescent="0.25">
      <c r="R903" s="72"/>
      <c r="S903" s="72"/>
    </row>
    <row r="904" spans="18:19" x14ac:dyDescent="0.25">
      <c r="R904" s="72"/>
      <c r="S904" s="72"/>
    </row>
    <row r="905" spans="18:19" x14ac:dyDescent="0.25">
      <c r="R905" s="72"/>
      <c r="S905" s="72"/>
    </row>
    <row r="906" spans="18:19" x14ac:dyDescent="0.25">
      <c r="R906" s="72"/>
      <c r="S906" s="72"/>
    </row>
    <row r="907" spans="18:19" x14ac:dyDescent="0.25">
      <c r="R907" s="72"/>
      <c r="S907" s="72"/>
    </row>
    <row r="908" spans="18:19" x14ac:dyDescent="0.25">
      <c r="R908" s="72"/>
      <c r="S908" s="72"/>
    </row>
    <row r="909" spans="18:19" x14ac:dyDescent="0.25">
      <c r="R909" s="72"/>
      <c r="S909" s="72"/>
    </row>
    <row r="910" spans="18:19" x14ac:dyDescent="0.25">
      <c r="R910" s="72"/>
      <c r="S910" s="72"/>
    </row>
    <row r="911" spans="18:19" x14ac:dyDescent="0.25">
      <c r="R911" s="72"/>
      <c r="S911" s="72"/>
    </row>
    <row r="912" spans="18:19" x14ac:dyDescent="0.25">
      <c r="R912" s="72"/>
      <c r="S912" s="72"/>
    </row>
    <row r="913" spans="18:19" x14ac:dyDescent="0.25">
      <c r="R913" s="72"/>
      <c r="S913" s="72"/>
    </row>
    <row r="914" spans="18:19" x14ac:dyDescent="0.25">
      <c r="R914" s="72"/>
      <c r="S914" s="72"/>
    </row>
    <row r="915" spans="18:19" x14ac:dyDescent="0.25">
      <c r="R915" s="72"/>
      <c r="S915" s="72"/>
    </row>
    <row r="916" spans="18:19" x14ac:dyDescent="0.25">
      <c r="R916" s="72"/>
      <c r="S916" s="72"/>
    </row>
    <row r="917" spans="18:19" x14ac:dyDescent="0.25">
      <c r="R917" s="72"/>
      <c r="S917" s="72"/>
    </row>
    <row r="918" spans="18:19" x14ac:dyDescent="0.25">
      <c r="R918" s="72"/>
      <c r="S918" s="72"/>
    </row>
    <row r="919" spans="18:19" x14ac:dyDescent="0.25">
      <c r="R919" s="72"/>
      <c r="S919" s="72"/>
    </row>
    <row r="920" spans="18:19" x14ac:dyDescent="0.25">
      <c r="R920" s="72"/>
      <c r="S920" s="72"/>
    </row>
    <row r="921" spans="18:19" x14ac:dyDescent="0.25">
      <c r="R921" s="72"/>
      <c r="S921" s="72"/>
    </row>
    <row r="922" spans="18:19" x14ac:dyDescent="0.25">
      <c r="R922" s="72"/>
      <c r="S922" s="72"/>
    </row>
    <row r="923" spans="18:19" x14ac:dyDescent="0.25">
      <c r="R923" s="72"/>
      <c r="S923" s="72"/>
    </row>
    <row r="924" spans="18:19" x14ac:dyDescent="0.25">
      <c r="R924" s="72"/>
      <c r="S924" s="72"/>
    </row>
    <row r="925" spans="18:19" x14ac:dyDescent="0.25">
      <c r="R925" s="72"/>
      <c r="S925" s="72"/>
    </row>
    <row r="926" spans="18:19" x14ac:dyDescent="0.25">
      <c r="R926" s="72"/>
      <c r="S926" s="72"/>
    </row>
    <row r="927" spans="18:19" x14ac:dyDescent="0.25">
      <c r="R927" s="72"/>
      <c r="S927" s="72"/>
    </row>
    <row r="928" spans="18:19" x14ac:dyDescent="0.25">
      <c r="R928" s="72"/>
      <c r="S928" s="72"/>
    </row>
    <row r="929" spans="18:19" x14ac:dyDescent="0.25">
      <c r="R929" s="72"/>
      <c r="S929" s="72"/>
    </row>
    <row r="930" spans="18:19" x14ac:dyDescent="0.25">
      <c r="R930" s="72"/>
      <c r="S930" s="72"/>
    </row>
    <row r="931" spans="18:19" x14ac:dyDescent="0.25">
      <c r="R931" s="72"/>
      <c r="S931" s="72"/>
    </row>
    <row r="932" spans="18:19" x14ac:dyDescent="0.25">
      <c r="R932" s="72"/>
      <c r="S932" s="72"/>
    </row>
    <row r="933" spans="18:19" x14ac:dyDescent="0.25">
      <c r="R933" s="72"/>
      <c r="S933" s="72"/>
    </row>
    <row r="934" spans="18:19" x14ac:dyDescent="0.25">
      <c r="R934" s="72"/>
      <c r="S934" s="72"/>
    </row>
    <row r="935" spans="18:19" x14ac:dyDescent="0.25">
      <c r="R935" s="72"/>
      <c r="S935" s="72"/>
    </row>
    <row r="936" spans="18:19" x14ac:dyDescent="0.25">
      <c r="R936" s="72"/>
      <c r="S936" s="72"/>
    </row>
    <row r="937" spans="18:19" x14ac:dyDescent="0.25">
      <c r="R937" s="72"/>
      <c r="S937" s="72"/>
    </row>
    <row r="938" spans="18:19" x14ac:dyDescent="0.25">
      <c r="R938" s="72"/>
      <c r="S938" s="72"/>
    </row>
    <row r="939" spans="18:19" x14ac:dyDescent="0.25">
      <c r="R939" s="72"/>
      <c r="S939" s="72"/>
    </row>
    <row r="940" spans="18:19" x14ac:dyDescent="0.25">
      <c r="R940" s="72"/>
      <c r="S940" s="72"/>
    </row>
    <row r="941" spans="18:19" x14ac:dyDescent="0.25">
      <c r="R941" s="72"/>
      <c r="S941" s="72"/>
    </row>
    <row r="942" spans="18:19" x14ac:dyDescent="0.25">
      <c r="R942" s="72"/>
      <c r="S942" s="72"/>
    </row>
    <row r="943" spans="18:19" x14ac:dyDescent="0.25">
      <c r="R943" s="72"/>
      <c r="S943" s="72"/>
    </row>
    <row r="944" spans="18:19" x14ac:dyDescent="0.25">
      <c r="R944" s="72"/>
      <c r="S944" s="72"/>
    </row>
    <row r="945" spans="18:19" x14ac:dyDescent="0.25">
      <c r="R945" s="72"/>
      <c r="S945" s="72"/>
    </row>
    <row r="946" spans="18:19" x14ac:dyDescent="0.25">
      <c r="R946" s="72"/>
      <c r="S946" s="72"/>
    </row>
    <row r="947" spans="18:19" x14ac:dyDescent="0.25">
      <c r="R947" s="72"/>
      <c r="S947" s="72"/>
    </row>
    <row r="948" spans="18:19" x14ac:dyDescent="0.25">
      <c r="R948" s="72"/>
      <c r="S948" s="72"/>
    </row>
    <row r="949" spans="18:19" x14ac:dyDescent="0.25">
      <c r="R949" s="72"/>
      <c r="S949" s="72"/>
    </row>
    <row r="950" spans="18:19" x14ac:dyDescent="0.25">
      <c r="R950" s="72"/>
      <c r="S950" s="72"/>
    </row>
    <row r="951" spans="18:19" x14ac:dyDescent="0.25">
      <c r="R951" s="72"/>
      <c r="S951" s="72"/>
    </row>
    <row r="952" spans="18:19" x14ac:dyDescent="0.25">
      <c r="R952" s="72"/>
      <c r="S952" s="72"/>
    </row>
    <row r="953" spans="18:19" x14ac:dyDescent="0.25">
      <c r="R953" s="72"/>
      <c r="S953" s="72"/>
    </row>
    <row r="954" spans="18:19" x14ac:dyDescent="0.25">
      <c r="R954" s="72"/>
      <c r="S954" s="72"/>
    </row>
    <row r="955" spans="18:19" x14ac:dyDescent="0.25">
      <c r="R955" s="72"/>
      <c r="S955" s="72"/>
    </row>
    <row r="956" spans="18:19" x14ac:dyDescent="0.25">
      <c r="R956" s="72"/>
      <c r="S956" s="72"/>
    </row>
    <row r="957" spans="18:19" x14ac:dyDescent="0.25">
      <c r="R957" s="72"/>
      <c r="S957" s="72"/>
    </row>
    <row r="958" spans="18:19" x14ac:dyDescent="0.25">
      <c r="R958" s="72"/>
      <c r="S958" s="72"/>
    </row>
    <row r="959" spans="18:19" x14ac:dyDescent="0.25">
      <c r="R959" s="72"/>
      <c r="S959" s="72"/>
    </row>
    <row r="960" spans="18:19" x14ac:dyDescent="0.25">
      <c r="R960" s="72"/>
      <c r="S960" s="72"/>
    </row>
    <row r="961" spans="18:19" x14ac:dyDescent="0.25">
      <c r="R961" s="72"/>
      <c r="S961" s="72"/>
    </row>
    <row r="962" spans="18:19" x14ac:dyDescent="0.25">
      <c r="R962" s="72"/>
      <c r="S962" s="72"/>
    </row>
    <row r="963" spans="18:19" x14ac:dyDescent="0.25">
      <c r="R963" s="72"/>
      <c r="S963" s="72"/>
    </row>
    <row r="964" spans="18:19" x14ac:dyDescent="0.25">
      <c r="R964" s="72"/>
      <c r="S964" s="72"/>
    </row>
    <row r="965" spans="18:19" x14ac:dyDescent="0.25">
      <c r="R965" s="72"/>
      <c r="S965" s="72"/>
    </row>
    <row r="966" spans="18:19" x14ac:dyDescent="0.25">
      <c r="R966" s="72"/>
      <c r="S966" s="72"/>
    </row>
    <row r="967" spans="18:19" x14ac:dyDescent="0.25">
      <c r="R967" s="72"/>
      <c r="S967" s="72"/>
    </row>
    <row r="968" spans="18:19" x14ac:dyDescent="0.25">
      <c r="R968" s="72"/>
      <c r="S968" s="72"/>
    </row>
    <row r="969" spans="18:19" x14ac:dyDescent="0.25">
      <c r="R969" s="72"/>
      <c r="S969" s="72"/>
    </row>
    <row r="970" spans="18:19" x14ac:dyDescent="0.25">
      <c r="R970" s="72"/>
      <c r="S970" s="72"/>
    </row>
    <row r="971" spans="18:19" x14ac:dyDescent="0.25">
      <c r="R971" s="72"/>
      <c r="S971" s="72"/>
    </row>
    <row r="972" spans="18:19" x14ac:dyDescent="0.25">
      <c r="R972" s="72"/>
      <c r="S972" s="72"/>
    </row>
    <row r="973" spans="18:19" x14ac:dyDescent="0.25">
      <c r="R973" s="72"/>
      <c r="S973" s="72"/>
    </row>
    <row r="974" spans="18:19" x14ac:dyDescent="0.25">
      <c r="R974" s="72"/>
      <c r="S974" s="72"/>
    </row>
    <row r="975" spans="18:19" x14ac:dyDescent="0.25">
      <c r="R975" s="72"/>
      <c r="S975" s="72"/>
    </row>
    <row r="976" spans="18:19" x14ac:dyDescent="0.25">
      <c r="R976" s="72"/>
      <c r="S976" s="72"/>
    </row>
    <row r="977" spans="18:19" x14ac:dyDescent="0.25">
      <c r="R977" s="72"/>
      <c r="S977" s="72"/>
    </row>
    <row r="978" spans="18:19" x14ac:dyDescent="0.25">
      <c r="R978" s="72"/>
      <c r="S978" s="72"/>
    </row>
    <row r="979" spans="18:19" x14ac:dyDescent="0.25">
      <c r="R979" s="72"/>
      <c r="S979" s="72"/>
    </row>
    <row r="980" spans="18:19" x14ac:dyDescent="0.25">
      <c r="R980" s="72"/>
      <c r="S980" s="72"/>
    </row>
    <row r="981" spans="18:19" x14ac:dyDescent="0.25">
      <c r="R981" s="72"/>
      <c r="S981" s="72"/>
    </row>
    <row r="982" spans="18:19" x14ac:dyDescent="0.25">
      <c r="R982" s="72"/>
      <c r="S982" s="72"/>
    </row>
    <row r="983" spans="18:19" x14ac:dyDescent="0.25">
      <c r="R983" s="72"/>
      <c r="S983" s="72"/>
    </row>
    <row r="984" spans="18:19" x14ac:dyDescent="0.25">
      <c r="R984" s="72"/>
      <c r="S984" s="72"/>
    </row>
    <row r="985" spans="18:19" x14ac:dyDescent="0.25">
      <c r="R985" s="72"/>
      <c r="S985" s="72"/>
    </row>
    <row r="986" spans="18:19" x14ac:dyDescent="0.25">
      <c r="R986" s="72"/>
      <c r="S986" s="72"/>
    </row>
    <row r="987" spans="18:19" x14ac:dyDescent="0.25">
      <c r="R987" s="72"/>
      <c r="S987" s="72"/>
    </row>
    <row r="988" spans="18:19" x14ac:dyDescent="0.25">
      <c r="R988" s="72"/>
      <c r="S988" s="72"/>
    </row>
    <row r="989" spans="18:19" x14ac:dyDescent="0.25">
      <c r="R989" s="72"/>
      <c r="S989" s="72"/>
    </row>
    <row r="990" spans="18:19" x14ac:dyDescent="0.25">
      <c r="R990" s="72"/>
      <c r="S990" s="72"/>
    </row>
    <row r="991" spans="18:19" x14ac:dyDescent="0.25">
      <c r="R991" s="72"/>
      <c r="S991" s="72"/>
    </row>
    <row r="992" spans="18:19" x14ac:dyDescent="0.25">
      <c r="R992" s="72"/>
      <c r="S992" s="72"/>
    </row>
    <row r="993" spans="18:19" x14ac:dyDescent="0.25">
      <c r="R993" s="72"/>
      <c r="S993" s="72"/>
    </row>
    <row r="994" spans="18:19" x14ac:dyDescent="0.25">
      <c r="R994" s="72"/>
      <c r="S994" s="72"/>
    </row>
    <row r="995" spans="18:19" x14ac:dyDescent="0.25">
      <c r="R995" s="72"/>
      <c r="S995" s="72"/>
    </row>
    <row r="996" spans="18:19" x14ac:dyDescent="0.25">
      <c r="R996" s="72"/>
      <c r="S996" s="72"/>
    </row>
    <row r="997" spans="18:19" x14ac:dyDescent="0.25">
      <c r="R997" s="72"/>
      <c r="S997" s="72"/>
    </row>
    <row r="998" spans="18:19" x14ac:dyDescent="0.25">
      <c r="R998" s="72"/>
      <c r="S998" s="72"/>
    </row>
    <row r="999" spans="18:19" x14ac:dyDescent="0.25">
      <c r="R999" s="72"/>
      <c r="S999" s="72"/>
    </row>
    <row r="1000" spans="18:19" x14ac:dyDescent="0.25">
      <c r="R1000" s="72"/>
      <c r="S1000" s="72"/>
    </row>
    <row r="1001" spans="18:19" x14ac:dyDescent="0.25">
      <c r="R1001" s="72"/>
      <c r="S1001" s="72"/>
    </row>
    <row r="1002" spans="18:19" x14ac:dyDescent="0.25">
      <c r="R1002" s="72"/>
      <c r="S1002" s="72"/>
    </row>
    <row r="1003" spans="18:19" x14ac:dyDescent="0.25">
      <c r="R1003" s="72"/>
      <c r="S1003" s="72"/>
    </row>
    <row r="1004" spans="18:19" x14ac:dyDescent="0.25">
      <c r="R1004" s="72"/>
      <c r="S1004" s="72"/>
    </row>
    <row r="1005" spans="18:19" x14ac:dyDescent="0.25">
      <c r="R1005" s="72"/>
      <c r="S1005" s="72"/>
    </row>
    <row r="1006" spans="18:19" x14ac:dyDescent="0.25">
      <c r="R1006" s="72"/>
      <c r="S1006" s="72"/>
    </row>
    <row r="1007" spans="18:19" x14ac:dyDescent="0.25">
      <c r="R1007" s="72"/>
      <c r="S1007" s="72"/>
    </row>
    <row r="1008" spans="18:19" x14ac:dyDescent="0.25">
      <c r="R1008" s="72"/>
      <c r="S1008" s="72"/>
    </row>
    <row r="1009" spans="18:19" x14ac:dyDescent="0.25">
      <c r="R1009" s="72"/>
      <c r="S1009" s="72"/>
    </row>
    <row r="1010" spans="18:19" x14ac:dyDescent="0.25">
      <c r="R1010" s="72"/>
      <c r="S1010" s="72"/>
    </row>
    <row r="1011" spans="18:19" x14ac:dyDescent="0.25">
      <c r="R1011" s="72"/>
      <c r="S1011" s="72"/>
    </row>
    <row r="1012" spans="18:19" x14ac:dyDescent="0.25">
      <c r="R1012" s="72"/>
      <c r="S1012" s="72"/>
    </row>
    <row r="1013" spans="18:19" x14ac:dyDescent="0.25">
      <c r="R1013" s="72"/>
      <c r="S1013" s="72"/>
    </row>
    <row r="1014" spans="18:19" x14ac:dyDescent="0.25">
      <c r="R1014" s="72"/>
      <c r="S1014" s="72"/>
    </row>
    <row r="1015" spans="18:19" x14ac:dyDescent="0.25">
      <c r="R1015" s="72"/>
      <c r="S1015" s="72"/>
    </row>
    <row r="1016" spans="18:19" x14ac:dyDescent="0.25">
      <c r="R1016" s="72"/>
      <c r="S1016" s="72"/>
    </row>
    <row r="1017" spans="18:19" x14ac:dyDescent="0.25">
      <c r="R1017" s="72"/>
      <c r="S1017" s="72"/>
    </row>
    <row r="1018" spans="18:19" x14ac:dyDescent="0.25">
      <c r="R1018" s="72"/>
      <c r="S1018" s="72"/>
    </row>
    <row r="1019" spans="18:19" x14ac:dyDescent="0.25">
      <c r="R1019" s="72"/>
      <c r="S1019" s="72"/>
    </row>
    <row r="1020" spans="18:19" x14ac:dyDescent="0.25">
      <c r="R1020" s="72"/>
      <c r="S1020" s="72"/>
    </row>
    <row r="1021" spans="18:19" x14ac:dyDescent="0.25">
      <c r="R1021" s="72"/>
      <c r="S1021" s="72"/>
    </row>
    <row r="1022" spans="18:19" x14ac:dyDescent="0.25">
      <c r="R1022" s="72"/>
      <c r="S1022" s="72"/>
    </row>
    <row r="1023" spans="18:19" x14ac:dyDescent="0.25">
      <c r="R1023" s="72"/>
      <c r="S1023" s="72"/>
    </row>
    <row r="1024" spans="18:19" x14ac:dyDescent="0.25">
      <c r="R1024" s="72"/>
      <c r="S1024" s="72"/>
    </row>
    <row r="1025" spans="18:19" x14ac:dyDescent="0.25">
      <c r="R1025" s="72"/>
      <c r="S1025" s="72"/>
    </row>
    <row r="1026" spans="18:19" x14ac:dyDescent="0.25">
      <c r="R1026" s="72"/>
      <c r="S1026" s="72"/>
    </row>
    <row r="1027" spans="18:19" x14ac:dyDescent="0.25">
      <c r="R1027" s="72"/>
      <c r="S1027" s="72"/>
    </row>
    <row r="1028" spans="18:19" x14ac:dyDescent="0.25">
      <c r="R1028" s="72"/>
      <c r="S1028" s="72"/>
    </row>
    <row r="1029" spans="18:19" x14ac:dyDescent="0.25">
      <c r="R1029" s="72"/>
      <c r="S1029" s="72"/>
    </row>
    <row r="1030" spans="18:19" x14ac:dyDescent="0.25">
      <c r="R1030" s="72"/>
      <c r="S1030" s="72"/>
    </row>
    <row r="1031" spans="18:19" x14ac:dyDescent="0.25">
      <c r="R1031" s="72"/>
      <c r="S1031" s="72"/>
    </row>
    <row r="1032" spans="18:19" x14ac:dyDescent="0.25">
      <c r="R1032" s="72"/>
      <c r="S1032" s="72"/>
    </row>
    <row r="1033" spans="18:19" x14ac:dyDescent="0.25">
      <c r="R1033" s="72"/>
      <c r="S1033" s="72"/>
    </row>
    <row r="1034" spans="18:19" x14ac:dyDescent="0.25">
      <c r="R1034" s="72"/>
      <c r="S1034" s="72"/>
    </row>
    <row r="1035" spans="18:19" x14ac:dyDescent="0.25">
      <c r="R1035" s="72"/>
      <c r="S1035" s="72"/>
    </row>
    <row r="1036" spans="18:19" x14ac:dyDescent="0.25">
      <c r="R1036" s="72"/>
      <c r="S1036" s="72"/>
    </row>
    <row r="1037" spans="18:19" x14ac:dyDescent="0.25">
      <c r="R1037" s="72"/>
      <c r="S1037" s="72"/>
    </row>
    <row r="1038" spans="18:19" x14ac:dyDescent="0.25">
      <c r="R1038" s="72"/>
      <c r="S1038" s="72"/>
    </row>
    <row r="1039" spans="18:19" x14ac:dyDescent="0.25">
      <c r="R1039" s="72"/>
      <c r="S1039" s="72"/>
    </row>
    <row r="1040" spans="18:19" x14ac:dyDescent="0.25">
      <c r="R1040" s="72"/>
      <c r="S1040" s="72"/>
    </row>
    <row r="1041" spans="18:19" x14ac:dyDescent="0.25">
      <c r="R1041" s="72"/>
      <c r="S1041" s="72"/>
    </row>
    <row r="1042" spans="18:19" x14ac:dyDescent="0.25">
      <c r="R1042" s="72"/>
      <c r="S1042" s="72"/>
    </row>
    <row r="1043" spans="18:19" x14ac:dyDescent="0.25">
      <c r="R1043" s="72"/>
      <c r="S1043" s="72"/>
    </row>
    <row r="1044" spans="18:19" x14ac:dyDescent="0.25">
      <c r="R1044" s="72"/>
      <c r="S1044" s="72"/>
    </row>
    <row r="1045" spans="18:19" x14ac:dyDescent="0.25">
      <c r="R1045" s="72"/>
      <c r="S1045" s="72"/>
    </row>
    <row r="1046" spans="18:19" x14ac:dyDescent="0.25">
      <c r="R1046" s="72"/>
      <c r="S1046" s="72"/>
    </row>
    <row r="1047" spans="18:19" x14ac:dyDescent="0.25">
      <c r="R1047" s="72"/>
      <c r="S1047" s="72"/>
    </row>
    <row r="1048" spans="18:19" x14ac:dyDescent="0.25">
      <c r="R1048" s="72"/>
      <c r="S1048" s="72"/>
    </row>
    <row r="1049" spans="18:19" x14ac:dyDescent="0.25">
      <c r="R1049" s="72"/>
      <c r="S1049" s="72"/>
    </row>
    <row r="1050" spans="18:19" x14ac:dyDescent="0.25">
      <c r="R1050" s="72"/>
      <c r="S1050" s="72"/>
    </row>
    <row r="1051" spans="18:19" x14ac:dyDescent="0.25">
      <c r="R1051" s="72"/>
      <c r="S1051" s="72"/>
    </row>
    <row r="1052" spans="18:19" x14ac:dyDescent="0.25">
      <c r="R1052" s="72"/>
      <c r="S1052" s="72"/>
    </row>
    <row r="1053" spans="18:19" x14ac:dyDescent="0.25">
      <c r="R1053" s="72"/>
      <c r="S1053" s="72"/>
    </row>
    <row r="1054" spans="18:19" x14ac:dyDescent="0.25">
      <c r="R1054" s="72"/>
      <c r="S1054" s="72"/>
    </row>
    <row r="1055" spans="18:19" x14ac:dyDescent="0.25">
      <c r="R1055" s="72"/>
      <c r="S1055" s="72"/>
    </row>
    <row r="1056" spans="18:19" x14ac:dyDescent="0.25">
      <c r="R1056" s="72"/>
      <c r="S1056" s="72"/>
    </row>
    <row r="1057" spans="18:19" x14ac:dyDescent="0.25">
      <c r="R1057" s="72"/>
      <c r="S1057" s="72"/>
    </row>
    <row r="1058" spans="18:19" x14ac:dyDescent="0.25">
      <c r="R1058" s="72"/>
      <c r="S1058" s="72"/>
    </row>
    <row r="1059" spans="18:19" x14ac:dyDescent="0.25">
      <c r="R1059" s="72"/>
      <c r="S1059" s="72"/>
    </row>
    <row r="1060" spans="18:19" x14ac:dyDescent="0.25">
      <c r="R1060" s="72"/>
      <c r="S1060" s="72"/>
    </row>
    <row r="1061" spans="18:19" x14ac:dyDescent="0.25">
      <c r="R1061" s="72"/>
      <c r="S1061" s="72"/>
    </row>
    <row r="1062" spans="18:19" x14ac:dyDescent="0.25">
      <c r="R1062" s="72"/>
      <c r="S1062" s="72"/>
    </row>
    <row r="1063" spans="18:19" x14ac:dyDescent="0.25">
      <c r="R1063" s="72"/>
      <c r="S1063" s="72"/>
    </row>
    <row r="1064" spans="18:19" x14ac:dyDescent="0.25">
      <c r="R1064" s="72"/>
      <c r="S1064" s="72"/>
    </row>
    <row r="1065" spans="18:19" x14ac:dyDescent="0.25">
      <c r="R1065" s="72"/>
      <c r="S1065" s="72"/>
    </row>
    <row r="1066" spans="18:19" x14ac:dyDescent="0.25">
      <c r="R1066" s="72"/>
      <c r="S1066" s="72"/>
    </row>
    <row r="1067" spans="18:19" x14ac:dyDescent="0.25">
      <c r="R1067" s="72"/>
      <c r="S1067" s="72"/>
    </row>
    <row r="1068" spans="18:19" x14ac:dyDescent="0.25">
      <c r="R1068" s="72"/>
      <c r="S1068" s="72"/>
    </row>
    <row r="1069" spans="18:19" x14ac:dyDescent="0.25">
      <c r="R1069" s="72"/>
      <c r="S1069" s="72"/>
    </row>
    <row r="1070" spans="18:19" x14ac:dyDescent="0.25">
      <c r="R1070" s="72"/>
      <c r="S1070" s="72"/>
    </row>
    <row r="1071" spans="18:19" x14ac:dyDescent="0.25">
      <c r="R1071" s="72"/>
      <c r="S1071" s="72"/>
    </row>
    <row r="1072" spans="18:19" x14ac:dyDescent="0.25">
      <c r="R1072" s="72"/>
      <c r="S1072" s="72"/>
    </row>
    <row r="1073" spans="18:19" x14ac:dyDescent="0.25">
      <c r="R1073" s="72"/>
      <c r="S1073" s="72"/>
    </row>
    <row r="1074" spans="18:19" x14ac:dyDescent="0.25">
      <c r="R1074" s="72"/>
      <c r="S1074" s="72"/>
    </row>
    <row r="1075" spans="18:19" x14ac:dyDescent="0.25">
      <c r="R1075" s="72"/>
      <c r="S1075" s="72"/>
    </row>
    <row r="1076" spans="18:19" x14ac:dyDescent="0.25">
      <c r="R1076" s="72"/>
      <c r="S1076" s="72"/>
    </row>
    <row r="1077" spans="18:19" x14ac:dyDescent="0.25">
      <c r="R1077" s="72"/>
      <c r="S1077" s="72"/>
    </row>
    <row r="1078" spans="18:19" x14ac:dyDescent="0.25">
      <c r="R1078" s="72"/>
      <c r="S1078" s="72"/>
    </row>
    <row r="1079" spans="18:19" x14ac:dyDescent="0.25">
      <c r="R1079" s="72"/>
      <c r="S1079" s="72"/>
    </row>
    <row r="1080" spans="18:19" x14ac:dyDescent="0.25">
      <c r="R1080" s="72"/>
      <c r="S1080" s="72"/>
    </row>
    <row r="1081" spans="18:19" x14ac:dyDescent="0.25">
      <c r="R1081" s="72"/>
      <c r="S1081" s="72"/>
    </row>
    <row r="1082" spans="18:19" x14ac:dyDescent="0.25">
      <c r="R1082" s="72"/>
      <c r="S1082" s="72"/>
    </row>
    <row r="1083" spans="18:19" x14ac:dyDescent="0.25">
      <c r="R1083" s="72"/>
      <c r="S1083" s="72"/>
    </row>
    <row r="1084" spans="18:19" x14ac:dyDescent="0.25">
      <c r="R1084" s="72"/>
      <c r="S1084" s="72"/>
    </row>
    <row r="1085" spans="18:19" x14ac:dyDescent="0.25">
      <c r="R1085" s="72"/>
      <c r="S1085" s="72"/>
    </row>
    <row r="1086" spans="18:19" x14ac:dyDescent="0.25">
      <c r="R1086" s="72"/>
      <c r="S1086" s="72"/>
    </row>
    <row r="1087" spans="18:19" x14ac:dyDescent="0.25">
      <c r="R1087" s="72"/>
      <c r="S1087" s="72"/>
    </row>
    <row r="1088" spans="18:19" x14ac:dyDescent="0.25">
      <c r="R1088" s="72"/>
      <c r="S1088" s="72"/>
    </row>
    <row r="1089" spans="18:19" x14ac:dyDescent="0.25">
      <c r="R1089" s="72"/>
      <c r="S1089" s="72"/>
    </row>
    <row r="1090" spans="18:19" x14ac:dyDescent="0.25">
      <c r="R1090" s="72"/>
      <c r="S1090" s="72"/>
    </row>
    <row r="1091" spans="18:19" x14ac:dyDescent="0.25">
      <c r="R1091" s="72"/>
      <c r="S1091" s="72"/>
    </row>
    <row r="1092" spans="18:19" x14ac:dyDescent="0.25">
      <c r="R1092" s="72"/>
      <c r="S1092" s="72"/>
    </row>
    <row r="1093" spans="18:19" x14ac:dyDescent="0.25">
      <c r="R1093" s="72"/>
      <c r="S1093" s="72"/>
    </row>
    <row r="1094" spans="18:19" x14ac:dyDescent="0.25">
      <c r="R1094" s="72"/>
      <c r="S1094" s="72"/>
    </row>
    <row r="1095" spans="18:19" x14ac:dyDescent="0.25">
      <c r="R1095" s="72"/>
      <c r="S1095" s="72"/>
    </row>
    <row r="1096" spans="18:19" x14ac:dyDescent="0.25">
      <c r="R1096" s="72"/>
      <c r="S1096" s="72"/>
    </row>
    <row r="1097" spans="18:19" x14ac:dyDescent="0.25">
      <c r="R1097" s="72"/>
      <c r="S1097" s="72"/>
    </row>
    <row r="1098" spans="18:19" x14ac:dyDescent="0.25">
      <c r="R1098" s="72"/>
      <c r="S1098" s="72"/>
    </row>
    <row r="1099" spans="18:19" x14ac:dyDescent="0.25">
      <c r="R1099" s="72"/>
      <c r="S1099" s="72"/>
    </row>
    <row r="1100" spans="18:19" x14ac:dyDescent="0.25">
      <c r="R1100" s="72"/>
      <c r="S1100" s="72"/>
    </row>
    <row r="1101" spans="18:19" x14ac:dyDescent="0.25">
      <c r="R1101" s="72"/>
      <c r="S1101" s="72"/>
    </row>
    <row r="1102" spans="18:19" x14ac:dyDescent="0.25">
      <c r="R1102" s="72"/>
      <c r="S1102" s="72"/>
    </row>
    <row r="1103" spans="18:19" x14ac:dyDescent="0.25">
      <c r="R1103" s="72"/>
      <c r="S1103" s="72"/>
    </row>
    <row r="1104" spans="18:19" x14ac:dyDescent="0.25">
      <c r="R1104" s="72"/>
      <c r="S1104" s="72"/>
    </row>
    <row r="1105" spans="18:19" x14ac:dyDescent="0.25">
      <c r="R1105" s="72"/>
      <c r="S1105" s="72"/>
    </row>
    <row r="1106" spans="18:19" x14ac:dyDescent="0.25">
      <c r="R1106" s="72"/>
      <c r="S1106" s="72"/>
    </row>
    <row r="1107" spans="18:19" x14ac:dyDescent="0.25">
      <c r="R1107" s="72"/>
      <c r="S1107" s="72"/>
    </row>
    <row r="1108" spans="18:19" x14ac:dyDescent="0.25">
      <c r="R1108" s="72"/>
      <c r="S1108" s="72"/>
    </row>
    <row r="1109" spans="18:19" x14ac:dyDescent="0.25">
      <c r="R1109" s="72"/>
      <c r="S1109" s="72"/>
    </row>
    <row r="1110" spans="18:19" x14ac:dyDescent="0.25">
      <c r="R1110" s="72"/>
      <c r="S1110" s="72"/>
    </row>
    <row r="1111" spans="18:19" x14ac:dyDescent="0.25">
      <c r="R1111" s="72"/>
      <c r="S1111" s="72"/>
    </row>
    <row r="1112" spans="18:19" x14ac:dyDescent="0.25">
      <c r="R1112" s="72"/>
      <c r="S1112" s="72"/>
    </row>
    <row r="1113" spans="18:19" x14ac:dyDescent="0.25">
      <c r="R1113" s="72"/>
      <c r="S1113" s="72"/>
    </row>
    <row r="1114" spans="18:19" x14ac:dyDescent="0.25">
      <c r="R1114" s="72"/>
      <c r="S1114" s="72"/>
    </row>
    <row r="1115" spans="18:19" x14ac:dyDescent="0.25">
      <c r="R1115" s="72"/>
      <c r="S1115" s="72"/>
    </row>
    <row r="1116" spans="18:19" x14ac:dyDescent="0.25">
      <c r="R1116" s="72"/>
      <c r="S1116" s="72"/>
    </row>
    <row r="1117" spans="18:19" x14ac:dyDescent="0.25">
      <c r="R1117" s="72"/>
      <c r="S1117" s="72"/>
    </row>
    <row r="1118" spans="18:19" x14ac:dyDescent="0.25">
      <c r="R1118" s="72"/>
      <c r="S1118" s="72"/>
    </row>
    <row r="1119" spans="18:19" x14ac:dyDescent="0.25">
      <c r="R1119" s="72"/>
      <c r="S1119" s="72"/>
    </row>
    <row r="1120" spans="18:19" x14ac:dyDescent="0.25">
      <c r="R1120" s="72"/>
      <c r="S1120" s="72"/>
    </row>
    <row r="1121" spans="18:19" x14ac:dyDescent="0.25">
      <c r="R1121" s="72"/>
      <c r="S1121" s="72"/>
    </row>
    <row r="1122" spans="18:19" x14ac:dyDescent="0.25">
      <c r="R1122" s="72"/>
      <c r="S1122" s="72"/>
    </row>
    <row r="1123" spans="18:19" x14ac:dyDescent="0.25">
      <c r="R1123" s="72"/>
      <c r="S1123" s="72"/>
    </row>
    <row r="1124" spans="18:19" x14ac:dyDescent="0.25">
      <c r="R1124" s="72"/>
      <c r="S1124" s="72"/>
    </row>
    <row r="1125" spans="18:19" x14ac:dyDescent="0.25">
      <c r="R1125" s="72"/>
      <c r="S1125" s="72"/>
    </row>
    <row r="1126" spans="18:19" x14ac:dyDescent="0.25">
      <c r="R1126" s="72"/>
      <c r="S1126" s="72"/>
    </row>
    <row r="1127" spans="18:19" x14ac:dyDescent="0.25">
      <c r="R1127" s="72"/>
      <c r="S1127" s="72"/>
    </row>
    <row r="1128" spans="18:19" x14ac:dyDescent="0.25">
      <c r="R1128" s="72"/>
      <c r="S1128" s="72"/>
    </row>
    <row r="1129" spans="18:19" x14ac:dyDescent="0.25">
      <c r="R1129" s="72"/>
      <c r="S1129" s="72"/>
    </row>
    <row r="1130" spans="18:19" x14ac:dyDescent="0.25">
      <c r="R1130" s="72"/>
      <c r="S1130" s="72"/>
    </row>
    <row r="1131" spans="18:19" x14ac:dyDescent="0.25">
      <c r="R1131" s="72"/>
      <c r="S1131" s="72"/>
    </row>
    <row r="1132" spans="18:19" x14ac:dyDescent="0.25">
      <c r="R1132" s="72"/>
      <c r="S1132" s="72"/>
    </row>
    <row r="1133" spans="18:19" x14ac:dyDescent="0.25">
      <c r="R1133" s="72"/>
      <c r="S1133" s="72"/>
    </row>
    <row r="1134" spans="18:19" x14ac:dyDescent="0.25">
      <c r="R1134" s="72"/>
      <c r="S1134" s="72"/>
    </row>
    <row r="1135" spans="18:19" x14ac:dyDescent="0.25">
      <c r="R1135" s="72"/>
      <c r="S1135" s="72"/>
    </row>
    <row r="1136" spans="18:19" x14ac:dyDescent="0.25">
      <c r="R1136" s="72"/>
      <c r="S1136" s="72"/>
    </row>
    <row r="1137" spans="18:19" x14ac:dyDescent="0.25">
      <c r="R1137" s="72"/>
      <c r="S1137" s="72"/>
    </row>
    <row r="1138" spans="18:19" x14ac:dyDescent="0.25">
      <c r="R1138" s="72"/>
      <c r="S1138" s="72"/>
    </row>
    <row r="1139" spans="18:19" x14ac:dyDescent="0.25">
      <c r="R1139" s="72"/>
      <c r="S1139" s="72"/>
    </row>
    <row r="1140" spans="18:19" x14ac:dyDescent="0.25">
      <c r="R1140" s="72"/>
      <c r="S1140" s="72"/>
    </row>
    <row r="1141" spans="18:19" x14ac:dyDescent="0.25">
      <c r="R1141" s="72"/>
      <c r="S1141" s="72"/>
    </row>
    <row r="1142" spans="18:19" x14ac:dyDescent="0.25">
      <c r="R1142" s="72"/>
      <c r="S1142" s="72"/>
    </row>
    <row r="1143" spans="18:19" x14ac:dyDescent="0.25">
      <c r="R1143" s="72"/>
      <c r="S1143" s="72"/>
    </row>
    <row r="1144" spans="18:19" x14ac:dyDescent="0.25">
      <c r="R1144" s="72"/>
      <c r="S1144" s="72"/>
    </row>
    <row r="1145" spans="18:19" x14ac:dyDescent="0.25">
      <c r="R1145" s="72"/>
      <c r="S1145" s="72"/>
    </row>
    <row r="1146" spans="18:19" x14ac:dyDescent="0.25">
      <c r="R1146" s="72"/>
      <c r="S1146" s="72"/>
    </row>
    <row r="1147" spans="18:19" x14ac:dyDescent="0.25">
      <c r="R1147" s="72"/>
      <c r="S1147" s="72"/>
    </row>
    <row r="1148" spans="18:19" x14ac:dyDescent="0.25">
      <c r="R1148" s="72"/>
      <c r="S1148" s="72"/>
    </row>
    <row r="1149" spans="18:19" x14ac:dyDescent="0.25">
      <c r="R1149" s="72"/>
      <c r="S1149" s="72"/>
    </row>
    <row r="1150" spans="18:19" x14ac:dyDescent="0.25">
      <c r="R1150" s="72"/>
      <c r="S1150" s="72"/>
    </row>
    <row r="1151" spans="18:19" x14ac:dyDescent="0.25">
      <c r="R1151" s="72"/>
      <c r="S1151" s="72"/>
    </row>
    <row r="1152" spans="18:19" x14ac:dyDescent="0.25">
      <c r="R1152" s="72"/>
      <c r="S1152" s="72"/>
    </row>
    <row r="1153" spans="18:19" x14ac:dyDescent="0.25">
      <c r="R1153" s="72"/>
      <c r="S1153" s="72"/>
    </row>
    <row r="1154" spans="18:19" x14ac:dyDescent="0.25">
      <c r="R1154" s="72"/>
      <c r="S1154" s="72"/>
    </row>
    <row r="1155" spans="18:19" x14ac:dyDescent="0.25">
      <c r="R1155" s="72"/>
      <c r="S1155" s="72"/>
    </row>
    <row r="1156" spans="18:19" x14ac:dyDescent="0.25">
      <c r="R1156" s="72"/>
      <c r="S1156" s="72"/>
    </row>
    <row r="1157" spans="18:19" x14ac:dyDescent="0.25">
      <c r="R1157" s="72"/>
      <c r="S1157" s="72"/>
    </row>
    <row r="1158" spans="18:19" x14ac:dyDescent="0.25">
      <c r="R1158" s="72"/>
      <c r="S1158" s="72"/>
    </row>
    <row r="1159" spans="18:19" x14ac:dyDescent="0.25">
      <c r="R1159" s="72"/>
      <c r="S1159" s="72"/>
    </row>
    <row r="1160" spans="18:19" x14ac:dyDescent="0.25">
      <c r="R1160" s="72"/>
      <c r="S1160" s="72"/>
    </row>
    <row r="1161" spans="18:19" x14ac:dyDescent="0.25">
      <c r="R1161" s="72"/>
      <c r="S1161" s="72"/>
    </row>
    <row r="1162" spans="18:19" x14ac:dyDescent="0.25">
      <c r="R1162" s="72"/>
      <c r="S1162" s="72"/>
    </row>
    <row r="1163" spans="18:19" x14ac:dyDescent="0.25">
      <c r="R1163" s="72"/>
      <c r="S1163" s="72"/>
    </row>
    <row r="1164" spans="18:19" x14ac:dyDescent="0.25">
      <c r="R1164" s="72"/>
      <c r="S1164" s="72"/>
    </row>
    <row r="1165" spans="18:19" x14ac:dyDescent="0.25">
      <c r="R1165" s="72"/>
      <c r="S1165" s="72"/>
    </row>
    <row r="1166" spans="18:19" x14ac:dyDescent="0.25">
      <c r="R1166" s="72"/>
      <c r="S1166" s="72"/>
    </row>
    <row r="1167" spans="18:19" x14ac:dyDescent="0.25">
      <c r="R1167" s="72"/>
      <c r="S1167" s="72"/>
    </row>
    <row r="1168" spans="18:19" x14ac:dyDescent="0.25">
      <c r="R1168" s="72"/>
      <c r="S1168" s="72"/>
    </row>
    <row r="1169" spans="18:19" x14ac:dyDescent="0.25">
      <c r="R1169" s="72"/>
      <c r="S1169" s="72"/>
    </row>
    <row r="1170" spans="18:19" x14ac:dyDescent="0.25">
      <c r="R1170" s="72"/>
      <c r="S1170" s="72"/>
    </row>
    <row r="1171" spans="18:19" x14ac:dyDescent="0.25">
      <c r="R1171" s="72"/>
      <c r="S1171" s="72"/>
    </row>
    <row r="1172" spans="18:19" x14ac:dyDescent="0.25">
      <c r="R1172" s="72"/>
      <c r="S1172" s="72"/>
    </row>
    <row r="1173" spans="18:19" x14ac:dyDescent="0.25">
      <c r="R1173" s="72"/>
      <c r="S1173" s="72"/>
    </row>
    <row r="1174" spans="18:19" x14ac:dyDescent="0.25">
      <c r="R1174" s="72"/>
      <c r="S1174" s="72"/>
    </row>
    <row r="1175" spans="18:19" x14ac:dyDescent="0.25">
      <c r="R1175" s="72"/>
      <c r="S1175" s="72"/>
    </row>
    <row r="1176" spans="18:19" x14ac:dyDescent="0.25">
      <c r="R1176" s="72"/>
      <c r="S1176" s="72"/>
    </row>
    <row r="1177" spans="18:19" x14ac:dyDescent="0.25">
      <c r="R1177" s="72"/>
      <c r="S1177" s="72"/>
    </row>
    <row r="1178" spans="18:19" x14ac:dyDescent="0.25">
      <c r="R1178" s="72"/>
      <c r="S1178" s="72"/>
    </row>
    <row r="1179" spans="18:19" x14ac:dyDescent="0.25">
      <c r="R1179" s="72"/>
      <c r="S1179" s="72"/>
    </row>
    <row r="1180" spans="18:19" x14ac:dyDescent="0.25">
      <c r="R1180" s="72"/>
      <c r="S1180" s="72"/>
    </row>
    <row r="1181" spans="18:19" x14ac:dyDescent="0.25">
      <c r="R1181" s="72"/>
      <c r="S1181" s="72"/>
    </row>
    <row r="1182" spans="18:19" x14ac:dyDescent="0.25">
      <c r="R1182" s="72"/>
      <c r="S1182" s="72"/>
    </row>
    <row r="1183" spans="18:19" x14ac:dyDescent="0.25">
      <c r="R1183" s="72"/>
      <c r="S1183" s="72"/>
    </row>
    <row r="1184" spans="18:19" x14ac:dyDescent="0.25">
      <c r="R1184" s="72"/>
      <c r="S1184" s="72"/>
    </row>
    <row r="1185" spans="18:19" x14ac:dyDescent="0.25">
      <c r="R1185" s="72"/>
      <c r="S1185" s="72"/>
    </row>
    <row r="1186" spans="18:19" x14ac:dyDescent="0.25">
      <c r="R1186" s="72"/>
      <c r="S1186" s="72"/>
    </row>
    <row r="1187" spans="18:19" x14ac:dyDescent="0.25">
      <c r="R1187" s="72"/>
      <c r="S1187" s="72"/>
    </row>
    <row r="1188" spans="18:19" x14ac:dyDescent="0.25">
      <c r="R1188" s="72"/>
      <c r="S1188" s="72"/>
    </row>
    <row r="1189" spans="18:19" x14ac:dyDescent="0.25">
      <c r="R1189" s="72"/>
      <c r="S1189" s="72"/>
    </row>
    <row r="1190" spans="18:19" x14ac:dyDescent="0.25">
      <c r="R1190" s="72"/>
      <c r="S1190" s="72"/>
    </row>
    <row r="1191" spans="18:19" x14ac:dyDescent="0.25">
      <c r="R1191" s="72"/>
      <c r="S1191" s="72"/>
    </row>
    <row r="1192" spans="18:19" x14ac:dyDescent="0.25">
      <c r="R1192" s="72"/>
      <c r="S1192" s="72"/>
    </row>
    <row r="1193" spans="18:19" x14ac:dyDescent="0.25">
      <c r="R1193" s="72"/>
      <c r="S1193" s="72"/>
    </row>
    <row r="1194" spans="18:19" x14ac:dyDescent="0.25">
      <c r="R1194" s="72"/>
      <c r="S1194" s="72"/>
    </row>
    <row r="1195" spans="18:19" x14ac:dyDescent="0.25">
      <c r="R1195" s="72"/>
      <c r="S1195" s="72"/>
    </row>
    <row r="1196" spans="18:19" x14ac:dyDescent="0.25">
      <c r="R1196" s="72"/>
      <c r="S1196" s="72"/>
    </row>
    <row r="1197" spans="18:19" x14ac:dyDescent="0.25">
      <c r="R1197" s="72"/>
      <c r="S1197" s="72"/>
    </row>
    <row r="1198" spans="18:19" x14ac:dyDescent="0.25">
      <c r="R1198" s="72"/>
      <c r="S1198" s="72"/>
    </row>
    <row r="1199" spans="18:19" x14ac:dyDescent="0.25">
      <c r="R1199" s="72"/>
      <c r="S1199" s="72"/>
    </row>
    <row r="1200" spans="18:19" x14ac:dyDescent="0.25">
      <c r="R1200" s="72"/>
      <c r="S1200" s="72"/>
    </row>
    <row r="1201" spans="18:19" x14ac:dyDescent="0.25">
      <c r="R1201" s="72"/>
      <c r="S1201" s="72"/>
    </row>
    <row r="1202" spans="18:19" x14ac:dyDescent="0.25">
      <c r="R1202" s="72"/>
      <c r="S1202" s="72"/>
    </row>
    <row r="1203" spans="18:19" x14ac:dyDescent="0.25">
      <c r="R1203" s="72"/>
      <c r="S1203" s="72"/>
    </row>
    <row r="1204" spans="18:19" x14ac:dyDescent="0.25">
      <c r="R1204" s="72"/>
      <c r="S1204" s="72"/>
    </row>
    <row r="1205" spans="18:19" x14ac:dyDescent="0.25">
      <c r="R1205" s="72"/>
      <c r="S1205" s="72"/>
    </row>
    <row r="1206" spans="18:19" x14ac:dyDescent="0.25">
      <c r="R1206" s="72"/>
      <c r="S1206" s="72"/>
    </row>
    <row r="1207" spans="18:19" x14ac:dyDescent="0.25">
      <c r="R1207" s="72"/>
      <c r="S1207" s="72"/>
    </row>
    <row r="1208" spans="18:19" x14ac:dyDescent="0.25">
      <c r="R1208" s="72"/>
      <c r="S1208" s="72"/>
    </row>
    <row r="1209" spans="18:19" x14ac:dyDescent="0.25">
      <c r="R1209" s="72"/>
      <c r="S1209" s="72"/>
    </row>
    <row r="1210" spans="18:19" x14ac:dyDescent="0.25">
      <c r="R1210" s="72"/>
      <c r="S1210" s="72"/>
    </row>
    <row r="1211" spans="18:19" x14ac:dyDescent="0.25">
      <c r="R1211" s="72"/>
      <c r="S1211" s="72"/>
    </row>
    <row r="1212" spans="18:19" x14ac:dyDescent="0.25">
      <c r="R1212" s="72"/>
      <c r="S1212" s="72"/>
    </row>
    <row r="1213" spans="18:19" x14ac:dyDescent="0.25">
      <c r="R1213" s="72"/>
      <c r="S1213" s="72"/>
    </row>
    <row r="1214" spans="18:19" x14ac:dyDescent="0.25">
      <c r="R1214" s="72"/>
      <c r="S1214" s="72"/>
    </row>
    <row r="1215" spans="18:19" x14ac:dyDescent="0.25">
      <c r="R1215" s="72"/>
      <c r="S1215" s="72"/>
    </row>
    <row r="1216" spans="18:19" x14ac:dyDescent="0.25">
      <c r="R1216" s="72"/>
      <c r="S1216" s="72"/>
    </row>
    <row r="1217" spans="18:19" x14ac:dyDescent="0.25">
      <c r="R1217" s="72"/>
      <c r="S1217" s="72"/>
    </row>
    <row r="1218" spans="18:19" x14ac:dyDescent="0.25">
      <c r="R1218" s="72"/>
      <c r="S1218" s="72"/>
    </row>
    <row r="1219" spans="18:19" x14ac:dyDescent="0.25">
      <c r="R1219" s="72"/>
      <c r="S1219" s="72"/>
    </row>
    <row r="1220" spans="18:19" x14ac:dyDescent="0.25">
      <c r="R1220" s="72"/>
      <c r="S1220" s="72"/>
    </row>
    <row r="1221" spans="18:19" x14ac:dyDescent="0.25">
      <c r="R1221" s="72"/>
      <c r="S1221" s="72"/>
    </row>
    <row r="1222" spans="18:19" x14ac:dyDescent="0.25">
      <c r="R1222" s="72"/>
      <c r="S1222" s="72"/>
    </row>
    <row r="1223" spans="18:19" x14ac:dyDescent="0.25">
      <c r="R1223" s="72"/>
      <c r="S1223" s="72"/>
    </row>
    <row r="1224" spans="18:19" x14ac:dyDescent="0.25">
      <c r="R1224" s="72"/>
      <c r="S1224" s="72"/>
    </row>
    <row r="1225" spans="18:19" x14ac:dyDescent="0.25">
      <c r="R1225" s="72"/>
      <c r="S1225" s="72"/>
    </row>
    <row r="1226" spans="18:19" x14ac:dyDescent="0.25">
      <c r="R1226" s="72"/>
      <c r="S1226" s="72"/>
    </row>
    <row r="1227" spans="18:19" x14ac:dyDescent="0.25">
      <c r="R1227" s="72"/>
      <c r="S1227" s="72"/>
    </row>
    <row r="1228" spans="18:19" x14ac:dyDescent="0.25">
      <c r="R1228" s="72"/>
      <c r="S1228" s="72"/>
    </row>
    <row r="1229" spans="18:19" x14ac:dyDescent="0.25">
      <c r="R1229" s="72"/>
      <c r="S1229" s="72"/>
    </row>
    <row r="1230" spans="18:19" x14ac:dyDescent="0.25">
      <c r="R1230" s="72"/>
      <c r="S1230" s="72"/>
    </row>
    <row r="1231" spans="18:19" x14ac:dyDescent="0.25">
      <c r="R1231" s="72"/>
      <c r="S1231" s="72"/>
    </row>
    <row r="1232" spans="18:19" x14ac:dyDescent="0.25">
      <c r="R1232" s="72"/>
      <c r="S1232" s="72"/>
    </row>
    <row r="1233" spans="18:19" x14ac:dyDescent="0.25">
      <c r="R1233" s="72"/>
      <c r="S1233" s="72"/>
    </row>
    <row r="1234" spans="18:19" x14ac:dyDescent="0.25">
      <c r="R1234" s="72"/>
      <c r="S1234" s="72"/>
    </row>
    <row r="1235" spans="18:19" x14ac:dyDescent="0.25">
      <c r="R1235" s="72"/>
      <c r="S1235" s="72"/>
    </row>
    <row r="1236" spans="18:19" x14ac:dyDescent="0.25">
      <c r="R1236" s="72"/>
      <c r="S1236" s="72"/>
    </row>
    <row r="1237" spans="18:19" x14ac:dyDescent="0.25">
      <c r="R1237" s="72"/>
      <c r="S1237" s="72"/>
    </row>
    <row r="1238" spans="18:19" x14ac:dyDescent="0.25">
      <c r="R1238" s="72"/>
      <c r="S1238" s="72"/>
    </row>
    <row r="1239" spans="18:19" x14ac:dyDescent="0.25">
      <c r="R1239" s="72"/>
      <c r="S1239" s="72"/>
    </row>
    <row r="1240" spans="18:19" x14ac:dyDescent="0.25">
      <c r="R1240" s="72"/>
      <c r="S1240" s="72"/>
    </row>
    <row r="1241" spans="18:19" x14ac:dyDescent="0.25">
      <c r="R1241" s="72"/>
      <c r="S1241" s="72"/>
    </row>
    <row r="1242" spans="18:19" x14ac:dyDescent="0.25">
      <c r="R1242" s="72"/>
      <c r="S1242" s="72"/>
    </row>
    <row r="1243" spans="18:19" x14ac:dyDescent="0.25">
      <c r="R1243" s="72"/>
      <c r="S1243" s="72"/>
    </row>
    <row r="1244" spans="18:19" x14ac:dyDescent="0.25">
      <c r="R1244" s="72"/>
      <c r="S1244" s="72"/>
    </row>
    <row r="1245" spans="18:19" x14ac:dyDescent="0.25">
      <c r="R1245" s="72"/>
      <c r="S1245" s="72"/>
    </row>
    <row r="1246" spans="18:19" x14ac:dyDescent="0.25">
      <c r="R1246" s="72"/>
      <c r="S1246" s="72"/>
    </row>
    <row r="1247" spans="18:19" x14ac:dyDescent="0.25">
      <c r="R1247" s="72"/>
      <c r="S1247" s="72"/>
    </row>
    <row r="1248" spans="18:19" x14ac:dyDescent="0.25">
      <c r="R1248" s="72"/>
      <c r="S1248" s="72"/>
    </row>
    <row r="1249" spans="18:19" x14ac:dyDescent="0.25">
      <c r="R1249" s="72"/>
      <c r="S1249" s="72"/>
    </row>
    <row r="1250" spans="18:19" x14ac:dyDescent="0.25">
      <c r="R1250" s="72"/>
      <c r="S1250" s="72"/>
    </row>
    <row r="1251" spans="18:19" x14ac:dyDescent="0.25">
      <c r="R1251" s="72"/>
      <c r="S1251" s="72"/>
    </row>
    <row r="1252" spans="18:19" x14ac:dyDescent="0.25">
      <c r="R1252" s="72"/>
      <c r="S1252" s="72"/>
    </row>
    <row r="1253" spans="18:19" x14ac:dyDescent="0.25">
      <c r="R1253" s="72"/>
      <c r="S1253" s="72"/>
    </row>
    <row r="1254" spans="18:19" x14ac:dyDescent="0.25">
      <c r="R1254" s="72"/>
      <c r="S1254" s="72"/>
    </row>
    <row r="1255" spans="18:19" x14ac:dyDescent="0.25">
      <c r="R1255" s="72"/>
      <c r="S1255" s="72"/>
    </row>
    <row r="1256" spans="18:19" x14ac:dyDescent="0.25">
      <c r="R1256" s="72"/>
      <c r="S1256" s="72"/>
    </row>
    <row r="1257" spans="18:19" x14ac:dyDescent="0.25">
      <c r="R1257" s="72"/>
      <c r="S1257" s="72"/>
    </row>
    <row r="1258" spans="18:19" x14ac:dyDescent="0.25">
      <c r="R1258" s="72"/>
      <c r="S1258" s="72"/>
    </row>
    <row r="1259" spans="18:19" x14ac:dyDescent="0.25">
      <c r="R1259" s="72"/>
      <c r="S1259" s="72"/>
    </row>
    <row r="1260" spans="18:19" x14ac:dyDescent="0.25">
      <c r="R1260" s="72"/>
      <c r="S1260" s="72"/>
    </row>
    <row r="1261" spans="18:19" x14ac:dyDescent="0.25">
      <c r="R1261" s="72"/>
      <c r="S1261" s="72"/>
    </row>
    <row r="1262" spans="18:19" x14ac:dyDescent="0.25">
      <c r="R1262" s="72"/>
      <c r="S1262" s="72"/>
    </row>
    <row r="1263" spans="18:19" x14ac:dyDescent="0.25">
      <c r="R1263" s="72"/>
      <c r="S1263" s="72"/>
    </row>
    <row r="1264" spans="18:19" x14ac:dyDescent="0.25">
      <c r="R1264" s="72"/>
      <c r="S1264" s="72"/>
    </row>
    <row r="1265" spans="18:19" x14ac:dyDescent="0.25">
      <c r="R1265" s="72"/>
      <c r="S1265" s="72"/>
    </row>
    <row r="1266" spans="18:19" x14ac:dyDescent="0.25">
      <c r="R1266" s="72"/>
      <c r="S1266" s="72"/>
    </row>
    <row r="1267" spans="18:19" x14ac:dyDescent="0.25">
      <c r="R1267" s="72"/>
      <c r="S1267" s="72"/>
    </row>
    <row r="1268" spans="18:19" x14ac:dyDescent="0.25">
      <c r="R1268" s="72"/>
      <c r="S1268" s="72"/>
    </row>
    <row r="1269" spans="18:19" x14ac:dyDescent="0.25">
      <c r="R1269" s="72"/>
      <c r="S1269" s="72"/>
    </row>
    <row r="1270" spans="18:19" x14ac:dyDescent="0.25">
      <c r="R1270" s="72"/>
      <c r="S1270" s="72"/>
    </row>
    <row r="1271" spans="18:19" x14ac:dyDescent="0.25">
      <c r="R1271" s="72"/>
      <c r="S1271" s="72"/>
    </row>
    <row r="1272" spans="18:19" x14ac:dyDescent="0.25">
      <c r="R1272" s="72"/>
      <c r="S1272" s="72"/>
    </row>
    <row r="1273" spans="18:19" x14ac:dyDescent="0.25">
      <c r="R1273" s="72"/>
      <c r="S1273" s="72"/>
    </row>
    <row r="1274" spans="18:19" x14ac:dyDescent="0.25">
      <c r="R1274" s="72"/>
      <c r="S1274" s="72"/>
    </row>
    <row r="1275" spans="18:19" x14ac:dyDescent="0.25">
      <c r="R1275" s="72"/>
      <c r="S1275" s="72"/>
    </row>
    <row r="1276" spans="18:19" x14ac:dyDescent="0.25">
      <c r="R1276" s="72"/>
      <c r="S1276" s="72"/>
    </row>
    <row r="1277" spans="18:19" x14ac:dyDescent="0.25">
      <c r="R1277" s="72"/>
      <c r="S1277" s="72"/>
    </row>
    <row r="1278" spans="18:19" x14ac:dyDescent="0.25">
      <c r="R1278" s="72"/>
      <c r="S1278" s="72"/>
    </row>
    <row r="1279" spans="18:19" x14ac:dyDescent="0.25">
      <c r="R1279" s="72"/>
      <c r="S1279" s="72"/>
    </row>
    <row r="1280" spans="18:19" x14ac:dyDescent="0.25">
      <c r="R1280" s="72"/>
      <c r="S1280" s="72"/>
    </row>
    <row r="1281" spans="18:19" x14ac:dyDescent="0.25">
      <c r="R1281" s="72"/>
      <c r="S1281" s="72"/>
    </row>
    <row r="1282" spans="18:19" x14ac:dyDescent="0.25">
      <c r="R1282" s="72"/>
      <c r="S1282" s="72"/>
    </row>
    <row r="1283" spans="18:19" x14ac:dyDescent="0.25">
      <c r="R1283" s="72"/>
      <c r="S1283" s="72"/>
    </row>
    <row r="1284" spans="18:19" x14ac:dyDescent="0.25">
      <c r="R1284" s="72"/>
      <c r="S1284" s="72"/>
    </row>
    <row r="1285" spans="18:19" x14ac:dyDescent="0.25">
      <c r="R1285" s="72"/>
      <c r="S1285" s="72"/>
    </row>
    <row r="1286" spans="18:19" x14ac:dyDescent="0.25">
      <c r="R1286" s="72"/>
      <c r="S1286" s="72"/>
    </row>
    <row r="1287" spans="18:19" x14ac:dyDescent="0.25">
      <c r="R1287" s="72"/>
      <c r="S1287" s="72"/>
    </row>
    <row r="1288" spans="18:19" x14ac:dyDescent="0.25">
      <c r="R1288" s="72"/>
      <c r="S1288" s="72"/>
    </row>
    <row r="1289" spans="18:19" x14ac:dyDescent="0.25">
      <c r="R1289" s="72"/>
      <c r="S1289" s="72"/>
    </row>
    <row r="1290" spans="18:19" x14ac:dyDescent="0.25">
      <c r="R1290" s="72"/>
      <c r="S1290" s="72"/>
    </row>
    <row r="1291" spans="18:19" x14ac:dyDescent="0.25">
      <c r="R1291" s="72"/>
      <c r="S1291" s="72"/>
    </row>
    <row r="1292" spans="18:19" x14ac:dyDescent="0.25">
      <c r="R1292" s="72"/>
      <c r="S1292" s="72"/>
    </row>
    <row r="1293" spans="18:19" x14ac:dyDescent="0.25">
      <c r="R1293" s="72"/>
      <c r="S1293" s="72"/>
    </row>
    <row r="1294" spans="18:19" x14ac:dyDescent="0.25">
      <c r="R1294" s="72"/>
      <c r="S1294" s="72"/>
    </row>
    <row r="1295" spans="18:19" x14ac:dyDescent="0.25">
      <c r="R1295" s="72"/>
      <c r="S1295" s="72"/>
    </row>
    <row r="1296" spans="18:19" x14ac:dyDescent="0.25">
      <c r="R1296" s="72"/>
      <c r="S1296" s="72"/>
    </row>
    <row r="1297" spans="18:19" x14ac:dyDescent="0.25">
      <c r="R1297" s="72"/>
      <c r="S1297" s="72"/>
    </row>
    <row r="1298" spans="18:19" x14ac:dyDescent="0.25">
      <c r="R1298" s="72"/>
      <c r="S1298" s="72"/>
    </row>
    <row r="1299" spans="18:19" x14ac:dyDescent="0.25">
      <c r="R1299" s="72"/>
      <c r="S1299" s="72"/>
    </row>
    <row r="1300" spans="18:19" x14ac:dyDescent="0.25">
      <c r="R1300" s="72"/>
      <c r="S1300" s="72"/>
    </row>
    <row r="1301" spans="18:19" x14ac:dyDescent="0.25">
      <c r="R1301" s="72"/>
      <c r="S1301" s="72"/>
    </row>
    <row r="1302" spans="18:19" x14ac:dyDescent="0.25">
      <c r="R1302" s="72"/>
      <c r="S1302" s="72"/>
    </row>
    <row r="1303" spans="18:19" x14ac:dyDescent="0.25">
      <c r="R1303" s="72"/>
      <c r="S1303" s="72"/>
    </row>
    <row r="1304" spans="18:19" x14ac:dyDescent="0.25">
      <c r="R1304" s="72"/>
      <c r="S1304" s="72"/>
    </row>
    <row r="1305" spans="18:19" x14ac:dyDescent="0.25">
      <c r="R1305" s="72"/>
      <c r="S1305" s="72"/>
    </row>
    <row r="1306" spans="18:19" x14ac:dyDescent="0.25">
      <c r="R1306" s="72"/>
      <c r="S1306" s="72"/>
    </row>
    <row r="1307" spans="18:19" x14ac:dyDescent="0.25">
      <c r="R1307" s="72"/>
      <c r="S1307" s="72"/>
    </row>
    <row r="1308" spans="18:19" x14ac:dyDescent="0.25">
      <c r="R1308" s="72"/>
      <c r="S1308" s="72"/>
    </row>
    <row r="1309" spans="18:19" x14ac:dyDescent="0.25">
      <c r="R1309" s="72"/>
      <c r="S1309" s="72"/>
    </row>
    <row r="1310" spans="18:19" x14ac:dyDescent="0.25">
      <c r="R1310" s="72"/>
      <c r="S1310" s="72"/>
    </row>
    <row r="1311" spans="18:19" x14ac:dyDescent="0.25">
      <c r="R1311" s="72"/>
      <c r="S1311" s="72"/>
    </row>
    <row r="1312" spans="18:19" x14ac:dyDescent="0.25">
      <c r="R1312" s="72"/>
      <c r="S1312" s="72"/>
    </row>
    <row r="1313" spans="18:19" x14ac:dyDescent="0.25">
      <c r="R1313" s="72"/>
      <c r="S1313" s="72"/>
    </row>
    <row r="1314" spans="18:19" x14ac:dyDescent="0.25">
      <c r="R1314" s="72"/>
      <c r="S1314" s="72"/>
    </row>
    <row r="1315" spans="18:19" x14ac:dyDescent="0.25">
      <c r="R1315" s="72"/>
      <c r="S1315" s="72"/>
    </row>
    <row r="1316" spans="18:19" x14ac:dyDescent="0.25">
      <c r="R1316" s="72"/>
      <c r="S1316" s="72"/>
    </row>
    <row r="1317" spans="18:19" x14ac:dyDescent="0.25">
      <c r="R1317" s="72"/>
      <c r="S1317" s="72"/>
    </row>
    <row r="1318" spans="18:19" x14ac:dyDescent="0.25">
      <c r="R1318" s="72"/>
      <c r="S1318" s="72"/>
    </row>
    <row r="1319" spans="18:19" x14ac:dyDescent="0.25">
      <c r="R1319" s="72"/>
      <c r="S1319" s="72"/>
    </row>
    <row r="1320" spans="18:19" x14ac:dyDescent="0.25">
      <c r="R1320" s="72"/>
      <c r="S1320" s="72"/>
    </row>
    <row r="1321" spans="18:19" x14ac:dyDescent="0.25">
      <c r="R1321" s="72"/>
      <c r="S1321" s="72"/>
    </row>
    <row r="1322" spans="18:19" x14ac:dyDescent="0.25">
      <c r="R1322" s="72"/>
      <c r="S1322" s="72"/>
    </row>
    <row r="1323" spans="18:19" x14ac:dyDescent="0.25">
      <c r="R1323" s="72"/>
      <c r="S1323" s="72"/>
    </row>
    <row r="1324" spans="18:19" x14ac:dyDescent="0.25">
      <c r="R1324" s="72"/>
      <c r="S1324" s="72"/>
    </row>
    <row r="1325" spans="18:19" x14ac:dyDescent="0.25">
      <c r="R1325" s="72"/>
      <c r="S1325" s="72"/>
    </row>
    <row r="1326" spans="18:19" x14ac:dyDescent="0.25">
      <c r="R1326" s="72"/>
      <c r="S1326" s="72"/>
    </row>
    <row r="1327" spans="18:19" x14ac:dyDescent="0.25">
      <c r="R1327" s="72"/>
      <c r="S1327" s="72"/>
    </row>
    <row r="1328" spans="18:19" x14ac:dyDescent="0.25">
      <c r="R1328" s="72"/>
      <c r="S1328" s="72"/>
    </row>
    <row r="1329" spans="18:19" x14ac:dyDescent="0.25">
      <c r="R1329" s="72"/>
      <c r="S1329" s="72"/>
    </row>
    <row r="1330" spans="18:19" x14ac:dyDescent="0.25">
      <c r="R1330" s="72"/>
      <c r="S1330" s="72"/>
    </row>
    <row r="1331" spans="18:19" x14ac:dyDescent="0.25">
      <c r="R1331" s="72"/>
      <c r="S1331" s="72"/>
    </row>
    <row r="1332" spans="18:19" x14ac:dyDescent="0.25">
      <c r="R1332" s="72"/>
      <c r="S1332" s="72"/>
    </row>
    <row r="1333" spans="18:19" x14ac:dyDescent="0.25">
      <c r="R1333" s="72"/>
      <c r="S1333" s="72"/>
    </row>
    <row r="1334" spans="18:19" x14ac:dyDescent="0.25">
      <c r="R1334" s="72"/>
      <c r="S1334" s="72"/>
    </row>
    <row r="1335" spans="18:19" x14ac:dyDescent="0.25">
      <c r="R1335" s="72"/>
      <c r="S1335" s="72"/>
    </row>
    <row r="1336" spans="18:19" x14ac:dyDescent="0.25">
      <c r="R1336" s="72"/>
      <c r="S1336" s="72"/>
    </row>
    <row r="1337" spans="18:19" x14ac:dyDescent="0.25">
      <c r="R1337" s="72"/>
      <c r="S1337" s="72"/>
    </row>
    <row r="1338" spans="18:19" x14ac:dyDescent="0.25">
      <c r="R1338" s="72"/>
      <c r="S1338" s="72"/>
    </row>
    <row r="1339" spans="18:19" x14ac:dyDescent="0.25">
      <c r="R1339" s="72"/>
      <c r="S1339" s="72"/>
    </row>
    <row r="1340" spans="18:19" x14ac:dyDescent="0.25">
      <c r="R1340" s="72"/>
      <c r="S1340" s="72"/>
    </row>
    <row r="1341" spans="18:19" x14ac:dyDescent="0.25">
      <c r="R1341" s="72"/>
      <c r="S1341" s="72"/>
    </row>
    <row r="1342" spans="18:19" x14ac:dyDescent="0.25">
      <c r="R1342" s="72"/>
      <c r="S1342" s="72"/>
    </row>
    <row r="1343" spans="18:19" x14ac:dyDescent="0.25">
      <c r="R1343" s="72"/>
      <c r="S1343" s="72"/>
    </row>
    <row r="1344" spans="18:19" x14ac:dyDescent="0.25">
      <c r="R1344" s="72"/>
      <c r="S1344" s="72"/>
    </row>
    <row r="1345" spans="18:19" x14ac:dyDescent="0.25">
      <c r="R1345" s="72"/>
      <c r="S1345" s="72"/>
    </row>
    <row r="1346" spans="18:19" x14ac:dyDescent="0.25">
      <c r="R1346" s="72"/>
      <c r="S1346" s="72"/>
    </row>
    <row r="1347" spans="18:19" x14ac:dyDescent="0.25">
      <c r="R1347" s="72"/>
      <c r="S1347" s="72"/>
    </row>
    <row r="1348" spans="18:19" x14ac:dyDescent="0.25">
      <c r="R1348" s="72"/>
      <c r="S1348" s="72"/>
    </row>
    <row r="1349" spans="18:19" x14ac:dyDescent="0.25">
      <c r="R1349" s="72"/>
      <c r="S1349" s="72"/>
    </row>
    <row r="1350" spans="18:19" x14ac:dyDescent="0.25">
      <c r="R1350" s="72"/>
      <c r="S1350" s="72"/>
    </row>
    <row r="1351" spans="18:19" x14ac:dyDescent="0.25">
      <c r="R1351" s="72"/>
      <c r="S1351" s="72"/>
    </row>
    <row r="1352" spans="18:19" x14ac:dyDescent="0.25">
      <c r="R1352" s="72"/>
      <c r="S1352" s="72"/>
    </row>
    <row r="1353" spans="18:19" x14ac:dyDescent="0.25">
      <c r="R1353" s="72"/>
      <c r="S1353" s="72"/>
    </row>
    <row r="1354" spans="18:19" x14ac:dyDescent="0.25">
      <c r="R1354" s="72"/>
      <c r="S1354" s="72"/>
    </row>
    <row r="1355" spans="18:19" x14ac:dyDescent="0.25">
      <c r="R1355" s="72"/>
      <c r="S1355" s="72"/>
    </row>
    <row r="1356" spans="18:19" x14ac:dyDescent="0.25">
      <c r="R1356" s="72"/>
      <c r="S1356" s="72"/>
    </row>
    <row r="1357" spans="18:19" x14ac:dyDescent="0.25">
      <c r="R1357" s="72"/>
      <c r="S1357" s="72"/>
    </row>
    <row r="1358" spans="18:19" x14ac:dyDescent="0.25">
      <c r="R1358" s="72"/>
      <c r="S1358" s="72"/>
    </row>
    <row r="1359" spans="18:19" x14ac:dyDescent="0.25">
      <c r="R1359" s="72"/>
      <c r="S1359" s="72"/>
    </row>
    <row r="1360" spans="18:19" x14ac:dyDescent="0.25">
      <c r="R1360" s="72"/>
      <c r="S1360" s="72"/>
    </row>
    <row r="1361" spans="18:19" x14ac:dyDescent="0.25">
      <c r="R1361" s="72"/>
      <c r="S1361" s="72"/>
    </row>
    <row r="1362" spans="18:19" x14ac:dyDescent="0.25">
      <c r="R1362" s="72"/>
      <c r="S1362" s="72"/>
    </row>
    <row r="1363" spans="18:19" x14ac:dyDescent="0.25">
      <c r="R1363" s="72"/>
      <c r="S1363" s="72"/>
    </row>
    <row r="1364" spans="18:19" x14ac:dyDescent="0.25">
      <c r="R1364" s="72"/>
      <c r="S1364" s="72"/>
    </row>
    <row r="1365" spans="18:19" x14ac:dyDescent="0.25">
      <c r="R1365" s="72"/>
      <c r="S1365" s="72"/>
    </row>
    <row r="1366" spans="18:19" x14ac:dyDescent="0.25">
      <c r="R1366" s="72"/>
      <c r="S1366" s="72"/>
    </row>
    <row r="1367" spans="18:19" x14ac:dyDescent="0.25">
      <c r="R1367" s="72"/>
      <c r="S1367" s="72"/>
    </row>
    <row r="1368" spans="18:19" x14ac:dyDescent="0.25">
      <c r="R1368" s="72"/>
      <c r="S1368" s="72"/>
    </row>
    <row r="1369" spans="18:19" x14ac:dyDescent="0.25">
      <c r="R1369" s="72"/>
      <c r="S1369" s="72"/>
    </row>
    <row r="1370" spans="18:19" x14ac:dyDescent="0.25">
      <c r="R1370" s="72"/>
      <c r="S1370" s="72"/>
    </row>
    <row r="1371" spans="18:19" x14ac:dyDescent="0.25">
      <c r="R1371" s="72"/>
      <c r="S1371" s="72"/>
    </row>
    <row r="1372" spans="18:19" x14ac:dyDescent="0.25">
      <c r="R1372" s="72"/>
      <c r="S1372" s="72"/>
    </row>
    <row r="1373" spans="18:19" x14ac:dyDescent="0.25">
      <c r="R1373" s="72"/>
      <c r="S1373" s="72"/>
    </row>
    <row r="1374" spans="18:19" x14ac:dyDescent="0.25">
      <c r="R1374" s="72"/>
      <c r="S1374" s="72"/>
    </row>
    <row r="1375" spans="18:19" x14ac:dyDescent="0.25">
      <c r="R1375" s="72"/>
      <c r="S1375" s="72"/>
    </row>
    <row r="1376" spans="18:19" x14ac:dyDescent="0.25">
      <c r="R1376" s="72"/>
      <c r="S1376" s="72"/>
    </row>
    <row r="1377" spans="18:19" x14ac:dyDescent="0.25">
      <c r="R1377" s="72"/>
      <c r="S1377" s="72"/>
    </row>
    <row r="1378" spans="18:19" x14ac:dyDescent="0.25">
      <c r="R1378" s="72"/>
      <c r="S1378" s="72"/>
    </row>
    <row r="1379" spans="18:19" x14ac:dyDescent="0.25">
      <c r="R1379" s="72"/>
      <c r="S1379" s="72"/>
    </row>
    <row r="1380" spans="18:19" x14ac:dyDescent="0.25">
      <c r="R1380" s="72"/>
      <c r="S1380" s="72"/>
    </row>
    <row r="1381" spans="18:19" x14ac:dyDescent="0.25">
      <c r="R1381" s="72"/>
      <c r="S1381" s="72"/>
    </row>
    <row r="1382" spans="18:19" x14ac:dyDescent="0.25">
      <c r="R1382" s="72"/>
      <c r="S1382" s="72"/>
    </row>
    <row r="1383" spans="18:19" x14ac:dyDescent="0.25">
      <c r="R1383" s="72"/>
      <c r="S1383" s="72"/>
    </row>
    <row r="1384" spans="18:19" x14ac:dyDescent="0.25">
      <c r="R1384" s="72"/>
      <c r="S1384" s="72"/>
    </row>
    <row r="1385" spans="18:19" x14ac:dyDescent="0.25">
      <c r="R1385" s="72"/>
      <c r="S1385" s="72"/>
    </row>
    <row r="1386" spans="18:19" x14ac:dyDescent="0.25">
      <c r="R1386" s="72"/>
      <c r="S1386" s="72"/>
    </row>
    <row r="1387" spans="18:19" x14ac:dyDescent="0.25">
      <c r="R1387" s="72"/>
      <c r="S1387" s="72"/>
    </row>
    <row r="1388" spans="18:19" x14ac:dyDescent="0.25">
      <c r="R1388" s="72"/>
      <c r="S1388" s="72"/>
    </row>
    <row r="1389" spans="18:19" x14ac:dyDescent="0.25">
      <c r="R1389" s="72"/>
      <c r="S1389" s="72"/>
    </row>
    <row r="1390" spans="18:19" x14ac:dyDescent="0.25">
      <c r="R1390" s="72"/>
      <c r="S1390" s="72"/>
    </row>
    <row r="1391" spans="18:19" x14ac:dyDescent="0.25">
      <c r="R1391" s="72"/>
      <c r="S1391" s="72"/>
    </row>
    <row r="1392" spans="18:19" x14ac:dyDescent="0.25">
      <c r="R1392" s="72"/>
      <c r="S1392" s="72"/>
    </row>
    <row r="1393" spans="18:19" x14ac:dyDescent="0.25">
      <c r="R1393" s="72"/>
      <c r="S1393" s="72"/>
    </row>
    <row r="1394" spans="18:19" x14ac:dyDescent="0.25">
      <c r="R1394" s="72"/>
      <c r="S1394" s="72"/>
    </row>
    <row r="1395" spans="18:19" x14ac:dyDescent="0.25">
      <c r="R1395" s="72"/>
      <c r="S1395" s="72"/>
    </row>
    <row r="1396" spans="18:19" x14ac:dyDescent="0.25">
      <c r="R1396" s="72"/>
      <c r="S1396" s="72"/>
    </row>
    <row r="1397" spans="18:19" x14ac:dyDescent="0.25">
      <c r="R1397" s="72"/>
      <c r="S1397" s="72"/>
    </row>
    <row r="1398" spans="18:19" x14ac:dyDescent="0.25">
      <c r="R1398" s="72"/>
      <c r="S1398" s="72"/>
    </row>
    <row r="1399" spans="18:19" x14ac:dyDescent="0.25">
      <c r="R1399" s="72"/>
      <c r="S1399" s="72"/>
    </row>
    <row r="1400" spans="18:19" x14ac:dyDescent="0.25">
      <c r="R1400" s="72"/>
      <c r="S1400" s="72"/>
    </row>
    <row r="1401" spans="18:19" x14ac:dyDescent="0.25">
      <c r="R1401" s="72"/>
      <c r="S1401" s="72"/>
    </row>
    <row r="1402" spans="18:19" x14ac:dyDescent="0.25">
      <c r="R1402" s="72"/>
      <c r="S1402" s="72"/>
    </row>
    <row r="1403" spans="18:19" x14ac:dyDescent="0.25">
      <c r="R1403" s="72"/>
      <c r="S1403" s="72"/>
    </row>
    <row r="1404" spans="18:19" x14ac:dyDescent="0.25">
      <c r="R1404" s="72"/>
      <c r="S1404" s="72"/>
    </row>
    <row r="1405" spans="18:19" x14ac:dyDescent="0.25">
      <c r="R1405" s="72"/>
      <c r="S1405" s="72"/>
    </row>
    <row r="1406" spans="18:19" x14ac:dyDescent="0.25">
      <c r="R1406" s="72"/>
      <c r="S1406" s="72"/>
    </row>
    <row r="1407" spans="18:19" x14ac:dyDescent="0.25">
      <c r="R1407" s="72"/>
      <c r="S1407" s="72"/>
    </row>
    <row r="1408" spans="18:19" x14ac:dyDescent="0.25">
      <c r="R1408" s="72"/>
      <c r="S1408" s="72"/>
    </row>
    <row r="1409" spans="18:19" x14ac:dyDescent="0.25">
      <c r="R1409" s="72"/>
      <c r="S1409" s="72"/>
    </row>
    <row r="1410" spans="18:19" x14ac:dyDescent="0.25">
      <c r="R1410" s="72"/>
      <c r="S1410" s="72"/>
    </row>
    <row r="1411" spans="18:19" x14ac:dyDescent="0.25">
      <c r="R1411" s="72"/>
      <c r="S1411" s="72"/>
    </row>
    <row r="1412" spans="18:19" x14ac:dyDescent="0.25">
      <c r="R1412" s="72"/>
      <c r="S1412" s="72"/>
    </row>
    <row r="1413" spans="18:19" x14ac:dyDescent="0.25">
      <c r="R1413" s="72"/>
      <c r="S1413" s="72"/>
    </row>
    <row r="1414" spans="18:19" x14ac:dyDescent="0.25">
      <c r="R1414" s="72"/>
      <c r="S1414" s="72"/>
    </row>
    <row r="1415" spans="18:19" x14ac:dyDescent="0.25">
      <c r="R1415" s="72"/>
      <c r="S1415" s="72"/>
    </row>
    <row r="1416" spans="18:19" x14ac:dyDescent="0.25">
      <c r="R1416" s="72"/>
      <c r="S1416" s="72"/>
    </row>
    <row r="1417" spans="18:19" x14ac:dyDescent="0.25">
      <c r="R1417" s="72"/>
      <c r="S1417" s="72"/>
    </row>
    <row r="1418" spans="18:19" x14ac:dyDescent="0.25">
      <c r="R1418" s="72"/>
      <c r="S1418" s="72"/>
    </row>
    <row r="1419" spans="18:19" x14ac:dyDescent="0.25">
      <c r="R1419" s="72"/>
      <c r="S1419" s="72"/>
    </row>
    <row r="1420" spans="18:19" x14ac:dyDescent="0.25">
      <c r="R1420" s="72"/>
      <c r="S1420" s="72"/>
    </row>
    <row r="1421" spans="18:19" x14ac:dyDescent="0.25">
      <c r="R1421" s="72"/>
      <c r="S1421" s="72"/>
    </row>
    <row r="1422" spans="18:19" x14ac:dyDescent="0.25">
      <c r="R1422" s="72"/>
      <c r="S1422" s="72"/>
    </row>
    <row r="1423" spans="18:19" x14ac:dyDescent="0.25">
      <c r="R1423" s="72"/>
      <c r="S1423" s="72"/>
    </row>
    <row r="1424" spans="18:19" x14ac:dyDescent="0.25">
      <c r="R1424" s="72"/>
      <c r="S1424" s="72"/>
    </row>
    <row r="1425" spans="18:19" x14ac:dyDescent="0.25">
      <c r="R1425" s="72"/>
      <c r="S1425" s="72"/>
    </row>
    <row r="1426" spans="18:19" x14ac:dyDescent="0.25">
      <c r="R1426" s="72"/>
      <c r="S1426" s="72"/>
    </row>
    <row r="1427" spans="18:19" x14ac:dyDescent="0.25">
      <c r="R1427" s="72"/>
      <c r="S1427" s="72"/>
    </row>
    <row r="1428" spans="18:19" x14ac:dyDescent="0.25">
      <c r="R1428" s="72"/>
      <c r="S1428" s="72"/>
    </row>
    <row r="1429" spans="18:19" x14ac:dyDescent="0.25">
      <c r="R1429" s="72"/>
      <c r="S1429" s="72"/>
    </row>
    <row r="1430" spans="18:19" x14ac:dyDescent="0.25">
      <c r="R1430" s="72"/>
      <c r="S1430" s="72"/>
    </row>
    <row r="1431" spans="18:19" x14ac:dyDescent="0.25">
      <c r="R1431" s="72"/>
      <c r="S1431" s="72"/>
    </row>
    <row r="1432" spans="18:19" x14ac:dyDescent="0.25">
      <c r="R1432" s="72"/>
      <c r="S1432" s="72"/>
    </row>
    <row r="1433" spans="18:19" x14ac:dyDescent="0.25">
      <c r="R1433" s="72"/>
      <c r="S1433" s="72"/>
    </row>
    <row r="1434" spans="18:19" x14ac:dyDescent="0.25">
      <c r="R1434" s="72"/>
      <c r="S1434" s="72"/>
    </row>
    <row r="1435" spans="18:19" x14ac:dyDescent="0.25">
      <c r="R1435" s="72"/>
      <c r="S1435" s="72"/>
    </row>
    <row r="1436" spans="18:19" x14ac:dyDescent="0.25">
      <c r="R1436" s="72"/>
      <c r="S1436" s="72"/>
    </row>
    <row r="1437" spans="18:19" x14ac:dyDescent="0.25">
      <c r="R1437" s="72"/>
      <c r="S1437" s="72"/>
    </row>
    <row r="1438" spans="18:19" x14ac:dyDescent="0.25">
      <c r="R1438" s="72"/>
      <c r="S1438" s="72"/>
    </row>
    <row r="1439" spans="18:19" x14ac:dyDescent="0.25">
      <c r="R1439" s="72"/>
      <c r="S1439" s="72"/>
    </row>
    <row r="1440" spans="18:19" x14ac:dyDescent="0.25">
      <c r="R1440" s="72"/>
      <c r="S1440" s="72"/>
    </row>
    <row r="1441" spans="18:19" x14ac:dyDescent="0.25">
      <c r="R1441" s="72"/>
      <c r="S1441" s="72"/>
    </row>
    <row r="1442" spans="18:19" x14ac:dyDescent="0.25">
      <c r="R1442" s="72"/>
      <c r="S1442" s="72"/>
    </row>
    <row r="1443" spans="18:19" x14ac:dyDescent="0.25">
      <c r="R1443" s="72"/>
      <c r="S1443" s="72"/>
    </row>
    <row r="1444" spans="18:19" x14ac:dyDescent="0.25">
      <c r="R1444" s="72"/>
      <c r="S1444" s="72"/>
    </row>
    <row r="1445" spans="18:19" x14ac:dyDescent="0.25">
      <c r="R1445" s="72"/>
      <c r="S1445" s="72"/>
    </row>
    <row r="1446" spans="18:19" x14ac:dyDescent="0.25">
      <c r="R1446" s="72"/>
      <c r="S1446" s="72"/>
    </row>
    <row r="1447" spans="18:19" x14ac:dyDescent="0.25">
      <c r="R1447" s="72"/>
      <c r="S1447" s="72"/>
    </row>
    <row r="1448" spans="18:19" x14ac:dyDescent="0.25">
      <c r="R1448" s="72"/>
      <c r="S1448" s="72"/>
    </row>
    <row r="1449" spans="18:19" x14ac:dyDescent="0.25">
      <c r="R1449" s="72"/>
      <c r="S1449" s="72"/>
    </row>
    <row r="1450" spans="18:19" x14ac:dyDescent="0.25">
      <c r="R1450" s="72"/>
      <c r="S1450" s="72"/>
    </row>
    <row r="1451" spans="18:19" x14ac:dyDescent="0.25">
      <c r="R1451" s="72"/>
      <c r="S1451" s="72"/>
    </row>
    <row r="1452" spans="18:19" x14ac:dyDescent="0.25">
      <c r="R1452" s="72"/>
      <c r="S1452" s="72"/>
    </row>
    <row r="1453" spans="18:19" x14ac:dyDescent="0.25">
      <c r="R1453" s="72"/>
      <c r="S1453" s="72"/>
    </row>
    <row r="1454" spans="18:19" x14ac:dyDescent="0.25">
      <c r="R1454" s="72"/>
      <c r="S1454" s="72"/>
    </row>
    <row r="1455" spans="18:19" x14ac:dyDescent="0.25">
      <c r="R1455" s="72"/>
      <c r="S1455" s="72"/>
    </row>
    <row r="1456" spans="18:19" x14ac:dyDescent="0.25">
      <c r="R1456" s="72"/>
      <c r="S1456" s="72"/>
    </row>
    <row r="1457" spans="18:19" x14ac:dyDescent="0.25">
      <c r="R1457" s="72"/>
      <c r="S1457" s="72"/>
    </row>
    <row r="1458" spans="18:19" x14ac:dyDescent="0.25">
      <c r="R1458" s="72"/>
      <c r="S1458" s="72"/>
    </row>
    <row r="1459" spans="18:19" x14ac:dyDescent="0.25">
      <c r="R1459" s="72"/>
      <c r="S1459" s="72"/>
    </row>
    <row r="1460" spans="18:19" x14ac:dyDescent="0.25">
      <c r="R1460" s="72"/>
      <c r="S1460" s="72"/>
    </row>
    <row r="1461" spans="18:19" x14ac:dyDescent="0.25">
      <c r="R1461" s="72"/>
      <c r="S1461" s="72"/>
    </row>
    <row r="1462" spans="18:19" x14ac:dyDescent="0.25">
      <c r="R1462" s="72"/>
      <c r="S1462" s="72"/>
    </row>
    <row r="1463" spans="18:19" x14ac:dyDescent="0.25">
      <c r="R1463" s="72"/>
      <c r="S1463" s="72"/>
    </row>
    <row r="1464" spans="18:19" x14ac:dyDescent="0.25">
      <c r="R1464" s="72"/>
      <c r="S1464" s="72"/>
    </row>
    <row r="1465" spans="18:19" x14ac:dyDescent="0.25">
      <c r="R1465" s="72"/>
      <c r="S1465" s="72"/>
    </row>
    <row r="1466" spans="18:19" x14ac:dyDescent="0.25">
      <c r="R1466" s="72"/>
      <c r="S1466" s="72"/>
    </row>
    <row r="1467" spans="18:19" x14ac:dyDescent="0.25">
      <c r="R1467" s="72"/>
      <c r="S1467" s="72"/>
    </row>
    <row r="1468" spans="18:19" x14ac:dyDescent="0.25">
      <c r="R1468" s="72"/>
      <c r="S1468" s="72"/>
    </row>
    <row r="1469" spans="18:19" x14ac:dyDescent="0.25">
      <c r="R1469" s="72"/>
      <c r="S1469" s="72"/>
    </row>
    <row r="1470" spans="18:19" x14ac:dyDescent="0.25">
      <c r="R1470" s="72"/>
      <c r="S1470" s="72"/>
    </row>
    <row r="1471" spans="18:19" x14ac:dyDescent="0.25">
      <c r="R1471" s="72"/>
      <c r="S1471" s="72"/>
    </row>
    <row r="1472" spans="18:19" x14ac:dyDescent="0.25">
      <c r="R1472" s="72"/>
      <c r="S1472" s="72"/>
    </row>
    <row r="1473" spans="18:19" x14ac:dyDescent="0.25">
      <c r="R1473" s="72"/>
      <c r="S1473" s="72"/>
    </row>
    <row r="1474" spans="18:19" x14ac:dyDescent="0.25">
      <c r="R1474" s="72"/>
      <c r="S1474" s="72"/>
    </row>
    <row r="1475" spans="18:19" x14ac:dyDescent="0.25">
      <c r="R1475" s="72"/>
      <c r="S1475" s="72"/>
    </row>
    <row r="1476" spans="18:19" x14ac:dyDescent="0.25">
      <c r="R1476" s="72"/>
      <c r="S1476" s="72"/>
    </row>
    <row r="1477" spans="18:19" x14ac:dyDescent="0.25">
      <c r="R1477" s="72"/>
      <c r="S1477" s="72"/>
    </row>
    <row r="1478" spans="18:19" x14ac:dyDescent="0.25">
      <c r="R1478" s="72"/>
      <c r="S1478" s="72"/>
    </row>
    <row r="1479" spans="18:19" x14ac:dyDescent="0.25">
      <c r="R1479" s="72"/>
      <c r="S1479" s="72"/>
    </row>
    <row r="1480" spans="18:19" x14ac:dyDescent="0.25">
      <c r="R1480" s="72"/>
      <c r="S1480" s="72"/>
    </row>
    <row r="1481" spans="18:19" x14ac:dyDescent="0.25">
      <c r="R1481" s="72"/>
      <c r="S1481" s="72"/>
    </row>
    <row r="1482" spans="18:19" x14ac:dyDescent="0.25">
      <c r="R1482" s="72"/>
      <c r="S1482" s="72"/>
    </row>
    <row r="1483" spans="18:19" x14ac:dyDescent="0.25">
      <c r="R1483" s="72"/>
      <c r="S1483" s="72"/>
    </row>
    <row r="1484" spans="18:19" x14ac:dyDescent="0.25">
      <c r="R1484" s="72"/>
      <c r="S1484" s="72"/>
    </row>
    <row r="1485" spans="18:19" x14ac:dyDescent="0.25">
      <c r="R1485" s="72"/>
      <c r="S1485" s="72"/>
    </row>
    <row r="1486" spans="18:19" x14ac:dyDescent="0.25">
      <c r="R1486" s="72"/>
      <c r="S1486" s="72"/>
    </row>
    <row r="1487" spans="18:19" x14ac:dyDescent="0.25">
      <c r="R1487" s="72"/>
      <c r="S1487" s="72"/>
    </row>
    <row r="1488" spans="18:19" x14ac:dyDescent="0.25">
      <c r="R1488" s="72"/>
      <c r="S1488" s="72"/>
    </row>
    <row r="1489" spans="18:19" x14ac:dyDescent="0.25">
      <c r="R1489" s="72"/>
      <c r="S1489" s="72"/>
    </row>
    <row r="1490" spans="18:19" x14ac:dyDescent="0.25">
      <c r="R1490" s="72"/>
      <c r="S1490" s="72"/>
    </row>
    <row r="1491" spans="18:19" x14ac:dyDescent="0.25">
      <c r="R1491" s="72"/>
      <c r="S1491" s="72"/>
    </row>
    <row r="1492" spans="18:19" x14ac:dyDescent="0.25">
      <c r="R1492" s="72"/>
      <c r="S1492" s="72"/>
    </row>
    <row r="1493" spans="18:19" x14ac:dyDescent="0.25">
      <c r="R1493" s="72"/>
      <c r="S1493" s="72"/>
    </row>
    <row r="1494" spans="18:19" x14ac:dyDescent="0.25">
      <c r="R1494" s="72"/>
      <c r="S1494" s="72"/>
    </row>
    <row r="1495" spans="18:19" x14ac:dyDescent="0.25">
      <c r="R1495" s="72"/>
      <c r="S1495" s="72"/>
    </row>
    <row r="1496" spans="18:19" x14ac:dyDescent="0.25">
      <c r="R1496" s="72"/>
      <c r="S1496" s="72"/>
    </row>
    <row r="1497" spans="18:19" x14ac:dyDescent="0.25">
      <c r="R1497" s="72"/>
      <c r="S1497" s="72"/>
    </row>
    <row r="1498" spans="18:19" x14ac:dyDescent="0.25">
      <c r="R1498" s="72"/>
      <c r="S1498" s="72"/>
    </row>
    <row r="1499" spans="18:19" x14ac:dyDescent="0.25">
      <c r="R1499" s="72"/>
      <c r="S1499" s="72"/>
    </row>
    <row r="1500" spans="18:19" x14ac:dyDescent="0.25">
      <c r="R1500" s="72"/>
      <c r="S1500" s="72"/>
    </row>
    <row r="1501" spans="18:19" x14ac:dyDescent="0.25">
      <c r="R1501" s="72"/>
      <c r="S1501" s="72"/>
    </row>
    <row r="1502" spans="18:19" x14ac:dyDescent="0.25">
      <c r="R1502" s="72"/>
      <c r="S1502" s="72"/>
    </row>
    <row r="1503" spans="18:19" x14ac:dyDescent="0.25">
      <c r="R1503" s="72"/>
      <c r="S1503" s="72"/>
    </row>
    <row r="1504" spans="18:19" x14ac:dyDescent="0.25">
      <c r="R1504" s="72"/>
      <c r="S1504" s="72"/>
    </row>
    <row r="1505" spans="18:19" x14ac:dyDescent="0.25">
      <c r="R1505" s="72"/>
      <c r="S1505" s="72"/>
    </row>
    <row r="1506" spans="18:19" x14ac:dyDescent="0.25">
      <c r="R1506" s="72"/>
      <c r="S1506" s="72"/>
    </row>
    <row r="1507" spans="18:19" x14ac:dyDescent="0.25">
      <c r="R1507" s="72"/>
      <c r="S1507" s="72"/>
    </row>
    <row r="1508" spans="18:19" x14ac:dyDescent="0.25">
      <c r="R1508" s="72"/>
      <c r="S1508" s="72"/>
    </row>
    <row r="1509" spans="18:19" x14ac:dyDescent="0.25">
      <c r="R1509" s="72"/>
      <c r="S1509" s="72"/>
    </row>
    <row r="1510" spans="18:19" x14ac:dyDescent="0.25">
      <c r="R1510" s="72"/>
      <c r="S1510" s="72"/>
    </row>
    <row r="1511" spans="18:19" x14ac:dyDescent="0.25">
      <c r="R1511" s="72"/>
      <c r="S1511" s="72"/>
    </row>
    <row r="1512" spans="18:19" x14ac:dyDescent="0.25">
      <c r="R1512" s="72"/>
      <c r="S1512" s="72"/>
    </row>
    <row r="1513" spans="18:19" x14ac:dyDescent="0.25">
      <c r="R1513" s="72"/>
      <c r="S1513" s="72"/>
    </row>
    <row r="1514" spans="18:19" x14ac:dyDescent="0.25">
      <c r="R1514" s="72"/>
      <c r="S1514" s="72"/>
    </row>
    <row r="1515" spans="18:19" x14ac:dyDescent="0.25">
      <c r="R1515" s="72"/>
      <c r="S1515" s="72"/>
    </row>
    <row r="1516" spans="18:19" x14ac:dyDescent="0.25">
      <c r="R1516" s="72"/>
      <c r="S1516" s="72"/>
    </row>
    <row r="1517" spans="18:19" x14ac:dyDescent="0.25">
      <c r="R1517" s="72"/>
      <c r="S1517" s="72"/>
    </row>
    <row r="1518" spans="18:19" x14ac:dyDescent="0.25">
      <c r="R1518" s="72"/>
      <c r="S1518" s="72"/>
    </row>
    <row r="1519" spans="18:19" x14ac:dyDescent="0.25">
      <c r="R1519" s="72"/>
      <c r="S1519" s="72"/>
    </row>
    <row r="1520" spans="18:19" x14ac:dyDescent="0.25">
      <c r="R1520" s="72"/>
      <c r="S1520" s="72"/>
    </row>
    <row r="1521" spans="18:19" x14ac:dyDescent="0.25">
      <c r="R1521" s="72"/>
      <c r="S1521" s="72"/>
    </row>
    <row r="1522" spans="18:19" x14ac:dyDescent="0.25">
      <c r="R1522" s="72"/>
      <c r="S1522" s="72"/>
    </row>
    <row r="1523" spans="18:19" x14ac:dyDescent="0.25">
      <c r="R1523" s="72"/>
      <c r="S1523" s="72"/>
    </row>
    <row r="1524" spans="18:19" x14ac:dyDescent="0.25">
      <c r="R1524" s="72"/>
      <c r="S1524" s="72"/>
    </row>
    <row r="1525" spans="18:19" x14ac:dyDescent="0.25">
      <c r="R1525" s="72"/>
      <c r="S1525" s="72"/>
    </row>
    <row r="1526" spans="18:19" x14ac:dyDescent="0.25">
      <c r="R1526" s="72"/>
      <c r="S1526" s="72"/>
    </row>
    <row r="1527" spans="18:19" x14ac:dyDescent="0.25">
      <c r="R1527" s="72"/>
      <c r="S1527" s="72"/>
    </row>
    <row r="1528" spans="18:19" x14ac:dyDescent="0.25">
      <c r="R1528" s="72"/>
      <c r="S1528" s="72"/>
    </row>
    <row r="1529" spans="18:19" x14ac:dyDescent="0.25">
      <c r="R1529" s="72"/>
      <c r="S1529" s="72"/>
    </row>
    <row r="1530" spans="18:19" x14ac:dyDescent="0.25">
      <c r="R1530" s="72"/>
      <c r="S1530" s="72"/>
    </row>
    <row r="1531" spans="18:19" x14ac:dyDescent="0.25">
      <c r="R1531" s="72"/>
      <c r="S1531" s="72"/>
    </row>
    <row r="1532" spans="18:19" x14ac:dyDescent="0.25">
      <c r="R1532" s="72"/>
      <c r="S1532" s="72"/>
    </row>
    <row r="1533" spans="18:19" x14ac:dyDescent="0.25">
      <c r="R1533" s="72"/>
      <c r="S1533" s="72"/>
    </row>
    <row r="1534" spans="18:19" x14ac:dyDescent="0.25">
      <c r="R1534" s="72"/>
      <c r="S1534" s="72"/>
    </row>
    <row r="1535" spans="18:19" x14ac:dyDescent="0.25">
      <c r="R1535" s="72"/>
      <c r="S1535" s="72"/>
    </row>
    <row r="1536" spans="18:19" x14ac:dyDescent="0.25">
      <c r="R1536" s="72"/>
      <c r="S1536" s="72"/>
    </row>
    <row r="1537" spans="18:19" x14ac:dyDescent="0.25">
      <c r="R1537" s="72"/>
      <c r="S1537" s="72"/>
    </row>
    <row r="1538" spans="18:19" x14ac:dyDescent="0.25">
      <c r="R1538" s="72"/>
      <c r="S1538" s="72"/>
    </row>
    <row r="1539" spans="18:19" x14ac:dyDescent="0.25">
      <c r="R1539" s="72"/>
      <c r="S1539" s="72"/>
    </row>
    <row r="1540" spans="18:19" x14ac:dyDescent="0.25">
      <c r="R1540" s="72"/>
      <c r="S1540" s="72"/>
    </row>
    <row r="1541" spans="18:19" x14ac:dyDescent="0.25">
      <c r="R1541" s="72"/>
      <c r="S1541" s="72"/>
    </row>
    <row r="1542" spans="18:19" x14ac:dyDescent="0.25">
      <c r="R1542" s="72"/>
      <c r="S1542" s="72"/>
    </row>
    <row r="1543" spans="18:19" x14ac:dyDescent="0.25">
      <c r="R1543" s="72"/>
      <c r="S1543" s="72"/>
    </row>
    <row r="1544" spans="18:19" x14ac:dyDescent="0.25">
      <c r="R1544" s="72"/>
      <c r="S1544" s="72"/>
    </row>
    <row r="1545" spans="18:19" x14ac:dyDescent="0.25">
      <c r="R1545" s="72"/>
      <c r="S1545" s="72"/>
    </row>
    <row r="1546" spans="18:19" x14ac:dyDescent="0.25">
      <c r="R1546" s="72"/>
      <c r="S1546" s="72"/>
    </row>
    <row r="1547" spans="18:19" x14ac:dyDescent="0.25">
      <c r="R1547" s="72"/>
      <c r="S1547" s="72"/>
    </row>
    <row r="1548" spans="18:19" x14ac:dyDescent="0.25">
      <c r="R1548" s="72"/>
      <c r="S1548" s="72"/>
    </row>
    <row r="1549" spans="18:19" x14ac:dyDescent="0.25">
      <c r="R1549" s="72"/>
      <c r="S1549" s="72"/>
    </row>
    <row r="1550" spans="18:19" x14ac:dyDescent="0.25">
      <c r="R1550" s="72"/>
      <c r="S1550" s="72"/>
    </row>
    <row r="1551" spans="18:19" x14ac:dyDescent="0.25">
      <c r="R1551" s="72"/>
      <c r="S1551" s="72"/>
    </row>
    <row r="1552" spans="18:19" x14ac:dyDescent="0.25">
      <c r="R1552" s="72"/>
      <c r="S1552" s="72"/>
    </row>
    <row r="1553" spans="18:19" x14ac:dyDescent="0.25">
      <c r="R1553" s="72"/>
      <c r="S1553" s="72"/>
    </row>
    <row r="1554" spans="18:19" x14ac:dyDescent="0.25">
      <c r="R1554" s="72"/>
      <c r="S1554" s="72"/>
    </row>
    <row r="1555" spans="18:19" x14ac:dyDescent="0.25">
      <c r="R1555" s="72"/>
      <c r="S1555" s="72"/>
    </row>
    <row r="1556" spans="18:19" x14ac:dyDescent="0.25">
      <c r="R1556" s="72"/>
      <c r="S1556" s="72"/>
    </row>
    <row r="1557" spans="18:19" x14ac:dyDescent="0.25">
      <c r="R1557" s="72"/>
      <c r="S1557" s="72"/>
    </row>
    <row r="1558" spans="18:19" x14ac:dyDescent="0.25">
      <c r="R1558" s="72"/>
      <c r="S1558" s="72"/>
    </row>
    <row r="1559" spans="18:19" x14ac:dyDescent="0.25">
      <c r="R1559" s="72"/>
      <c r="S1559" s="72"/>
    </row>
    <row r="1560" spans="18:19" x14ac:dyDescent="0.25">
      <c r="R1560" s="72"/>
      <c r="S1560" s="72"/>
    </row>
    <row r="1561" spans="18:19" x14ac:dyDescent="0.25">
      <c r="R1561" s="72"/>
      <c r="S1561" s="72"/>
    </row>
    <row r="1562" spans="18:19" x14ac:dyDescent="0.25">
      <c r="R1562" s="72"/>
      <c r="S1562" s="72"/>
    </row>
    <row r="1563" spans="18:19" x14ac:dyDescent="0.25">
      <c r="R1563" s="72"/>
      <c r="S1563" s="72"/>
    </row>
    <row r="1564" spans="18:19" x14ac:dyDescent="0.25">
      <c r="R1564" s="72"/>
      <c r="S1564" s="72"/>
    </row>
    <row r="1565" spans="18:19" x14ac:dyDescent="0.25">
      <c r="R1565" s="72"/>
      <c r="S1565" s="72"/>
    </row>
    <row r="1566" spans="18:19" x14ac:dyDescent="0.25">
      <c r="R1566" s="72"/>
      <c r="S1566" s="72"/>
    </row>
    <row r="1567" spans="18:19" x14ac:dyDescent="0.25">
      <c r="R1567" s="72"/>
      <c r="S1567" s="72"/>
    </row>
    <row r="1568" spans="18:19" x14ac:dyDescent="0.25">
      <c r="R1568" s="72"/>
      <c r="S1568" s="72"/>
    </row>
    <row r="1569" spans="18:19" x14ac:dyDescent="0.25">
      <c r="R1569" s="72"/>
      <c r="S1569" s="72"/>
    </row>
    <row r="1570" spans="18:19" x14ac:dyDescent="0.25">
      <c r="R1570" s="72"/>
      <c r="S1570" s="72"/>
    </row>
    <row r="1571" spans="18:19" x14ac:dyDescent="0.25">
      <c r="R1571" s="72"/>
      <c r="S1571" s="72"/>
    </row>
    <row r="1572" spans="18:19" x14ac:dyDescent="0.25">
      <c r="R1572" s="72"/>
      <c r="S1572" s="72"/>
    </row>
    <row r="1573" spans="18:19" x14ac:dyDescent="0.25">
      <c r="R1573" s="72"/>
      <c r="S1573" s="72"/>
    </row>
    <row r="1574" spans="18:19" x14ac:dyDescent="0.25">
      <c r="R1574" s="72"/>
      <c r="S1574" s="72"/>
    </row>
    <row r="1575" spans="18:19" x14ac:dyDescent="0.25">
      <c r="R1575" s="72"/>
      <c r="S1575" s="72"/>
    </row>
    <row r="1576" spans="18:19" x14ac:dyDescent="0.25">
      <c r="R1576" s="72"/>
      <c r="S1576" s="72"/>
    </row>
    <row r="1577" spans="18:19" x14ac:dyDescent="0.25">
      <c r="R1577" s="72"/>
      <c r="S1577" s="72"/>
    </row>
    <row r="1578" spans="18:19" x14ac:dyDescent="0.25">
      <c r="R1578" s="72"/>
      <c r="S1578" s="72"/>
    </row>
    <row r="1579" spans="18:19" x14ac:dyDescent="0.25">
      <c r="R1579" s="72"/>
      <c r="S1579" s="72"/>
    </row>
    <row r="1580" spans="18:19" x14ac:dyDescent="0.25">
      <c r="R1580" s="72"/>
      <c r="S1580" s="72"/>
    </row>
    <row r="1581" spans="18:19" x14ac:dyDescent="0.25">
      <c r="R1581" s="72"/>
      <c r="S1581" s="72"/>
    </row>
    <row r="1582" spans="18:19" x14ac:dyDescent="0.25">
      <c r="R1582" s="72"/>
      <c r="S1582" s="72"/>
    </row>
    <row r="1583" spans="18:19" x14ac:dyDescent="0.25">
      <c r="R1583" s="72"/>
      <c r="S1583" s="72"/>
    </row>
    <row r="1584" spans="18:19" x14ac:dyDescent="0.25">
      <c r="R1584" s="72"/>
      <c r="S1584" s="72"/>
    </row>
    <row r="1585" spans="18:19" x14ac:dyDescent="0.25">
      <c r="R1585" s="72"/>
      <c r="S1585" s="72"/>
    </row>
    <row r="1586" spans="18:19" x14ac:dyDescent="0.25">
      <c r="R1586" s="72"/>
      <c r="S1586" s="72"/>
    </row>
    <row r="1587" spans="18:19" x14ac:dyDescent="0.25">
      <c r="R1587" s="72"/>
      <c r="S1587" s="72"/>
    </row>
    <row r="1588" spans="18:19" x14ac:dyDescent="0.25">
      <c r="R1588" s="72"/>
      <c r="S1588" s="72"/>
    </row>
    <row r="1589" spans="18:19" x14ac:dyDescent="0.25">
      <c r="R1589" s="72"/>
      <c r="S1589" s="72"/>
    </row>
    <row r="1590" spans="18:19" x14ac:dyDescent="0.25">
      <c r="R1590" s="72"/>
      <c r="S1590" s="72"/>
    </row>
    <row r="1591" spans="18:19" x14ac:dyDescent="0.25">
      <c r="R1591" s="72"/>
      <c r="S1591" s="72"/>
    </row>
    <row r="1592" spans="18:19" x14ac:dyDescent="0.25">
      <c r="R1592" s="72"/>
      <c r="S1592" s="72"/>
    </row>
    <row r="1593" spans="18:19" x14ac:dyDescent="0.25">
      <c r="R1593" s="72"/>
      <c r="S1593" s="72"/>
    </row>
    <row r="1594" spans="18:19" x14ac:dyDescent="0.25">
      <c r="R1594" s="72"/>
      <c r="S1594" s="72"/>
    </row>
    <row r="1595" spans="18:19" x14ac:dyDescent="0.25">
      <c r="R1595" s="72"/>
      <c r="S1595" s="72"/>
    </row>
    <row r="1596" spans="18:19" x14ac:dyDescent="0.25">
      <c r="R1596" s="72"/>
      <c r="S1596" s="72"/>
    </row>
    <row r="1597" spans="18:19" x14ac:dyDescent="0.25">
      <c r="R1597" s="72"/>
      <c r="S1597" s="72"/>
    </row>
    <row r="1598" spans="18:19" x14ac:dyDescent="0.25">
      <c r="R1598" s="72"/>
      <c r="S1598" s="72"/>
    </row>
    <row r="1599" spans="18:19" x14ac:dyDescent="0.25">
      <c r="R1599" s="72"/>
      <c r="S1599" s="72"/>
    </row>
    <row r="1600" spans="18:19" x14ac:dyDescent="0.25">
      <c r="R1600" s="72"/>
      <c r="S1600" s="72"/>
    </row>
    <row r="1601" spans="18:19" x14ac:dyDescent="0.25">
      <c r="R1601" s="72"/>
      <c r="S1601" s="72"/>
    </row>
    <row r="1602" spans="18:19" x14ac:dyDescent="0.25">
      <c r="R1602" s="72"/>
      <c r="S1602" s="72"/>
    </row>
    <row r="1603" spans="18:19" x14ac:dyDescent="0.25">
      <c r="R1603" s="72"/>
      <c r="S1603" s="72"/>
    </row>
    <row r="1604" spans="18:19" x14ac:dyDescent="0.25">
      <c r="R1604" s="72"/>
      <c r="S1604" s="72"/>
    </row>
    <row r="1605" spans="18:19" x14ac:dyDescent="0.25">
      <c r="R1605" s="72"/>
      <c r="S1605" s="72"/>
    </row>
    <row r="1606" spans="18:19" x14ac:dyDescent="0.25">
      <c r="R1606" s="72"/>
      <c r="S1606" s="72"/>
    </row>
    <row r="1607" spans="18:19" x14ac:dyDescent="0.25">
      <c r="R1607" s="72"/>
      <c r="S1607" s="72"/>
    </row>
    <row r="1608" spans="18:19" x14ac:dyDescent="0.25">
      <c r="R1608" s="72"/>
      <c r="S1608" s="72"/>
    </row>
    <row r="1609" spans="18:19" x14ac:dyDescent="0.25">
      <c r="R1609" s="72"/>
      <c r="S1609" s="72"/>
    </row>
    <row r="1610" spans="18:19" x14ac:dyDescent="0.25">
      <c r="R1610" s="72"/>
      <c r="S1610" s="72"/>
    </row>
    <row r="1611" spans="18:19" x14ac:dyDescent="0.25">
      <c r="R1611" s="72"/>
      <c r="S1611" s="72"/>
    </row>
    <row r="1612" spans="18:19" x14ac:dyDescent="0.25">
      <c r="R1612" s="72"/>
      <c r="S1612" s="72"/>
    </row>
    <row r="1613" spans="18:19" x14ac:dyDescent="0.25">
      <c r="R1613" s="72"/>
      <c r="S1613" s="72"/>
    </row>
    <row r="1614" spans="18:19" x14ac:dyDescent="0.25">
      <c r="R1614" s="72"/>
      <c r="S1614" s="72"/>
    </row>
    <row r="1615" spans="18:19" x14ac:dyDescent="0.25">
      <c r="R1615" s="72"/>
      <c r="S1615" s="72"/>
    </row>
    <row r="1616" spans="18:19" x14ac:dyDescent="0.25">
      <c r="R1616" s="72"/>
      <c r="S1616" s="72"/>
    </row>
    <row r="1617" spans="18:19" x14ac:dyDescent="0.25">
      <c r="R1617" s="72"/>
      <c r="S1617" s="72"/>
    </row>
    <row r="1618" spans="18:19" x14ac:dyDescent="0.25">
      <c r="R1618" s="72"/>
      <c r="S1618" s="72"/>
    </row>
    <row r="1619" spans="18:19" x14ac:dyDescent="0.25">
      <c r="R1619" s="72"/>
      <c r="S1619" s="72"/>
    </row>
    <row r="1620" spans="18:19" x14ac:dyDescent="0.25">
      <c r="R1620" s="72"/>
      <c r="S1620" s="72"/>
    </row>
    <row r="1621" spans="18:19" x14ac:dyDescent="0.25">
      <c r="R1621" s="72"/>
      <c r="S1621" s="72"/>
    </row>
    <row r="1622" spans="18:19" x14ac:dyDescent="0.25">
      <c r="R1622" s="72"/>
      <c r="S1622" s="72"/>
    </row>
    <row r="1623" spans="18:19" x14ac:dyDescent="0.25">
      <c r="R1623" s="72"/>
      <c r="S1623" s="72"/>
    </row>
    <row r="1624" spans="18:19" x14ac:dyDescent="0.25">
      <c r="R1624" s="72"/>
      <c r="S1624" s="72"/>
    </row>
    <row r="1625" spans="18:19" x14ac:dyDescent="0.25">
      <c r="R1625" s="72"/>
      <c r="S1625" s="72"/>
    </row>
    <row r="1626" spans="18:19" x14ac:dyDescent="0.25">
      <c r="R1626" s="72"/>
      <c r="S1626" s="72"/>
    </row>
    <row r="1627" spans="18:19" x14ac:dyDescent="0.25">
      <c r="R1627" s="72"/>
      <c r="S1627" s="72"/>
    </row>
    <row r="1628" spans="18:19" x14ac:dyDescent="0.25">
      <c r="R1628" s="72"/>
      <c r="S1628" s="72"/>
    </row>
    <row r="1629" spans="18:19" x14ac:dyDescent="0.25">
      <c r="R1629" s="72"/>
      <c r="S1629" s="72"/>
    </row>
    <row r="1630" spans="18:19" x14ac:dyDescent="0.25">
      <c r="R1630" s="72"/>
      <c r="S1630" s="72"/>
    </row>
    <row r="1631" spans="18:19" x14ac:dyDescent="0.25">
      <c r="R1631" s="72"/>
      <c r="S1631" s="72"/>
    </row>
    <row r="1632" spans="18:19" x14ac:dyDescent="0.25">
      <c r="R1632" s="72"/>
      <c r="S1632" s="72"/>
    </row>
    <row r="1633" spans="18:19" x14ac:dyDescent="0.25">
      <c r="R1633" s="72"/>
      <c r="S1633" s="72"/>
    </row>
    <row r="1634" spans="18:19" x14ac:dyDescent="0.25">
      <c r="R1634" s="72"/>
      <c r="S1634" s="72"/>
    </row>
    <row r="1635" spans="18:19" x14ac:dyDescent="0.25">
      <c r="R1635" s="72"/>
      <c r="S1635" s="72"/>
    </row>
    <row r="1636" spans="18:19" x14ac:dyDescent="0.25">
      <c r="R1636" s="72"/>
      <c r="S1636" s="72"/>
    </row>
    <row r="1637" spans="18:19" x14ac:dyDescent="0.25">
      <c r="R1637" s="72"/>
      <c r="S1637" s="72"/>
    </row>
    <row r="1638" spans="18:19" x14ac:dyDescent="0.25">
      <c r="R1638" s="72"/>
      <c r="S1638" s="72"/>
    </row>
    <row r="1639" spans="18:19" x14ac:dyDescent="0.25">
      <c r="R1639" s="72"/>
      <c r="S1639" s="72"/>
    </row>
    <row r="1640" spans="18:19" x14ac:dyDescent="0.25">
      <c r="R1640" s="72"/>
      <c r="S1640" s="72"/>
    </row>
    <row r="1641" spans="18:19" x14ac:dyDescent="0.25">
      <c r="R1641" s="72"/>
      <c r="S1641" s="72"/>
    </row>
    <row r="1642" spans="18:19" x14ac:dyDescent="0.25">
      <c r="R1642" s="72"/>
      <c r="S1642" s="72"/>
    </row>
    <row r="1643" spans="18:19" x14ac:dyDescent="0.25">
      <c r="R1643" s="72"/>
      <c r="S1643" s="72"/>
    </row>
    <row r="1644" spans="18:19" x14ac:dyDescent="0.25">
      <c r="R1644" s="72"/>
      <c r="S1644" s="72"/>
    </row>
    <row r="1645" spans="18:19" x14ac:dyDescent="0.25">
      <c r="R1645" s="72"/>
      <c r="S1645" s="72"/>
    </row>
    <row r="1646" spans="18:19" x14ac:dyDescent="0.25">
      <c r="R1646" s="72"/>
      <c r="S1646" s="72"/>
    </row>
    <row r="1647" spans="18:19" x14ac:dyDescent="0.25">
      <c r="R1647" s="72"/>
      <c r="S1647" s="72"/>
    </row>
    <row r="1648" spans="18:19" x14ac:dyDescent="0.25">
      <c r="R1648" s="72"/>
      <c r="S1648" s="72"/>
    </row>
    <row r="1649" spans="18:19" x14ac:dyDescent="0.25">
      <c r="R1649" s="72"/>
      <c r="S1649" s="72"/>
    </row>
    <row r="1650" spans="18:19" x14ac:dyDescent="0.25">
      <c r="R1650" s="72"/>
      <c r="S1650" s="72"/>
    </row>
    <row r="1651" spans="18:19" x14ac:dyDescent="0.25">
      <c r="R1651" s="72"/>
      <c r="S1651" s="72"/>
    </row>
    <row r="1652" spans="18:19" x14ac:dyDescent="0.25">
      <c r="R1652" s="72"/>
      <c r="S1652" s="72"/>
    </row>
    <row r="1653" spans="18:19" x14ac:dyDescent="0.25">
      <c r="R1653" s="72"/>
      <c r="S1653" s="72"/>
    </row>
    <row r="1654" spans="18:19" x14ac:dyDescent="0.25">
      <c r="R1654" s="72"/>
      <c r="S1654" s="72"/>
    </row>
    <row r="1655" spans="18:19" x14ac:dyDescent="0.25">
      <c r="R1655" s="72"/>
      <c r="S1655" s="72"/>
    </row>
    <row r="1656" spans="18:19" x14ac:dyDescent="0.25">
      <c r="R1656" s="72"/>
      <c r="S1656" s="72"/>
    </row>
    <row r="1657" spans="18:19" x14ac:dyDescent="0.25">
      <c r="R1657" s="72"/>
      <c r="S1657" s="72"/>
    </row>
    <row r="1658" spans="18:19" x14ac:dyDescent="0.25">
      <c r="R1658" s="72"/>
      <c r="S1658" s="72"/>
    </row>
    <row r="1659" spans="18:19" x14ac:dyDescent="0.25">
      <c r="R1659" s="72"/>
      <c r="S1659" s="72"/>
    </row>
    <row r="1660" spans="18:19" x14ac:dyDescent="0.25">
      <c r="R1660" s="72"/>
      <c r="S1660" s="72"/>
    </row>
    <row r="1661" spans="18:19" x14ac:dyDescent="0.25">
      <c r="R1661" s="72"/>
      <c r="S1661" s="72"/>
    </row>
    <row r="1662" spans="18:19" x14ac:dyDescent="0.25">
      <c r="R1662" s="72"/>
      <c r="S1662" s="72"/>
    </row>
    <row r="1663" spans="18:19" x14ac:dyDescent="0.25">
      <c r="R1663" s="72"/>
      <c r="S1663" s="72"/>
    </row>
    <row r="1664" spans="18:19" x14ac:dyDescent="0.25">
      <c r="R1664" s="72"/>
      <c r="S1664" s="72"/>
    </row>
    <row r="1665" spans="18:19" x14ac:dyDescent="0.25">
      <c r="R1665" s="72"/>
      <c r="S1665" s="72"/>
    </row>
    <row r="1666" spans="18:19" x14ac:dyDescent="0.25">
      <c r="R1666" s="72"/>
      <c r="S1666" s="72"/>
    </row>
    <row r="1667" spans="18:19" x14ac:dyDescent="0.25">
      <c r="R1667" s="72"/>
      <c r="S1667" s="72"/>
    </row>
    <row r="1668" spans="18:19" x14ac:dyDescent="0.25">
      <c r="R1668" s="72"/>
      <c r="S1668" s="72"/>
    </row>
    <row r="1669" spans="18:19" x14ac:dyDescent="0.25">
      <c r="R1669" s="72"/>
      <c r="S1669" s="72"/>
    </row>
    <row r="1670" spans="18:19" x14ac:dyDescent="0.25">
      <c r="R1670" s="72"/>
      <c r="S1670" s="72"/>
    </row>
    <row r="1671" spans="18:19" x14ac:dyDescent="0.25">
      <c r="R1671" s="72"/>
      <c r="S1671" s="72"/>
    </row>
    <row r="1672" spans="18:19" x14ac:dyDescent="0.25">
      <c r="R1672" s="72"/>
      <c r="S1672" s="72"/>
    </row>
    <row r="1673" spans="18:19" x14ac:dyDescent="0.25">
      <c r="R1673" s="72"/>
      <c r="S1673" s="72"/>
    </row>
    <row r="1674" spans="18:19" x14ac:dyDescent="0.25">
      <c r="R1674" s="72"/>
      <c r="S1674" s="72"/>
    </row>
    <row r="1675" spans="18:19" x14ac:dyDescent="0.25">
      <c r="R1675" s="72"/>
      <c r="S1675" s="72"/>
    </row>
    <row r="1676" spans="18:19" x14ac:dyDescent="0.25">
      <c r="R1676" s="72"/>
      <c r="S1676" s="72"/>
    </row>
    <row r="1677" spans="18:19" x14ac:dyDescent="0.25">
      <c r="R1677" s="72"/>
      <c r="S1677" s="72"/>
    </row>
    <row r="1678" spans="18:19" x14ac:dyDescent="0.25">
      <c r="R1678" s="72"/>
      <c r="S1678" s="72"/>
    </row>
    <row r="1679" spans="18:19" x14ac:dyDescent="0.25">
      <c r="R1679" s="72"/>
      <c r="S1679" s="72"/>
    </row>
    <row r="1680" spans="18:19" x14ac:dyDescent="0.25">
      <c r="R1680" s="72"/>
      <c r="S1680" s="72"/>
    </row>
    <row r="1681" spans="18:19" x14ac:dyDescent="0.25">
      <c r="R1681" s="72"/>
      <c r="S1681" s="72"/>
    </row>
    <row r="1682" spans="18:19" x14ac:dyDescent="0.25">
      <c r="R1682" s="72"/>
      <c r="S1682" s="72"/>
    </row>
    <row r="1683" spans="18:19" x14ac:dyDescent="0.25">
      <c r="R1683" s="72"/>
      <c r="S1683" s="72"/>
    </row>
    <row r="1684" spans="18:19" x14ac:dyDescent="0.25">
      <c r="R1684" s="72"/>
      <c r="S1684" s="72"/>
    </row>
    <row r="1685" spans="18:19" x14ac:dyDescent="0.25">
      <c r="R1685" s="72"/>
      <c r="S1685" s="72"/>
    </row>
    <row r="1686" spans="18:19" x14ac:dyDescent="0.25">
      <c r="R1686" s="72"/>
      <c r="S1686" s="72"/>
    </row>
    <row r="1687" spans="18:19" x14ac:dyDescent="0.25">
      <c r="R1687" s="72"/>
      <c r="S1687" s="72"/>
    </row>
    <row r="1688" spans="18:19" x14ac:dyDescent="0.25">
      <c r="R1688" s="72"/>
      <c r="S1688" s="72"/>
    </row>
    <row r="1689" spans="18:19" x14ac:dyDescent="0.25">
      <c r="R1689" s="72"/>
      <c r="S1689" s="72"/>
    </row>
    <row r="1690" spans="18:19" x14ac:dyDescent="0.25">
      <c r="R1690" s="72"/>
      <c r="S1690" s="72"/>
    </row>
    <row r="1691" spans="18:19" x14ac:dyDescent="0.25">
      <c r="R1691" s="72"/>
      <c r="S1691" s="72"/>
    </row>
    <row r="1692" spans="18:19" x14ac:dyDescent="0.25">
      <c r="R1692" s="72"/>
      <c r="S1692" s="72"/>
    </row>
    <row r="1693" spans="18:19" x14ac:dyDescent="0.25">
      <c r="R1693" s="72"/>
      <c r="S1693" s="72"/>
    </row>
    <row r="1694" spans="18:19" x14ac:dyDescent="0.25">
      <c r="R1694" s="72"/>
      <c r="S1694" s="72"/>
    </row>
    <row r="1695" spans="18:19" x14ac:dyDescent="0.25">
      <c r="R1695" s="72"/>
      <c r="S1695" s="72"/>
    </row>
    <row r="1696" spans="18:19" x14ac:dyDescent="0.25">
      <c r="R1696" s="72"/>
      <c r="S1696" s="72"/>
    </row>
    <row r="1697" spans="18:19" x14ac:dyDescent="0.25">
      <c r="R1697" s="72"/>
      <c r="S1697" s="72"/>
    </row>
    <row r="1698" spans="18:19" x14ac:dyDescent="0.25">
      <c r="R1698" s="72"/>
      <c r="S1698" s="72"/>
    </row>
    <row r="1699" spans="18:19" x14ac:dyDescent="0.25">
      <c r="R1699" s="72"/>
      <c r="S1699" s="72"/>
    </row>
    <row r="1700" spans="18:19" x14ac:dyDescent="0.25">
      <c r="R1700" s="72"/>
      <c r="S1700" s="72"/>
    </row>
    <row r="1701" spans="18:19" x14ac:dyDescent="0.25">
      <c r="R1701" s="72"/>
      <c r="S1701" s="72"/>
    </row>
    <row r="1702" spans="18:19" x14ac:dyDescent="0.25">
      <c r="R1702" s="72"/>
      <c r="S1702" s="72"/>
    </row>
    <row r="1703" spans="18:19" x14ac:dyDescent="0.25">
      <c r="R1703" s="72"/>
      <c r="S1703" s="72"/>
    </row>
    <row r="1704" spans="18:19" x14ac:dyDescent="0.25">
      <c r="R1704" s="72"/>
      <c r="S1704" s="72"/>
    </row>
    <row r="1705" spans="18:19" x14ac:dyDescent="0.25">
      <c r="R1705" s="72"/>
      <c r="S1705" s="72"/>
    </row>
    <row r="1706" spans="18:19" x14ac:dyDescent="0.25">
      <c r="R1706" s="72"/>
      <c r="S1706" s="72"/>
    </row>
    <row r="1707" spans="18:19" x14ac:dyDescent="0.25">
      <c r="R1707" s="72"/>
      <c r="S1707" s="72"/>
    </row>
    <row r="1708" spans="18:19" x14ac:dyDescent="0.25">
      <c r="R1708" s="72"/>
      <c r="S1708" s="72"/>
    </row>
    <row r="1709" spans="18:19" x14ac:dyDescent="0.25">
      <c r="R1709" s="72"/>
      <c r="S1709" s="72"/>
    </row>
    <row r="1710" spans="18:19" x14ac:dyDescent="0.25">
      <c r="R1710" s="72"/>
      <c r="S1710" s="72"/>
    </row>
    <row r="1711" spans="18:19" x14ac:dyDescent="0.25">
      <c r="R1711" s="72"/>
      <c r="S1711" s="72"/>
    </row>
    <row r="1712" spans="18:19" x14ac:dyDescent="0.25">
      <c r="R1712" s="72"/>
      <c r="S1712" s="72"/>
    </row>
    <row r="1713" spans="18:19" x14ac:dyDescent="0.25">
      <c r="R1713" s="72"/>
      <c r="S1713" s="72"/>
    </row>
    <row r="1714" spans="18:19" x14ac:dyDescent="0.25">
      <c r="R1714" s="72"/>
      <c r="S1714" s="72"/>
    </row>
    <row r="1715" spans="18:19" x14ac:dyDescent="0.25">
      <c r="R1715" s="72"/>
      <c r="S1715" s="72"/>
    </row>
    <row r="1716" spans="18:19" x14ac:dyDescent="0.25">
      <c r="R1716" s="72"/>
      <c r="S1716" s="72"/>
    </row>
    <row r="1717" spans="18:19" x14ac:dyDescent="0.25">
      <c r="R1717" s="72"/>
      <c r="S1717" s="72"/>
    </row>
    <row r="1718" spans="18:19" x14ac:dyDescent="0.25">
      <c r="R1718" s="72"/>
      <c r="S1718" s="72"/>
    </row>
    <row r="1719" spans="18:19" x14ac:dyDescent="0.25">
      <c r="R1719" s="72"/>
      <c r="S1719" s="72"/>
    </row>
    <row r="1720" spans="18:19" x14ac:dyDescent="0.25">
      <c r="R1720" s="72"/>
      <c r="S1720" s="72"/>
    </row>
    <row r="1721" spans="18:19" x14ac:dyDescent="0.25">
      <c r="R1721" s="72"/>
      <c r="S1721" s="72"/>
    </row>
    <row r="1722" spans="18:19" x14ac:dyDescent="0.25">
      <c r="R1722" s="72"/>
      <c r="S1722" s="72"/>
    </row>
    <row r="1723" spans="18:19" x14ac:dyDescent="0.25">
      <c r="R1723" s="72"/>
      <c r="S1723" s="72"/>
    </row>
    <row r="1724" spans="18:19" x14ac:dyDescent="0.25">
      <c r="R1724" s="72"/>
      <c r="S1724" s="72"/>
    </row>
    <row r="1725" spans="18:19" x14ac:dyDescent="0.25">
      <c r="R1725" s="72"/>
      <c r="S1725" s="72"/>
    </row>
    <row r="1726" spans="18:19" x14ac:dyDescent="0.25">
      <c r="R1726" s="72"/>
      <c r="S1726" s="72"/>
    </row>
    <row r="1727" spans="18:19" x14ac:dyDescent="0.25">
      <c r="R1727" s="72"/>
      <c r="S1727" s="72"/>
    </row>
    <row r="1728" spans="18:19" x14ac:dyDescent="0.25">
      <c r="R1728" s="72"/>
      <c r="S1728" s="72"/>
    </row>
    <row r="1729" spans="18:19" x14ac:dyDescent="0.25">
      <c r="R1729" s="72"/>
      <c r="S1729" s="72"/>
    </row>
    <row r="1730" spans="18:19" x14ac:dyDescent="0.25">
      <c r="R1730" s="72"/>
      <c r="S1730" s="72"/>
    </row>
    <row r="1731" spans="18:19" x14ac:dyDescent="0.25">
      <c r="R1731" s="72"/>
      <c r="S1731" s="72"/>
    </row>
    <row r="1732" spans="18:19" x14ac:dyDescent="0.25">
      <c r="R1732" s="72"/>
      <c r="S1732" s="72"/>
    </row>
    <row r="1733" spans="18:19" x14ac:dyDescent="0.25">
      <c r="R1733" s="72"/>
      <c r="S1733" s="72"/>
    </row>
    <row r="1734" spans="18:19" x14ac:dyDescent="0.25">
      <c r="R1734" s="72"/>
      <c r="S1734" s="72"/>
    </row>
    <row r="1735" spans="18:19" x14ac:dyDescent="0.25">
      <c r="R1735" s="72"/>
      <c r="S1735" s="72"/>
    </row>
    <row r="1736" spans="18:19" x14ac:dyDescent="0.25">
      <c r="R1736" s="72"/>
      <c r="S1736" s="72"/>
    </row>
    <row r="1737" spans="18:19" x14ac:dyDescent="0.25">
      <c r="R1737" s="72"/>
      <c r="S1737" s="72"/>
    </row>
    <row r="1738" spans="18:19" x14ac:dyDescent="0.25">
      <c r="R1738" s="72"/>
      <c r="S1738" s="72"/>
    </row>
    <row r="1739" spans="18:19" x14ac:dyDescent="0.25">
      <c r="R1739" s="72"/>
      <c r="S1739" s="72"/>
    </row>
    <row r="1740" spans="18:19" x14ac:dyDescent="0.25">
      <c r="R1740" s="72"/>
      <c r="S1740" s="72"/>
    </row>
    <row r="1741" spans="18:19" x14ac:dyDescent="0.25">
      <c r="R1741" s="72"/>
      <c r="S1741" s="72"/>
    </row>
    <row r="1742" spans="18:19" x14ac:dyDescent="0.25">
      <c r="R1742" s="72"/>
      <c r="S1742" s="72"/>
    </row>
    <row r="1743" spans="18:19" x14ac:dyDescent="0.25">
      <c r="R1743" s="72"/>
      <c r="S1743" s="72"/>
    </row>
    <row r="1744" spans="18:19" x14ac:dyDescent="0.25">
      <c r="R1744" s="72"/>
      <c r="S1744" s="72"/>
    </row>
    <row r="1745" spans="18:19" x14ac:dyDescent="0.25">
      <c r="R1745" s="72"/>
      <c r="S1745" s="72"/>
    </row>
    <row r="1746" spans="18:19" x14ac:dyDescent="0.25">
      <c r="R1746" s="72"/>
      <c r="S1746" s="72"/>
    </row>
    <row r="1747" spans="18:19" x14ac:dyDescent="0.25">
      <c r="R1747" s="72"/>
      <c r="S1747" s="72"/>
    </row>
    <row r="1748" spans="18:19" x14ac:dyDescent="0.25">
      <c r="R1748" s="72"/>
      <c r="S1748" s="72"/>
    </row>
    <row r="1749" spans="18:19" x14ac:dyDescent="0.25">
      <c r="R1749" s="72"/>
      <c r="S1749" s="72"/>
    </row>
    <row r="1750" spans="18:19" x14ac:dyDescent="0.25">
      <c r="R1750" s="72"/>
      <c r="S1750" s="72"/>
    </row>
    <row r="1751" spans="18:19" x14ac:dyDescent="0.25">
      <c r="R1751" s="72"/>
      <c r="S1751" s="72"/>
    </row>
    <row r="1752" spans="18:19" x14ac:dyDescent="0.25">
      <c r="R1752" s="72"/>
      <c r="S1752" s="72"/>
    </row>
    <row r="1753" spans="18:19" x14ac:dyDescent="0.25">
      <c r="R1753" s="72"/>
      <c r="S1753" s="72"/>
    </row>
    <row r="1754" spans="18:19" x14ac:dyDescent="0.25">
      <c r="R1754" s="72"/>
      <c r="S1754" s="72"/>
    </row>
    <row r="1755" spans="18:19" x14ac:dyDescent="0.25">
      <c r="R1755" s="72"/>
      <c r="S1755" s="72"/>
    </row>
    <row r="1756" spans="18:19" x14ac:dyDescent="0.25">
      <c r="R1756" s="72"/>
      <c r="S1756" s="72"/>
    </row>
    <row r="1757" spans="18:19" x14ac:dyDescent="0.25">
      <c r="R1757" s="72"/>
      <c r="S1757" s="72"/>
    </row>
    <row r="1758" spans="18:19" x14ac:dyDescent="0.25">
      <c r="R1758" s="72"/>
      <c r="S1758" s="72"/>
    </row>
    <row r="1759" spans="18:19" x14ac:dyDescent="0.25">
      <c r="R1759" s="72"/>
      <c r="S1759" s="72"/>
    </row>
    <row r="1760" spans="18:19" x14ac:dyDescent="0.25">
      <c r="R1760" s="72"/>
      <c r="S1760" s="72"/>
    </row>
    <row r="1761" spans="18:19" x14ac:dyDescent="0.25">
      <c r="R1761" s="72"/>
      <c r="S1761" s="72"/>
    </row>
    <row r="1762" spans="18:19" x14ac:dyDescent="0.25">
      <c r="R1762" s="72"/>
      <c r="S1762" s="72"/>
    </row>
    <row r="1763" spans="18:19" x14ac:dyDescent="0.25">
      <c r="R1763" s="72"/>
      <c r="S1763" s="72"/>
    </row>
    <row r="1764" spans="18:19" x14ac:dyDescent="0.25">
      <c r="R1764" s="72"/>
      <c r="S1764" s="72"/>
    </row>
    <row r="1765" spans="18:19" x14ac:dyDescent="0.25">
      <c r="R1765" s="72"/>
      <c r="S1765" s="72"/>
    </row>
    <row r="1766" spans="18:19" x14ac:dyDescent="0.25">
      <c r="R1766" s="72"/>
      <c r="S1766" s="72"/>
    </row>
    <row r="1767" spans="18:19" x14ac:dyDescent="0.25">
      <c r="R1767" s="72"/>
      <c r="S1767" s="72"/>
    </row>
    <row r="1768" spans="18:19" x14ac:dyDescent="0.25">
      <c r="R1768" s="72"/>
      <c r="S1768" s="72"/>
    </row>
    <row r="1769" spans="18:19" x14ac:dyDescent="0.25">
      <c r="R1769" s="72"/>
      <c r="S1769" s="72"/>
    </row>
    <row r="1770" spans="18:19" x14ac:dyDescent="0.25">
      <c r="R1770" s="72"/>
      <c r="S1770" s="72"/>
    </row>
    <row r="1771" spans="18:19" x14ac:dyDescent="0.25">
      <c r="R1771" s="72"/>
      <c r="S1771" s="72"/>
    </row>
    <row r="1772" spans="18:19" x14ac:dyDescent="0.25">
      <c r="R1772" s="72"/>
      <c r="S1772" s="72"/>
    </row>
    <row r="1773" spans="18:19" x14ac:dyDescent="0.25">
      <c r="R1773" s="72"/>
      <c r="S1773" s="72"/>
    </row>
    <row r="1774" spans="18:19" x14ac:dyDescent="0.25">
      <c r="R1774" s="72"/>
      <c r="S1774" s="72"/>
    </row>
    <row r="1775" spans="18:19" x14ac:dyDescent="0.25">
      <c r="R1775" s="72"/>
      <c r="S1775" s="72"/>
    </row>
    <row r="1776" spans="18:19" x14ac:dyDescent="0.25">
      <c r="R1776" s="72"/>
      <c r="S1776" s="72"/>
    </row>
    <row r="1777" spans="18:19" x14ac:dyDescent="0.25">
      <c r="R1777" s="72"/>
      <c r="S1777" s="72"/>
    </row>
    <row r="1778" spans="18:19" x14ac:dyDescent="0.25">
      <c r="R1778" s="72"/>
      <c r="S1778" s="72"/>
    </row>
    <row r="1779" spans="18:19" x14ac:dyDescent="0.25">
      <c r="R1779" s="72"/>
      <c r="S1779" s="72"/>
    </row>
    <row r="1780" spans="18:19" x14ac:dyDescent="0.25">
      <c r="R1780" s="72"/>
      <c r="S1780" s="72"/>
    </row>
    <row r="1781" spans="18:19" x14ac:dyDescent="0.25">
      <c r="R1781" s="72"/>
      <c r="S1781" s="72"/>
    </row>
    <row r="1782" spans="18:19" x14ac:dyDescent="0.25">
      <c r="R1782" s="72"/>
      <c r="S1782" s="72"/>
    </row>
    <row r="1783" spans="18:19" x14ac:dyDescent="0.25">
      <c r="R1783" s="72"/>
      <c r="S1783" s="72"/>
    </row>
    <row r="1784" spans="18:19" x14ac:dyDescent="0.25">
      <c r="R1784" s="72"/>
      <c r="S1784" s="72"/>
    </row>
    <row r="1785" spans="18:19" x14ac:dyDescent="0.25">
      <c r="R1785" s="72"/>
      <c r="S1785" s="72"/>
    </row>
    <row r="1786" spans="18:19" x14ac:dyDescent="0.25">
      <c r="R1786" s="72"/>
      <c r="S1786" s="72"/>
    </row>
    <row r="1787" spans="18:19" x14ac:dyDescent="0.25">
      <c r="R1787" s="72"/>
      <c r="S1787" s="72"/>
    </row>
    <row r="1788" spans="18:19" x14ac:dyDescent="0.25">
      <c r="R1788" s="72"/>
      <c r="S1788" s="72"/>
    </row>
    <row r="1789" spans="18:19" x14ac:dyDescent="0.25">
      <c r="R1789" s="72"/>
      <c r="S1789" s="72"/>
    </row>
    <row r="1790" spans="18:19" x14ac:dyDescent="0.25">
      <c r="R1790" s="72"/>
      <c r="S1790" s="72"/>
    </row>
    <row r="1791" spans="18:19" x14ac:dyDescent="0.25">
      <c r="R1791" s="72"/>
      <c r="S1791" s="72"/>
    </row>
    <row r="1792" spans="18:19" x14ac:dyDescent="0.25">
      <c r="R1792" s="72"/>
      <c r="S1792" s="72"/>
    </row>
    <row r="1793" spans="18:19" x14ac:dyDescent="0.25">
      <c r="R1793" s="72"/>
      <c r="S1793" s="72"/>
    </row>
    <row r="1794" spans="18:19" x14ac:dyDescent="0.25">
      <c r="R1794" s="72"/>
      <c r="S1794" s="72"/>
    </row>
    <row r="1795" spans="18:19" x14ac:dyDescent="0.25">
      <c r="R1795" s="72"/>
      <c r="S1795" s="72"/>
    </row>
    <row r="1796" spans="18:19" x14ac:dyDescent="0.25">
      <c r="R1796" s="72"/>
      <c r="S1796" s="72"/>
    </row>
    <row r="1797" spans="18:19" x14ac:dyDescent="0.25">
      <c r="R1797" s="72"/>
      <c r="S1797" s="72"/>
    </row>
    <row r="1798" spans="18:19" x14ac:dyDescent="0.25">
      <c r="R1798" s="72"/>
      <c r="S1798" s="72"/>
    </row>
    <row r="1799" spans="18:19" x14ac:dyDescent="0.25">
      <c r="R1799" s="72"/>
      <c r="S1799" s="72"/>
    </row>
    <row r="1800" spans="18:19" x14ac:dyDescent="0.25">
      <c r="R1800" s="72"/>
      <c r="S1800" s="72"/>
    </row>
    <row r="1801" spans="18:19" x14ac:dyDescent="0.25">
      <c r="R1801" s="72"/>
      <c r="S1801" s="72"/>
    </row>
    <row r="1802" spans="18:19" x14ac:dyDescent="0.25">
      <c r="R1802" s="72"/>
      <c r="S1802" s="72"/>
    </row>
    <row r="1803" spans="18:19" x14ac:dyDescent="0.25">
      <c r="R1803" s="72"/>
      <c r="S1803" s="72"/>
    </row>
    <row r="1804" spans="18:19" x14ac:dyDescent="0.25">
      <c r="R1804" s="72"/>
      <c r="S1804" s="72"/>
    </row>
    <row r="1805" spans="18:19" x14ac:dyDescent="0.25">
      <c r="R1805" s="72"/>
      <c r="S1805" s="72"/>
    </row>
    <row r="1806" spans="18:19" x14ac:dyDescent="0.25">
      <c r="R1806" s="72"/>
      <c r="S1806" s="72"/>
    </row>
    <row r="1807" spans="18:19" x14ac:dyDescent="0.25">
      <c r="R1807" s="72"/>
      <c r="S1807" s="72"/>
    </row>
    <row r="1808" spans="18:19" x14ac:dyDescent="0.25">
      <c r="R1808" s="72"/>
      <c r="S1808" s="72"/>
    </row>
    <row r="1809" spans="18:19" x14ac:dyDescent="0.25">
      <c r="R1809" s="72"/>
      <c r="S1809" s="72"/>
    </row>
    <row r="1810" spans="18:19" x14ac:dyDescent="0.25">
      <c r="R1810" s="72"/>
      <c r="S1810" s="72"/>
    </row>
    <row r="1811" spans="18:19" x14ac:dyDescent="0.25">
      <c r="R1811" s="72"/>
      <c r="S1811" s="72"/>
    </row>
    <row r="1812" spans="18:19" x14ac:dyDescent="0.25">
      <c r="R1812" s="72"/>
      <c r="S1812" s="72"/>
    </row>
    <row r="1813" spans="18:19" x14ac:dyDescent="0.25">
      <c r="R1813" s="72"/>
      <c r="S1813" s="72"/>
    </row>
    <row r="1814" spans="18:19" x14ac:dyDescent="0.25">
      <c r="R1814" s="72"/>
      <c r="S1814" s="72"/>
    </row>
    <row r="1815" spans="18:19" x14ac:dyDescent="0.25">
      <c r="R1815" s="72"/>
      <c r="S1815" s="72"/>
    </row>
    <row r="1816" spans="18:19" x14ac:dyDescent="0.25">
      <c r="R1816" s="72"/>
      <c r="S1816" s="72"/>
    </row>
    <row r="1817" spans="18:19" x14ac:dyDescent="0.25">
      <c r="R1817" s="72"/>
      <c r="S1817" s="72"/>
    </row>
    <row r="1818" spans="18:19" x14ac:dyDescent="0.25">
      <c r="R1818" s="72"/>
      <c r="S1818" s="72"/>
    </row>
    <row r="1819" spans="18:19" x14ac:dyDescent="0.25">
      <c r="R1819" s="72"/>
      <c r="S1819" s="72"/>
    </row>
    <row r="1820" spans="18:19" x14ac:dyDescent="0.25">
      <c r="R1820" s="72"/>
      <c r="S1820" s="72"/>
    </row>
    <row r="1821" spans="18:19" x14ac:dyDescent="0.25">
      <c r="R1821" s="72"/>
      <c r="S1821" s="72"/>
    </row>
    <row r="1822" spans="18:19" x14ac:dyDescent="0.25">
      <c r="R1822" s="72"/>
      <c r="S1822" s="72"/>
    </row>
    <row r="1823" spans="18:19" x14ac:dyDescent="0.25">
      <c r="R1823" s="72"/>
      <c r="S1823" s="72"/>
    </row>
    <row r="1824" spans="18:19" x14ac:dyDescent="0.25">
      <c r="R1824" s="72"/>
      <c r="S1824" s="72"/>
    </row>
    <row r="1825" spans="18:19" x14ac:dyDescent="0.25">
      <c r="R1825" s="72"/>
      <c r="S1825" s="72"/>
    </row>
    <row r="1826" spans="18:19" x14ac:dyDescent="0.25">
      <c r="R1826" s="72"/>
      <c r="S1826" s="72"/>
    </row>
    <row r="1827" spans="18:19" x14ac:dyDescent="0.25">
      <c r="R1827" s="72"/>
      <c r="S1827" s="72"/>
    </row>
    <row r="1828" spans="18:19" x14ac:dyDescent="0.25">
      <c r="R1828" s="72"/>
      <c r="S1828" s="72"/>
    </row>
    <row r="1829" spans="18:19" x14ac:dyDescent="0.25">
      <c r="R1829" s="72"/>
      <c r="S1829" s="72"/>
    </row>
    <row r="1830" spans="18:19" x14ac:dyDescent="0.25">
      <c r="R1830" s="72"/>
      <c r="S1830" s="72"/>
    </row>
    <row r="1831" spans="18:19" x14ac:dyDescent="0.25">
      <c r="R1831" s="72"/>
      <c r="S1831" s="72"/>
    </row>
    <row r="1832" spans="18:19" x14ac:dyDescent="0.25">
      <c r="R1832" s="72"/>
      <c r="S1832" s="72"/>
    </row>
    <row r="1833" spans="18:19" x14ac:dyDescent="0.25">
      <c r="R1833" s="72"/>
      <c r="S1833" s="72"/>
    </row>
    <row r="1834" spans="18:19" x14ac:dyDescent="0.25">
      <c r="R1834" s="72"/>
      <c r="S1834" s="72"/>
    </row>
    <row r="1835" spans="18:19" x14ac:dyDescent="0.25">
      <c r="R1835" s="72"/>
      <c r="S1835" s="72"/>
    </row>
    <row r="1836" spans="18:19" x14ac:dyDescent="0.25">
      <c r="R1836" s="72"/>
      <c r="S1836" s="72"/>
    </row>
    <row r="1837" spans="18:19" x14ac:dyDescent="0.25">
      <c r="R1837" s="72"/>
      <c r="S1837" s="72"/>
    </row>
    <row r="1838" spans="18:19" x14ac:dyDescent="0.25">
      <c r="R1838" s="72"/>
      <c r="S1838" s="72"/>
    </row>
    <row r="1839" spans="18:19" x14ac:dyDescent="0.25">
      <c r="R1839" s="72"/>
      <c r="S1839" s="72"/>
    </row>
    <row r="1840" spans="18:19" x14ac:dyDescent="0.25">
      <c r="R1840" s="72"/>
      <c r="S1840" s="72"/>
    </row>
    <row r="1841" spans="18:19" x14ac:dyDescent="0.25">
      <c r="R1841" s="72"/>
      <c r="S1841" s="72"/>
    </row>
    <row r="1842" spans="18:19" x14ac:dyDescent="0.25">
      <c r="R1842" s="72"/>
      <c r="S1842" s="72"/>
    </row>
    <row r="1843" spans="18:19" x14ac:dyDescent="0.25">
      <c r="R1843" s="72"/>
      <c r="S1843" s="72"/>
    </row>
    <row r="1844" spans="18:19" x14ac:dyDescent="0.25">
      <c r="R1844" s="72"/>
      <c r="S1844" s="72"/>
    </row>
    <row r="1845" spans="18:19" x14ac:dyDescent="0.25">
      <c r="R1845" s="72"/>
      <c r="S1845" s="72"/>
    </row>
    <row r="1846" spans="18:19" x14ac:dyDescent="0.25">
      <c r="R1846" s="72"/>
      <c r="S1846" s="72"/>
    </row>
    <row r="1847" spans="18:19" x14ac:dyDescent="0.25">
      <c r="R1847" s="72"/>
      <c r="S1847" s="72"/>
    </row>
    <row r="1848" spans="18:19" x14ac:dyDescent="0.25">
      <c r="R1848" s="72"/>
      <c r="S1848" s="72"/>
    </row>
    <row r="1849" spans="18:19" x14ac:dyDescent="0.25">
      <c r="R1849" s="72"/>
      <c r="S1849" s="72"/>
    </row>
    <row r="1850" spans="18:19" x14ac:dyDescent="0.25">
      <c r="R1850" s="72"/>
      <c r="S1850" s="72"/>
    </row>
    <row r="1851" spans="18:19" x14ac:dyDescent="0.25">
      <c r="R1851" s="72"/>
      <c r="S1851" s="72"/>
    </row>
    <row r="1852" spans="18:19" x14ac:dyDescent="0.25">
      <c r="R1852" s="72"/>
      <c r="S1852" s="72"/>
    </row>
    <row r="1853" spans="18:19" x14ac:dyDescent="0.25">
      <c r="R1853" s="72"/>
      <c r="S1853" s="72"/>
    </row>
    <row r="1854" spans="18:19" x14ac:dyDescent="0.25">
      <c r="R1854" s="72"/>
      <c r="S1854" s="72"/>
    </row>
    <row r="1855" spans="18:19" x14ac:dyDescent="0.25">
      <c r="R1855" s="72"/>
      <c r="S1855" s="72"/>
    </row>
    <row r="1856" spans="18:19" x14ac:dyDescent="0.25">
      <c r="R1856" s="72"/>
      <c r="S1856" s="72"/>
    </row>
    <row r="1857" spans="18:19" x14ac:dyDescent="0.25">
      <c r="R1857" s="72"/>
      <c r="S1857" s="72"/>
    </row>
    <row r="1858" spans="18:19" x14ac:dyDescent="0.25">
      <c r="R1858" s="72"/>
      <c r="S1858" s="72"/>
    </row>
    <row r="1859" spans="18:19" x14ac:dyDescent="0.25">
      <c r="R1859" s="72"/>
      <c r="S1859" s="72"/>
    </row>
    <row r="1860" spans="18:19" x14ac:dyDescent="0.25">
      <c r="R1860" s="72"/>
      <c r="S1860" s="72"/>
    </row>
    <row r="1861" spans="18:19" x14ac:dyDescent="0.25">
      <c r="R1861" s="72"/>
      <c r="S1861" s="72"/>
    </row>
    <row r="1862" spans="18:19" x14ac:dyDescent="0.25">
      <c r="R1862" s="72"/>
      <c r="S1862" s="72"/>
    </row>
    <row r="1863" spans="18:19" x14ac:dyDescent="0.25">
      <c r="R1863" s="72"/>
      <c r="S1863" s="72"/>
    </row>
    <row r="1864" spans="18:19" x14ac:dyDescent="0.25">
      <c r="R1864" s="72"/>
      <c r="S1864" s="72"/>
    </row>
    <row r="1865" spans="18:19" x14ac:dyDescent="0.25">
      <c r="R1865" s="72"/>
      <c r="S1865" s="72"/>
    </row>
    <row r="1866" spans="18:19" x14ac:dyDescent="0.25">
      <c r="R1866" s="72"/>
      <c r="S1866" s="72"/>
    </row>
    <row r="1867" spans="18:19" x14ac:dyDescent="0.25">
      <c r="R1867" s="72"/>
      <c r="S1867" s="72"/>
    </row>
    <row r="1868" spans="18:19" x14ac:dyDescent="0.25">
      <c r="R1868" s="72"/>
      <c r="S1868" s="72"/>
    </row>
    <row r="1869" spans="18:19" x14ac:dyDescent="0.25">
      <c r="R1869" s="72"/>
      <c r="S1869" s="72"/>
    </row>
    <row r="1870" spans="18:19" x14ac:dyDescent="0.25">
      <c r="R1870" s="72"/>
      <c r="S1870" s="72"/>
    </row>
    <row r="1871" spans="18:19" x14ac:dyDescent="0.25">
      <c r="R1871" s="72"/>
      <c r="S1871" s="72"/>
    </row>
    <row r="1872" spans="18:19" x14ac:dyDescent="0.25">
      <c r="R1872" s="72"/>
      <c r="S1872" s="72"/>
    </row>
    <row r="1873" spans="18:19" x14ac:dyDescent="0.25">
      <c r="R1873" s="72"/>
      <c r="S1873" s="72"/>
    </row>
    <row r="1874" spans="18:19" x14ac:dyDescent="0.25">
      <c r="R1874" s="72"/>
      <c r="S1874" s="72"/>
    </row>
    <row r="1875" spans="18:19" x14ac:dyDescent="0.25">
      <c r="R1875" s="72"/>
      <c r="S1875" s="72"/>
    </row>
    <row r="1876" spans="18:19" x14ac:dyDescent="0.25">
      <c r="R1876" s="72"/>
      <c r="S1876" s="72"/>
    </row>
    <row r="1877" spans="18:19" x14ac:dyDescent="0.25">
      <c r="R1877" s="72"/>
      <c r="S1877" s="72"/>
    </row>
    <row r="1878" spans="18:19" x14ac:dyDescent="0.25">
      <c r="R1878" s="72"/>
      <c r="S1878" s="72"/>
    </row>
    <row r="1879" spans="18:19" x14ac:dyDescent="0.25">
      <c r="R1879" s="72"/>
      <c r="S1879" s="72"/>
    </row>
    <row r="1880" spans="18:19" x14ac:dyDescent="0.25">
      <c r="R1880" s="72"/>
      <c r="S1880" s="72"/>
    </row>
    <row r="1881" spans="18:19" x14ac:dyDescent="0.25">
      <c r="R1881" s="72"/>
      <c r="S1881" s="72"/>
    </row>
    <row r="1882" spans="18:19" x14ac:dyDescent="0.25">
      <c r="R1882" s="72"/>
      <c r="S1882" s="72"/>
    </row>
    <row r="1883" spans="18:19" x14ac:dyDescent="0.25">
      <c r="R1883" s="72"/>
      <c r="S1883" s="72"/>
    </row>
    <row r="1884" spans="18:19" x14ac:dyDescent="0.25">
      <c r="R1884" s="72"/>
      <c r="S1884" s="72"/>
    </row>
    <row r="1885" spans="18:19" x14ac:dyDescent="0.25">
      <c r="R1885" s="72"/>
      <c r="S1885" s="72"/>
    </row>
    <row r="1886" spans="18:19" x14ac:dyDescent="0.25">
      <c r="R1886" s="72"/>
      <c r="S1886" s="72"/>
    </row>
    <row r="1887" spans="18:19" x14ac:dyDescent="0.25">
      <c r="R1887" s="72"/>
      <c r="S1887" s="72"/>
    </row>
    <row r="1888" spans="18:19" x14ac:dyDescent="0.25">
      <c r="R1888" s="72"/>
      <c r="S1888" s="72"/>
    </row>
    <row r="1889" spans="18:19" x14ac:dyDescent="0.25">
      <c r="R1889" s="72"/>
      <c r="S1889" s="72"/>
    </row>
    <row r="1890" spans="18:19" x14ac:dyDescent="0.25">
      <c r="R1890" s="72"/>
      <c r="S1890" s="72"/>
    </row>
    <row r="1891" spans="18:19" x14ac:dyDescent="0.25">
      <c r="R1891" s="72"/>
      <c r="S1891" s="72"/>
    </row>
    <row r="1892" spans="18:19" x14ac:dyDescent="0.25">
      <c r="R1892" s="72"/>
      <c r="S1892" s="72"/>
    </row>
    <row r="1893" spans="18:19" x14ac:dyDescent="0.25">
      <c r="R1893" s="72"/>
      <c r="S1893" s="72"/>
    </row>
    <row r="1894" spans="18:19" x14ac:dyDescent="0.25">
      <c r="R1894" s="72"/>
      <c r="S1894" s="72"/>
    </row>
    <row r="1895" spans="18:19" x14ac:dyDescent="0.25">
      <c r="R1895" s="72"/>
      <c r="S1895" s="72"/>
    </row>
    <row r="1896" spans="18:19" x14ac:dyDescent="0.25">
      <c r="R1896" s="72"/>
      <c r="S1896" s="72"/>
    </row>
    <row r="1897" spans="18:19" x14ac:dyDescent="0.25">
      <c r="R1897" s="72"/>
      <c r="S1897" s="72"/>
    </row>
    <row r="1898" spans="18:19" x14ac:dyDescent="0.25">
      <c r="R1898" s="72"/>
      <c r="S1898" s="72"/>
    </row>
    <row r="1899" spans="18:19" x14ac:dyDescent="0.25">
      <c r="R1899" s="72"/>
      <c r="S1899" s="72"/>
    </row>
    <row r="1900" spans="18:19" x14ac:dyDescent="0.25">
      <c r="R1900" s="72"/>
      <c r="S1900" s="72"/>
    </row>
    <row r="1901" spans="18:19" x14ac:dyDescent="0.25">
      <c r="R1901" s="72"/>
      <c r="S1901" s="72"/>
    </row>
    <row r="1902" spans="18:19" x14ac:dyDescent="0.25">
      <c r="R1902" s="72"/>
      <c r="S1902" s="72"/>
    </row>
    <row r="1903" spans="18:19" x14ac:dyDescent="0.25">
      <c r="R1903" s="72"/>
      <c r="S1903" s="72"/>
    </row>
    <row r="1904" spans="18:19" x14ac:dyDescent="0.25">
      <c r="R1904" s="72"/>
      <c r="S1904" s="72"/>
    </row>
    <row r="1905" spans="18:19" x14ac:dyDescent="0.25">
      <c r="R1905" s="72"/>
      <c r="S1905" s="72"/>
    </row>
    <row r="1906" spans="18:19" x14ac:dyDescent="0.25">
      <c r="R1906" s="72"/>
      <c r="S1906" s="72"/>
    </row>
    <row r="1907" spans="18:19" x14ac:dyDescent="0.25">
      <c r="R1907" s="72"/>
      <c r="S1907" s="72"/>
    </row>
    <row r="1908" spans="18:19" x14ac:dyDescent="0.25">
      <c r="R1908" s="72"/>
      <c r="S1908" s="72"/>
    </row>
    <row r="1909" spans="18:19" x14ac:dyDescent="0.25">
      <c r="R1909" s="72"/>
      <c r="S1909" s="72"/>
    </row>
    <row r="1910" spans="18:19" x14ac:dyDescent="0.25">
      <c r="R1910" s="72"/>
      <c r="S1910" s="72"/>
    </row>
    <row r="1911" spans="18:19" x14ac:dyDescent="0.25">
      <c r="R1911" s="72"/>
      <c r="S1911" s="72"/>
    </row>
    <row r="1912" spans="18:19" x14ac:dyDescent="0.25">
      <c r="R1912" s="72"/>
      <c r="S1912" s="72"/>
    </row>
    <row r="1913" spans="18:19" x14ac:dyDescent="0.25">
      <c r="R1913" s="72"/>
      <c r="S1913" s="72"/>
    </row>
    <row r="1914" spans="18:19" x14ac:dyDescent="0.25">
      <c r="R1914" s="72"/>
      <c r="S1914" s="72"/>
    </row>
    <row r="1915" spans="18:19" x14ac:dyDescent="0.25">
      <c r="R1915" s="72"/>
      <c r="S1915" s="72"/>
    </row>
    <row r="1916" spans="18:19" x14ac:dyDescent="0.25">
      <c r="R1916" s="72"/>
      <c r="S1916" s="72"/>
    </row>
    <row r="1917" spans="18:19" x14ac:dyDescent="0.25">
      <c r="R1917" s="72"/>
      <c r="S1917" s="72"/>
    </row>
    <row r="1918" spans="18:19" x14ac:dyDescent="0.25">
      <c r="R1918" s="72"/>
      <c r="S1918" s="72"/>
    </row>
    <row r="1919" spans="18:19" x14ac:dyDescent="0.25">
      <c r="R1919" s="72"/>
      <c r="S1919" s="72"/>
    </row>
    <row r="1920" spans="18:19" x14ac:dyDescent="0.25">
      <c r="R1920" s="72"/>
      <c r="S1920" s="72"/>
    </row>
    <row r="1921" spans="18:19" x14ac:dyDescent="0.25">
      <c r="R1921" s="72"/>
      <c r="S1921" s="72"/>
    </row>
    <row r="1922" spans="18:19" x14ac:dyDescent="0.25">
      <c r="R1922" s="72"/>
      <c r="S1922" s="72"/>
    </row>
    <row r="1923" spans="18:19" x14ac:dyDescent="0.25">
      <c r="R1923" s="72"/>
      <c r="S1923" s="72"/>
    </row>
    <row r="1924" spans="18:19" x14ac:dyDescent="0.25">
      <c r="R1924" s="72"/>
      <c r="S1924" s="72"/>
    </row>
    <row r="1925" spans="18:19" x14ac:dyDescent="0.25">
      <c r="R1925" s="72"/>
      <c r="S1925" s="72"/>
    </row>
    <row r="1926" spans="18:19" x14ac:dyDescent="0.25">
      <c r="R1926" s="72"/>
      <c r="S1926" s="72"/>
    </row>
    <row r="1927" spans="18:19" x14ac:dyDescent="0.25">
      <c r="R1927" s="72"/>
      <c r="S1927" s="72"/>
    </row>
    <row r="1928" spans="18:19" x14ac:dyDescent="0.25">
      <c r="R1928" s="72"/>
      <c r="S1928" s="72"/>
    </row>
    <row r="1929" spans="18:19" x14ac:dyDescent="0.25">
      <c r="R1929" s="72"/>
      <c r="S1929" s="72"/>
    </row>
    <row r="1930" spans="18:19" x14ac:dyDescent="0.25">
      <c r="R1930" s="72"/>
      <c r="S1930" s="72"/>
    </row>
    <row r="1931" spans="18:19" x14ac:dyDescent="0.25">
      <c r="R1931" s="72"/>
      <c r="S1931" s="72"/>
    </row>
    <row r="1932" spans="18:19" x14ac:dyDescent="0.25">
      <c r="R1932" s="72"/>
      <c r="S1932" s="72"/>
    </row>
    <row r="1933" spans="18:19" x14ac:dyDescent="0.25">
      <c r="R1933" s="72"/>
      <c r="S1933" s="72"/>
    </row>
    <row r="1934" spans="18:19" x14ac:dyDescent="0.25">
      <c r="R1934" s="72"/>
      <c r="S1934" s="72"/>
    </row>
    <row r="1935" spans="18:19" x14ac:dyDescent="0.25">
      <c r="R1935" s="72"/>
      <c r="S1935" s="72"/>
    </row>
    <row r="1936" spans="18:19" x14ac:dyDescent="0.25">
      <c r="R1936" s="72"/>
      <c r="S1936" s="72"/>
    </row>
    <row r="1937" spans="18:19" x14ac:dyDescent="0.25">
      <c r="R1937" s="72"/>
      <c r="S1937" s="72"/>
    </row>
    <row r="1938" spans="18:19" x14ac:dyDescent="0.25">
      <c r="R1938" s="72"/>
      <c r="S1938" s="72"/>
    </row>
    <row r="1939" spans="18:19" x14ac:dyDescent="0.25">
      <c r="R1939" s="72"/>
      <c r="S1939" s="72"/>
    </row>
    <row r="1940" spans="18:19" x14ac:dyDescent="0.25">
      <c r="R1940" s="72"/>
      <c r="S1940" s="72"/>
    </row>
    <row r="1941" spans="18:19" x14ac:dyDescent="0.25">
      <c r="R1941" s="72"/>
      <c r="S1941" s="72"/>
    </row>
    <row r="1942" spans="18:19" x14ac:dyDescent="0.25">
      <c r="R1942" s="72"/>
      <c r="S1942" s="72"/>
    </row>
    <row r="1943" spans="18:19" x14ac:dyDescent="0.25">
      <c r="R1943" s="72"/>
      <c r="S1943" s="72"/>
    </row>
    <row r="1944" spans="18:19" x14ac:dyDescent="0.25">
      <c r="R1944" s="72"/>
      <c r="S1944" s="72"/>
    </row>
    <row r="1945" spans="18:19" x14ac:dyDescent="0.25">
      <c r="R1945" s="72"/>
      <c r="S1945" s="72"/>
    </row>
    <row r="1946" spans="18:19" x14ac:dyDescent="0.25">
      <c r="R1946" s="72"/>
      <c r="S1946" s="72"/>
    </row>
    <row r="1947" spans="18:19" x14ac:dyDescent="0.25">
      <c r="R1947" s="72"/>
      <c r="S1947" s="72"/>
    </row>
    <row r="1948" spans="18:19" x14ac:dyDescent="0.25">
      <c r="R1948" s="72"/>
      <c r="S1948" s="72"/>
    </row>
    <row r="1949" spans="18:19" x14ac:dyDescent="0.25">
      <c r="R1949" s="72"/>
      <c r="S1949" s="72"/>
    </row>
    <row r="1950" spans="18:19" x14ac:dyDescent="0.25">
      <c r="R1950" s="72"/>
      <c r="S1950" s="72"/>
    </row>
    <row r="1951" spans="18:19" x14ac:dyDescent="0.25">
      <c r="R1951" s="72"/>
      <c r="S1951" s="72"/>
    </row>
    <row r="1952" spans="18:19" x14ac:dyDescent="0.25">
      <c r="R1952" s="72"/>
      <c r="S1952" s="72"/>
    </row>
    <row r="1953" spans="18:19" x14ac:dyDescent="0.25">
      <c r="R1953" s="72"/>
      <c r="S1953" s="72"/>
    </row>
    <row r="1954" spans="18:19" x14ac:dyDescent="0.25">
      <c r="R1954" s="72"/>
      <c r="S1954" s="72"/>
    </row>
    <row r="1955" spans="18:19" x14ac:dyDescent="0.25">
      <c r="R1955" s="72"/>
      <c r="S1955" s="72"/>
    </row>
    <row r="1956" spans="18:19" x14ac:dyDescent="0.25">
      <c r="R1956" s="72"/>
      <c r="S1956" s="72"/>
    </row>
    <row r="1957" spans="18:19" x14ac:dyDescent="0.25">
      <c r="R1957" s="72"/>
      <c r="S1957" s="72"/>
    </row>
    <row r="1958" spans="18:19" x14ac:dyDescent="0.25">
      <c r="R1958" s="72"/>
      <c r="S1958" s="72"/>
    </row>
    <row r="1959" spans="18:19" x14ac:dyDescent="0.25">
      <c r="R1959" s="72"/>
      <c r="S1959" s="72"/>
    </row>
    <row r="1960" spans="18:19" x14ac:dyDescent="0.25">
      <c r="R1960" s="72"/>
      <c r="S1960" s="72"/>
    </row>
    <row r="1961" spans="18:19" x14ac:dyDescent="0.25">
      <c r="R1961" s="72"/>
      <c r="S1961" s="72"/>
    </row>
    <row r="1962" spans="18:19" x14ac:dyDescent="0.25">
      <c r="R1962" s="72"/>
      <c r="S1962" s="72"/>
    </row>
    <row r="1963" spans="18:19" x14ac:dyDescent="0.25">
      <c r="R1963" s="72"/>
      <c r="S1963" s="72"/>
    </row>
    <row r="1964" spans="18:19" x14ac:dyDescent="0.25">
      <c r="R1964" s="72"/>
      <c r="S1964" s="72"/>
    </row>
    <row r="1965" spans="18:19" x14ac:dyDescent="0.25">
      <c r="R1965" s="72"/>
      <c r="S1965" s="72"/>
    </row>
    <row r="1966" spans="18:19" x14ac:dyDescent="0.25">
      <c r="R1966" s="72"/>
      <c r="S1966" s="72"/>
    </row>
    <row r="1967" spans="18:19" x14ac:dyDescent="0.25">
      <c r="R1967" s="72"/>
      <c r="S1967" s="72"/>
    </row>
    <row r="1968" spans="18:19" x14ac:dyDescent="0.25">
      <c r="R1968" s="72"/>
      <c r="S1968" s="72"/>
    </row>
    <row r="1969" spans="18:19" x14ac:dyDescent="0.25">
      <c r="R1969" s="72"/>
      <c r="S1969" s="72"/>
    </row>
    <row r="1970" spans="18:19" x14ac:dyDescent="0.25">
      <c r="R1970" s="72"/>
      <c r="S1970" s="72"/>
    </row>
    <row r="1971" spans="18:19" x14ac:dyDescent="0.25">
      <c r="R1971" s="72"/>
      <c r="S1971" s="72"/>
    </row>
    <row r="1972" spans="18:19" x14ac:dyDescent="0.25">
      <c r="R1972" s="72"/>
      <c r="S1972" s="72"/>
    </row>
    <row r="1973" spans="18:19" x14ac:dyDescent="0.25">
      <c r="R1973" s="72"/>
      <c r="S1973" s="72"/>
    </row>
    <row r="1974" spans="18:19" x14ac:dyDescent="0.25">
      <c r="R1974" s="72"/>
      <c r="S1974" s="72"/>
    </row>
    <row r="1975" spans="18:19" x14ac:dyDescent="0.25">
      <c r="R1975" s="72"/>
      <c r="S1975" s="72"/>
    </row>
    <row r="1976" spans="18:19" x14ac:dyDescent="0.25">
      <c r="R1976" s="72"/>
      <c r="S1976" s="72"/>
    </row>
    <row r="1977" spans="18:19" x14ac:dyDescent="0.25">
      <c r="R1977" s="72"/>
      <c r="S1977" s="72"/>
    </row>
    <row r="1978" spans="18:19" x14ac:dyDescent="0.25">
      <c r="R1978" s="72"/>
      <c r="S1978" s="72"/>
    </row>
    <row r="1979" spans="18:19" x14ac:dyDescent="0.25">
      <c r="R1979" s="72"/>
      <c r="S1979" s="72"/>
    </row>
    <row r="1980" spans="18:19" x14ac:dyDescent="0.25">
      <c r="R1980" s="72"/>
      <c r="S1980" s="72"/>
    </row>
    <row r="1981" spans="18:19" x14ac:dyDescent="0.25">
      <c r="R1981" s="72"/>
      <c r="S1981" s="72"/>
    </row>
    <row r="1982" spans="18:19" x14ac:dyDescent="0.25">
      <c r="R1982" s="72"/>
      <c r="S1982" s="72"/>
    </row>
    <row r="1983" spans="18:19" x14ac:dyDescent="0.25">
      <c r="R1983" s="72"/>
      <c r="S1983" s="72"/>
    </row>
    <row r="1984" spans="18:19" x14ac:dyDescent="0.25">
      <c r="R1984" s="72"/>
      <c r="S1984" s="72"/>
    </row>
    <row r="1985" spans="18:19" x14ac:dyDescent="0.25">
      <c r="R1985" s="72"/>
      <c r="S1985" s="72"/>
    </row>
    <row r="1986" spans="18:19" x14ac:dyDescent="0.25">
      <c r="R1986" s="72"/>
      <c r="S1986" s="72"/>
    </row>
    <row r="1987" spans="18:19" x14ac:dyDescent="0.25">
      <c r="R1987" s="72"/>
      <c r="S1987" s="72"/>
    </row>
    <row r="1988" spans="18:19" x14ac:dyDescent="0.25">
      <c r="R1988" s="72"/>
      <c r="S1988" s="72"/>
    </row>
    <row r="1989" spans="18:19" x14ac:dyDescent="0.25">
      <c r="R1989" s="72"/>
      <c r="S1989" s="72"/>
    </row>
    <row r="1990" spans="18:19" x14ac:dyDescent="0.25">
      <c r="R1990" s="72"/>
      <c r="S1990" s="72"/>
    </row>
    <row r="1991" spans="18:19" x14ac:dyDescent="0.25">
      <c r="R1991" s="72"/>
      <c r="S1991" s="72"/>
    </row>
    <row r="1992" spans="18:19" x14ac:dyDescent="0.25">
      <c r="R1992" s="72"/>
      <c r="S1992" s="72"/>
    </row>
    <row r="1993" spans="18:19" x14ac:dyDescent="0.25">
      <c r="R1993" s="72"/>
      <c r="S1993" s="72"/>
    </row>
    <row r="1994" spans="18:19" x14ac:dyDescent="0.25">
      <c r="R1994" s="72"/>
      <c r="S1994" s="72"/>
    </row>
    <row r="1995" spans="18:19" x14ac:dyDescent="0.25">
      <c r="R1995" s="72"/>
      <c r="S1995" s="72"/>
    </row>
    <row r="1996" spans="18:19" x14ac:dyDescent="0.25">
      <c r="R1996" s="72"/>
      <c r="S1996" s="72"/>
    </row>
    <row r="1997" spans="18:19" x14ac:dyDescent="0.25">
      <c r="R1997" s="72"/>
      <c r="S1997" s="72"/>
    </row>
    <row r="1998" spans="18:19" x14ac:dyDescent="0.25">
      <c r="R1998" s="72"/>
      <c r="S1998" s="72"/>
    </row>
    <row r="1999" spans="18:19" x14ac:dyDescent="0.25">
      <c r="R1999" s="72"/>
      <c r="S1999" s="72"/>
    </row>
    <row r="2000" spans="18:19" x14ac:dyDescent="0.25">
      <c r="R2000" s="72"/>
      <c r="S2000" s="72"/>
    </row>
    <row r="2001" spans="18:19" x14ac:dyDescent="0.25">
      <c r="R2001" s="72"/>
      <c r="S2001" s="72"/>
    </row>
    <row r="2002" spans="18:19" x14ac:dyDescent="0.25">
      <c r="R2002" s="72"/>
      <c r="S2002" s="72"/>
    </row>
    <row r="2003" spans="18:19" x14ac:dyDescent="0.25">
      <c r="R2003" s="72"/>
      <c r="S2003" s="72"/>
    </row>
    <row r="2004" spans="18:19" x14ac:dyDescent="0.25">
      <c r="R2004" s="72"/>
      <c r="S2004" s="72"/>
    </row>
    <row r="2005" spans="18:19" x14ac:dyDescent="0.25">
      <c r="R2005" s="72"/>
      <c r="S2005" s="72"/>
    </row>
    <row r="2006" spans="18:19" x14ac:dyDescent="0.25">
      <c r="R2006" s="72"/>
      <c r="S2006" s="72"/>
    </row>
    <row r="2007" spans="18:19" x14ac:dyDescent="0.25">
      <c r="R2007" s="72"/>
      <c r="S2007" s="72"/>
    </row>
    <row r="2008" spans="18:19" x14ac:dyDescent="0.25">
      <c r="R2008" s="72"/>
      <c r="S2008" s="72"/>
    </row>
    <row r="2009" spans="18:19" x14ac:dyDescent="0.25">
      <c r="R2009" s="72"/>
      <c r="S2009" s="72"/>
    </row>
    <row r="2010" spans="18:19" x14ac:dyDescent="0.25">
      <c r="R2010" s="72"/>
      <c r="S2010" s="72"/>
    </row>
    <row r="2011" spans="18:19" x14ac:dyDescent="0.25">
      <c r="R2011" s="72"/>
      <c r="S2011" s="72"/>
    </row>
    <row r="2012" spans="18:19" x14ac:dyDescent="0.25">
      <c r="R2012" s="72"/>
      <c r="S2012" s="72"/>
    </row>
    <row r="2013" spans="18:19" x14ac:dyDescent="0.25">
      <c r="R2013" s="72"/>
      <c r="S2013" s="72"/>
    </row>
    <row r="2014" spans="18:19" x14ac:dyDescent="0.25">
      <c r="R2014" s="72"/>
      <c r="S2014" s="72"/>
    </row>
    <row r="2015" spans="18:19" x14ac:dyDescent="0.25">
      <c r="R2015" s="72"/>
      <c r="S2015" s="72"/>
    </row>
    <row r="2016" spans="18:19" x14ac:dyDescent="0.25">
      <c r="R2016" s="72"/>
      <c r="S2016" s="72"/>
    </row>
    <row r="2017" spans="18:19" x14ac:dyDescent="0.25">
      <c r="R2017" s="72"/>
      <c r="S2017" s="72"/>
    </row>
    <row r="2018" spans="18:19" x14ac:dyDescent="0.25">
      <c r="R2018" s="72"/>
      <c r="S2018" s="72"/>
    </row>
    <row r="2019" spans="18:19" x14ac:dyDescent="0.25">
      <c r="R2019" s="72"/>
      <c r="S2019" s="72"/>
    </row>
    <row r="2020" spans="18:19" x14ac:dyDescent="0.25">
      <c r="R2020" s="72"/>
      <c r="S2020" s="72"/>
    </row>
    <row r="2021" spans="18:19" x14ac:dyDescent="0.25">
      <c r="R2021" s="72"/>
      <c r="S2021" s="72"/>
    </row>
    <row r="2022" spans="18:19" x14ac:dyDescent="0.25">
      <c r="R2022" s="72"/>
      <c r="S2022" s="72"/>
    </row>
    <row r="2023" spans="18:19" x14ac:dyDescent="0.25">
      <c r="R2023" s="72"/>
      <c r="S2023" s="72"/>
    </row>
    <row r="2024" spans="18:19" x14ac:dyDescent="0.25">
      <c r="R2024" s="72"/>
      <c r="S2024" s="72"/>
    </row>
    <row r="2025" spans="18:19" x14ac:dyDescent="0.25">
      <c r="R2025" s="72"/>
      <c r="S2025" s="72"/>
    </row>
    <row r="2026" spans="18:19" x14ac:dyDescent="0.25">
      <c r="R2026" s="72"/>
      <c r="S2026" s="72"/>
    </row>
    <row r="2027" spans="18:19" x14ac:dyDescent="0.25">
      <c r="R2027" s="72"/>
      <c r="S2027" s="72"/>
    </row>
    <row r="2028" spans="18:19" x14ac:dyDescent="0.25">
      <c r="R2028" s="72"/>
      <c r="S2028" s="72"/>
    </row>
    <row r="2029" spans="18:19" x14ac:dyDescent="0.25">
      <c r="R2029" s="72"/>
      <c r="S2029" s="72"/>
    </row>
    <row r="2030" spans="18:19" x14ac:dyDescent="0.25">
      <c r="R2030" s="72"/>
      <c r="S2030" s="72"/>
    </row>
    <row r="2031" spans="18:19" x14ac:dyDescent="0.25">
      <c r="R2031" s="72"/>
      <c r="S2031" s="72"/>
    </row>
    <row r="2032" spans="18:19" x14ac:dyDescent="0.25">
      <c r="R2032" s="72"/>
      <c r="S2032" s="72"/>
    </row>
    <row r="2033" spans="18:19" x14ac:dyDescent="0.25">
      <c r="R2033" s="72"/>
      <c r="S2033" s="72"/>
    </row>
    <row r="2034" spans="18:19" x14ac:dyDescent="0.25">
      <c r="R2034" s="72"/>
      <c r="S2034" s="72"/>
    </row>
    <row r="2035" spans="18:19" x14ac:dyDescent="0.25">
      <c r="R2035" s="72"/>
      <c r="S2035" s="72"/>
    </row>
    <row r="2036" spans="18:19" x14ac:dyDescent="0.25">
      <c r="R2036" s="72"/>
      <c r="S2036" s="72"/>
    </row>
    <row r="2037" spans="18:19" x14ac:dyDescent="0.25">
      <c r="R2037" s="72"/>
      <c r="S2037" s="72"/>
    </row>
    <row r="2038" spans="18:19" x14ac:dyDescent="0.25">
      <c r="R2038" s="72"/>
      <c r="S2038" s="72"/>
    </row>
    <row r="2039" spans="18:19" x14ac:dyDescent="0.25">
      <c r="R2039" s="72"/>
      <c r="S2039" s="72"/>
    </row>
    <row r="2040" spans="18:19" x14ac:dyDescent="0.25">
      <c r="R2040" s="72"/>
      <c r="S2040" s="72"/>
    </row>
    <row r="2041" spans="18:19" x14ac:dyDescent="0.25">
      <c r="R2041" s="72"/>
      <c r="S2041" s="72"/>
    </row>
    <row r="2042" spans="18:19" x14ac:dyDescent="0.25">
      <c r="R2042" s="72"/>
      <c r="S2042" s="72"/>
    </row>
    <row r="2043" spans="18:19" x14ac:dyDescent="0.25">
      <c r="R2043" s="72"/>
      <c r="S2043" s="72"/>
    </row>
    <row r="2044" spans="18:19" x14ac:dyDescent="0.25">
      <c r="R2044" s="72"/>
      <c r="S2044" s="72"/>
    </row>
    <row r="2045" spans="18:19" x14ac:dyDescent="0.25">
      <c r="R2045" s="72"/>
      <c r="S2045" s="72"/>
    </row>
    <row r="2046" spans="18:19" x14ac:dyDescent="0.25">
      <c r="R2046" s="72"/>
      <c r="S2046" s="72"/>
    </row>
    <row r="2047" spans="18:19" x14ac:dyDescent="0.25">
      <c r="R2047" s="72"/>
      <c r="S2047" s="72"/>
    </row>
    <row r="2048" spans="18:19" x14ac:dyDescent="0.25">
      <c r="R2048" s="72"/>
      <c r="S2048" s="72"/>
    </row>
    <row r="2049" spans="18:19" x14ac:dyDescent="0.25">
      <c r="R2049" s="72"/>
      <c r="S2049" s="72"/>
    </row>
    <row r="2050" spans="18:19" x14ac:dyDescent="0.25">
      <c r="R2050" s="72"/>
      <c r="S2050" s="72"/>
    </row>
    <row r="2051" spans="18:19" x14ac:dyDescent="0.25">
      <c r="R2051" s="72"/>
      <c r="S2051" s="72"/>
    </row>
    <row r="2052" spans="18:19" x14ac:dyDescent="0.25">
      <c r="R2052" s="72"/>
      <c r="S2052" s="72"/>
    </row>
    <row r="2053" spans="18:19" x14ac:dyDescent="0.25">
      <c r="R2053" s="72"/>
      <c r="S2053" s="72"/>
    </row>
    <row r="2054" spans="18:19" x14ac:dyDescent="0.25">
      <c r="R2054" s="72"/>
      <c r="S2054" s="72"/>
    </row>
    <row r="2055" spans="18:19" x14ac:dyDescent="0.25">
      <c r="R2055" s="72"/>
      <c r="S2055" s="72"/>
    </row>
    <row r="2056" spans="18:19" x14ac:dyDescent="0.25">
      <c r="R2056" s="72"/>
      <c r="S2056" s="72"/>
    </row>
    <row r="2057" spans="18:19" x14ac:dyDescent="0.25">
      <c r="R2057" s="72"/>
      <c r="S2057" s="72"/>
    </row>
    <row r="2058" spans="18:19" x14ac:dyDescent="0.25">
      <c r="R2058" s="72"/>
      <c r="S2058" s="72"/>
    </row>
    <row r="2059" spans="18:19" x14ac:dyDescent="0.25">
      <c r="R2059" s="72"/>
      <c r="S2059" s="72"/>
    </row>
    <row r="2060" spans="18:19" x14ac:dyDescent="0.25">
      <c r="R2060" s="72"/>
      <c r="S2060" s="72"/>
    </row>
    <row r="2061" spans="18:19" x14ac:dyDescent="0.25">
      <c r="R2061" s="72"/>
      <c r="S2061" s="72"/>
    </row>
    <row r="2062" spans="18:19" x14ac:dyDescent="0.25">
      <c r="R2062" s="72"/>
      <c r="S2062" s="72"/>
    </row>
    <row r="2063" spans="18:19" x14ac:dyDescent="0.25">
      <c r="R2063" s="72"/>
      <c r="S2063" s="72"/>
    </row>
    <row r="2064" spans="18:19" x14ac:dyDescent="0.25">
      <c r="R2064" s="72"/>
      <c r="S2064" s="72"/>
    </row>
    <row r="2065" spans="18:19" x14ac:dyDescent="0.25">
      <c r="R2065" s="72"/>
      <c r="S2065" s="72"/>
    </row>
    <row r="2066" spans="18:19" x14ac:dyDescent="0.25">
      <c r="R2066" s="72"/>
      <c r="S2066" s="72"/>
    </row>
    <row r="2067" spans="18:19" x14ac:dyDescent="0.25">
      <c r="R2067" s="72"/>
      <c r="S2067" s="72"/>
    </row>
    <row r="2068" spans="18:19" x14ac:dyDescent="0.25">
      <c r="R2068" s="72"/>
      <c r="S2068" s="72"/>
    </row>
    <row r="2069" spans="18:19" x14ac:dyDescent="0.25">
      <c r="R2069" s="72"/>
      <c r="S2069" s="72"/>
    </row>
    <row r="2070" spans="18:19" x14ac:dyDescent="0.25">
      <c r="R2070" s="72"/>
      <c r="S2070" s="72"/>
    </row>
    <row r="2071" spans="18:19" x14ac:dyDescent="0.25">
      <c r="R2071" s="72"/>
      <c r="S2071" s="72"/>
    </row>
    <row r="2072" spans="18:19" x14ac:dyDescent="0.25">
      <c r="R2072" s="72"/>
      <c r="S2072" s="72"/>
    </row>
    <row r="2073" spans="18:19" x14ac:dyDescent="0.25">
      <c r="R2073" s="72"/>
      <c r="S2073" s="72"/>
    </row>
    <row r="2074" spans="18:19" x14ac:dyDescent="0.25">
      <c r="R2074" s="72"/>
      <c r="S2074" s="72"/>
    </row>
    <row r="2075" spans="18:19" x14ac:dyDescent="0.25">
      <c r="R2075" s="72"/>
      <c r="S2075" s="72"/>
    </row>
    <row r="2076" spans="18:19" x14ac:dyDescent="0.25">
      <c r="R2076" s="72"/>
      <c r="S2076" s="72"/>
    </row>
    <row r="2077" spans="18:19" x14ac:dyDescent="0.25">
      <c r="R2077" s="72"/>
      <c r="S2077" s="72"/>
    </row>
    <row r="2078" spans="18:19" x14ac:dyDescent="0.25">
      <c r="R2078" s="72"/>
      <c r="S2078" s="72"/>
    </row>
    <row r="2079" spans="18:19" x14ac:dyDescent="0.25">
      <c r="R2079" s="72"/>
      <c r="S2079" s="72"/>
    </row>
    <row r="2080" spans="18:19" x14ac:dyDescent="0.25">
      <c r="R2080" s="72"/>
      <c r="S2080" s="72"/>
    </row>
    <row r="2081" spans="18:19" x14ac:dyDescent="0.25">
      <c r="R2081" s="72"/>
      <c r="S2081" s="72"/>
    </row>
    <row r="2082" spans="18:19" x14ac:dyDescent="0.25">
      <c r="R2082" s="72"/>
      <c r="S2082" s="72"/>
    </row>
    <row r="2083" spans="18:19" x14ac:dyDescent="0.25">
      <c r="R2083" s="72"/>
      <c r="S2083" s="72"/>
    </row>
    <row r="2084" spans="18:19" x14ac:dyDescent="0.25">
      <c r="R2084" s="72"/>
      <c r="S2084" s="72"/>
    </row>
    <row r="2085" spans="18:19" x14ac:dyDescent="0.25">
      <c r="R2085" s="72"/>
      <c r="S2085" s="72"/>
    </row>
    <row r="2086" spans="18:19" x14ac:dyDescent="0.25">
      <c r="R2086" s="72"/>
      <c r="S2086" s="72"/>
    </row>
    <row r="2087" spans="18:19" x14ac:dyDescent="0.25">
      <c r="R2087" s="72"/>
      <c r="S2087" s="72"/>
    </row>
    <row r="2088" spans="18:19" x14ac:dyDescent="0.25">
      <c r="R2088" s="72"/>
      <c r="S2088" s="72"/>
    </row>
    <row r="2089" spans="18:19" x14ac:dyDescent="0.25">
      <c r="R2089" s="72"/>
      <c r="S2089" s="72"/>
    </row>
    <row r="2090" spans="18:19" x14ac:dyDescent="0.25">
      <c r="R2090" s="72"/>
      <c r="S2090" s="72"/>
    </row>
    <row r="2091" spans="18:19" x14ac:dyDescent="0.25">
      <c r="R2091" s="72"/>
      <c r="S2091" s="72"/>
    </row>
    <row r="2092" spans="18:19" x14ac:dyDescent="0.25">
      <c r="R2092" s="72"/>
      <c r="S2092" s="72"/>
    </row>
    <row r="2093" spans="18:19" x14ac:dyDescent="0.25">
      <c r="R2093" s="72"/>
      <c r="S2093" s="72"/>
    </row>
    <row r="2094" spans="18:19" x14ac:dyDescent="0.25">
      <c r="R2094" s="72"/>
      <c r="S2094" s="72"/>
    </row>
    <row r="2095" spans="18:19" x14ac:dyDescent="0.25">
      <c r="R2095" s="72"/>
      <c r="S2095" s="72"/>
    </row>
    <row r="2096" spans="18:19" x14ac:dyDescent="0.25">
      <c r="R2096" s="72"/>
      <c r="S2096" s="72"/>
    </row>
    <row r="2097" spans="18:19" x14ac:dyDescent="0.25">
      <c r="R2097" s="72"/>
      <c r="S2097" s="72"/>
    </row>
    <row r="2098" spans="18:19" x14ac:dyDescent="0.25">
      <c r="R2098" s="72"/>
      <c r="S2098" s="72"/>
    </row>
    <row r="2099" spans="18:19" x14ac:dyDescent="0.25">
      <c r="R2099" s="72"/>
      <c r="S2099" s="72"/>
    </row>
    <row r="2100" spans="18:19" x14ac:dyDescent="0.25">
      <c r="R2100" s="72"/>
      <c r="S2100" s="72"/>
    </row>
    <row r="2101" spans="18:19" x14ac:dyDescent="0.25">
      <c r="R2101" s="72"/>
      <c r="S2101" s="72"/>
    </row>
    <row r="2102" spans="18:19" x14ac:dyDescent="0.25">
      <c r="R2102" s="72"/>
      <c r="S2102" s="72"/>
    </row>
    <row r="2103" spans="18:19" x14ac:dyDescent="0.25">
      <c r="R2103" s="72"/>
      <c r="S2103" s="72"/>
    </row>
    <row r="2104" spans="18:19" x14ac:dyDescent="0.25">
      <c r="R2104" s="72"/>
      <c r="S2104" s="72"/>
    </row>
    <row r="2105" spans="18:19" x14ac:dyDescent="0.25">
      <c r="R2105" s="72"/>
      <c r="S2105" s="72"/>
    </row>
    <row r="2106" spans="18:19" x14ac:dyDescent="0.25">
      <c r="R2106" s="72"/>
      <c r="S2106" s="72"/>
    </row>
    <row r="2107" spans="18:19" x14ac:dyDescent="0.25">
      <c r="R2107" s="72"/>
      <c r="S2107" s="72"/>
    </row>
    <row r="2108" spans="18:19" x14ac:dyDescent="0.25">
      <c r="R2108" s="72"/>
      <c r="S2108" s="72"/>
    </row>
    <row r="2109" spans="18:19" x14ac:dyDescent="0.25">
      <c r="R2109" s="72"/>
      <c r="S2109" s="72"/>
    </row>
    <row r="2110" spans="18:19" x14ac:dyDescent="0.25">
      <c r="R2110" s="72"/>
      <c r="S2110" s="72"/>
    </row>
    <row r="2111" spans="18:19" x14ac:dyDescent="0.25">
      <c r="R2111" s="72"/>
      <c r="S2111" s="72"/>
    </row>
    <row r="2112" spans="18:19" x14ac:dyDescent="0.25">
      <c r="R2112" s="72"/>
      <c r="S2112" s="72"/>
    </row>
    <row r="2113" spans="18:19" x14ac:dyDescent="0.25">
      <c r="R2113" s="72"/>
      <c r="S2113" s="72"/>
    </row>
    <row r="2114" spans="18:19" x14ac:dyDescent="0.25">
      <c r="R2114" s="72"/>
      <c r="S2114" s="72"/>
    </row>
    <row r="2115" spans="18:19" x14ac:dyDescent="0.25">
      <c r="R2115" s="72"/>
      <c r="S2115" s="72"/>
    </row>
    <row r="2116" spans="18:19" x14ac:dyDescent="0.25">
      <c r="R2116" s="72"/>
      <c r="S2116" s="72"/>
    </row>
    <row r="2117" spans="18:19" x14ac:dyDescent="0.25">
      <c r="R2117" s="72"/>
      <c r="S2117" s="72"/>
    </row>
    <row r="2118" spans="18:19" x14ac:dyDescent="0.25">
      <c r="R2118" s="72"/>
      <c r="S2118" s="72"/>
    </row>
    <row r="2119" spans="18:19" x14ac:dyDescent="0.25">
      <c r="R2119" s="72"/>
      <c r="S2119" s="72"/>
    </row>
    <row r="2120" spans="18:19" x14ac:dyDescent="0.25">
      <c r="R2120" s="72"/>
      <c r="S2120" s="72"/>
    </row>
    <row r="2121" spans="18:19" x14ac:dyDescent="0.25">
      <c r="R2121" s="72"/>
      <c r="S2121" s="72"/>
    </row>
    <row r="2122" spans="18:19" x14ac:dyDescent="0.25">
      <c r="R2122" s="72"/>
      <c r="S2122" s="72"/>
    </row>
    <row r="2123" spans="18:19" x14ac:dyDescent="0.25">
      <c r="R2123" s="72"/>
      <c r="S2123" s="72"/>
    </row>
    <row r="2124" spans="18:19" x14ac:dyDescent="0.25">
      <c r="R2124" s="72"/>
      <c r="S2124" s="72"/>
    </row>
    <row r="2125" spans="18:19" x14ac:dyDescent="0.25">
      <c r="R2125" s="72"/>
      <c r="S2125" s="72"/>
    </row>
    <row r="2126" spans="18:19" x14ac:dyDescent="0.25">
      <c r="R2126" s="72"/>
      <c r="S2126" s="72"/>
    </row>
    <row r="2127" spans="18:19" x14ac:dyDescent="0.25">
      <c r="R2127" s="72"/>
      <c r="S2127" s="72"/>
    </row>
    <row r="2128" spans="18:19" x14ac:dyDescent="0.25">
      <c r="R2128" s="72"/>
      <c r="S2128" s="72"/>
    </row>
    <row r="2129" spans="18:19" x14ac:dyDescent="0.25">
      <c r="R2129" s="72"/>
      <c r="S2129" s="72"/>
    </row>
    <row r="2130" spans="18:19" x14ac:dyDescent="0.25">
      <c r="R2130" s="72"/>
      <c r="S2130" s="72"/>
    </row>
    <row r="2131" spans="18:19" x14ac:dyDescent="0.25">
      <c r="R2131" s="72"/>
      <c r="S2131" s="72"/>
    </row>
    <row r="2132" spans="18:19" x14ac:dyDescent="0.25">
      <c r="R2132" s="72"/>
      <c r="S2132" s="72"/>
    </row>
    <row r="2133" spans="18:19" x14ac:dyDescent="0.25">
      <c r="R2133" s="72"/>
      <c r="S2133" s="72"/>
    </row>
    <row r="2134" spans="18:19" x14ac:dyDescent="0.25">
      <c r="R2134" s="72"/>
      <c r="S2134" s="72"/>
    </row>
    <row r="2135" spans="18:19" x14ac:dyDescent="0.25">
      <c r="R2135" s="72"/>
      <c r="S2135" s="72"/>
    </row>
    <row r="2136" spans="18:19" x14ac:dyDescent="0.25">
      <c r="R2136" s="72"/>
      <c r="S2136" s="72"/>
    </row>
    <row r="2137" spans="18:19" x14ac:dyDescent="0.25">
      <c r="R2137" s="72"/>
      <c r="S2137" s="72"/>
    </row>
    <row r="2138" spans="18:19" x14ac:dyDescent="0.25">
      <c r="R2138" s="72"/>
      <c r="S2138" s="72"/>
    </row>
    <row r="2139" spans="18:19" x14ac:dyDescent="0.25">
      <c r="R2139" s="72"/>
      <c r="S2139" s="72"/>
    </row>
    <row r="2140" spans="18:19" x14ac:dyDescent="0.25">
      <c r="R2140" s="72"/>
      <c r="S2140" s="72"/>
    </row>
    <row r="2141" spans="18:19" x14ac:dyDescent="0.25">
      <c r="R2141" s="72"/>
      <c r="S2141" s="72"/>
    </row>
    <row r="2142" spans="18:19" x14ac:dyDescent="0.25">
      <c r="R2142" s="72"/>
      <c r="S2142" s="72"/>
    </row>
    <row r="2143" spans="18:19" x14ac:dyDescent="0.25">
      <c r="R2143" s="72"/>
      <c r="S2143" s="72"/>
    </row>
    <row r="2144" spans="18:19" x14ac:dyDescent="0.25">
      <c r="R2144" s="72"/>
      <c r="S2144" s="72"/>
    </row>
    <row r="2145" spans="18:19" x14ac:dyDescent="0.25">
      <c r="R2145" s="72"/>
      <c r="S2145" s="72"/>
    </row>
    <row r="2146" spans="18:19" x14ac:dyDescent="0.25">
      <c r="R2146" s="72"/>
      <c r="S2146" s="72"/>
    </row>
    <row r="2147" spans="18:19" x14ac:dyDescent="0.25">
      <c r="R2147" s="72"/>
      <c r="S2147" s="72"/>
    </row>
    <row r="2148" spans="18:19" x14ac:dyDescent="0.25">
      <c r="R2148" s="72"/>
      <c r="S2148" s="72"/>
    </row>
    <row r="2149" spans="18:19" x14ac:dyDescent="0.25">
      <c r="R2149" s="72"/>
      <c r="S2149" s="72"/>
    </row>
    <row r="2150" spans="18:19" x14ac:dyDescent="0.25">
      <c r="R2150" s="72"/>
      <c r="S2150" s="72"/>
    </row>
    <row r="2151" spans="18:19" x14ac:dyDescent="0.25">
      <c r="R2151" s="72"/>
      <c r="S2151" s="72"/>
    </row>
    <row r="2152" spans="18:19" x14ac:dyDescent="0.25">
      <c r="R2152" s="72"/>
      <c r="S2152" s="72"/>
    </row>
    <row r="2153" spans="18:19" x14ac:dyDescent="0.25">
      <c r="R2153" s="72"/>
      <c r="S2153" s="72"/>
    </row>
    <row r="2154" spans="18:19" x14ac:dyDescent="0.25">
      <c r="R2154" s="72"/>
      <c r="S2154" s="72"/>
    </row>
    <row r="2155" spans="18:19" x14ac:dyDescent="0.25">
      <c r="R2155" s="72"/>
      <c r="S2155" s="72"/>
    </row>
    <row r="2156" spans="18:19" x14ac:dyDescent="0.25">
      <c r="R2156" s="72"/>
      <c r="S2156" s="72"/>
    </row>
    <row r="2157" spans="18:19" x14ac:dyDescent="0.25">
      <c r="R2157" s="72"/>
      <c r="S2157" s="72"/>
    </row>
    <row r="2158" spans="18:19" x14ac:dyDescent="0.25">
      <c r="R2158" s="72"/>
      <c r="S2158" s="72"/>
    </row>
    <row r="2159" spans="18:19" x14ac:dyDescent="0.25">
      <c r="R2159" s="72"/>
      <c r="S2159" s="72"/>
    </row>
    <row r="2160" spans="18:19" x14ac:dyDescent="0.25">
      <c r="R2160" s="72"/>
      <c r="S2160" s="72"/>
    </row>
    <row r="2161" spans="18:19" x14ac:dyDescent="0.25">
      <c r="R2161" s="72"/>
      <c r="S2161" s="72"/>
    </row>
    <row r="2162" spans="18:19" x14ac:dyDescent="0.25">
      <c r="R2162" s="72"/>
      <c r="S2162" s="72"/>
    </row>
    <row r="2163" spans="18:19" x14ac:dyDescent="0.25">
      <c r="R2163" s="72"/>
      <c r="S2163" s="72"/>
    </row>
    <row r="2164" spans="18:19" x14ac:dyDescent="0.25">
      <c r="R2164" s="72"/>
      <c r="S2164" s="72"/>
    </row>
    <row r="2165" spans="18:19" x14ac:dyDescent="0.25">
      <c r="R2165" s="72"/>
      <c r="S2165" s="72"/>
    </row>
    <row r="2166" spans="18:19" x14ac:dyDescent="0.25">
      <c r="R2166" s="72"/>
      <c r="S2166" s="72"/>
    </row>
    <row r="2167" spans="18:19" x14ac:dyDescent="0.25">
      <c r="R2167" s="72"/>
      <c r="S2167" s="72"/>
    </row>
    <row r="2168" spans="18:19" x14ac:dyDescent="0.25">
      <c r="R2168" s="72"/>
      <c r="S2168" s="72"/>
    </row>
    <row r="2169" spans="18:19" x14ac:dyDescent="0.25">
      <c r="R2169" s="72"/>
      <c r="S2169" s="72"/>
    </row>
    <row r="2170" spans="18:19" x14ac:dyDescent="0.25">
      <c r="R2170" s="72"/>
      <c r="S2170" s="72"/>
    </row>
    <row r="2171" spans="18:19" x14ac:dyDescent="0.25">
      <c r="R2171" s="72"/>
      <c r="S2171" s="72"/>
    </row>
    <row r="2172" spans="18:19" x14ac:dyDescent="0.25">
      <c r="R2172" s="72"/>
      <c r="S2172" s="72"/>
    </row>
    <row r="2173" spans="18:19" x14ac:dyDescent="0.25">
      <c r="R2173" s="72"/>
      <c r="S2173" s="72"/>
    </row>
    <row r="2174" spans="18:19" x14ac:dyDescent="0.25">
      <c r="R2174" s="72"/>
      <c r="S2174" s="72"/>
    </row>
    <row r="2175" spans="18:19" x14ac:dyDescent="0.25">
      <c r="R2175" s="72"/>
      <c r="S2175" s="72"/>
    </row>
    <row r="2176" spans="18:19" x14ac:dyDescent="0.25">
      <c r="R2176" s="72"/>
      <c r="S2176" s="72"/>
    </row>
    <row r="2177" spans="18:19" x14ac:dyDescent="0.25">
      <c r="R2177" s="72"/>
      <c r="S2177" s="72"/>
    </row>
    <row r="2178" spans="18:19" x14ac:dyDescent="0.25">
      <c r="R2178" s="72"/>
      <c r="S2178" s="72"/>
    </row>
    <row r="2179" spans="18:19" x14ac:dyDescent="0.25">
      <c r="R2179" s="72"/>
      <c r="S2179" s="72"/>
    </row>
    <row r="2180" spans="18:19" x14ac:dyDescent="0.25">
      <c r="R2180" s="72"/>
      <c r="S2180" s="72"/>
    </row>
    <row r="2181" spans="18:19" x14ac:dyDescent="0.25">
      <c r="R2181" s="72"/>
      <c r="S2181" s="72"/>
    </row>
    <row r="2182" spans="18:19" x14ac:dyDescent="0.25">
      <c r="R2182" s="72"/>
      <c r="S2182" s="72"/>
    </row>
    <row r="2183" spans="18:19" x14ac:dyDescent="0.25">
      <c r="R2183" s="72"/>
      <c r="S2183" s="72"/>
    </row>
    <row r="2184" spans="18:19" x14ac:dyDescent="0.25">
      <c r="R2184" s="72"/>
      <c r="S2184" s="72"/>
    </row>
    <row r="2185" spans="18:19" x14ac:dyDescent="0.25">
      <c r="R2185" s="72"/>
      <c r="S2185" s="72"/>
    </row>
    <row r="2186" spans="18:19" x14ac:dyDescent="0.25">
      <c r="R2186" s="72"/>
      <c r="S2186" s="72"/>
    </row>
    <row r="2187" spans="18:19" x14ac:dyDescent="0.25">
      <c r="R2187" s="72"/>
      <c r="S2187" s="72"/>
    </row>
    <row r="2188" spans="18:19" x14ac:dyDescent="0.25">
      <c r="R2188" s="72"/>
      <c r="S2188" s="72"/>
    </row>
    <row r="2189" spans="18:19" x14ac:dyDescent="0.25">
      <c r="R2189" s="72"/>
      <c r="S2189" s="72"/>
    </row>
    <row r="2190" spans="18:19" x14ac:dyDescent="0.25">
      <c r="R2190" s="72"/>
      <c r="S2190" s="72"/>
    </row>
    <row r="2191" spans="18:19" x14ac:dyDescent="0.25">
      <c r="R2191" s="72"/>
      <c r="S2191" s="72"/>
    </row>
    <row r="2192" spans="18:19" x14ac:dyDescent="0.25">
      <c r="R2192" s="72"/>
      <c r="S2192" s="72"/>
    </row>
    <row r="2193" spans="18:19" x14ac:dyDescent="0.25">
      <c r="R2193" s="72"/>
      <c r="S2193" s="72"/>
    </row>
    <row r="2194" spans="18:19" x14ac:dyDescent="0.25">
      <c r="R2194" s="72"/>
      <c r="S2194" s="72"/>
    </row>
    <row r="2195" spans="18:19" x14ac:dyDescent="0.25">
      <c r="R2195" s="72"/>
      <c r="S2195" s="72"/>
    </row>
    <row r="2196" spans="18:19" x14ac:dyDescent="0.25">
      <c r="R2196" s="72"/>
      <c r="S2196" s="72"/>
    </row>
    <row r="2197" spans="18:19" x14ac:dyDescent="0.25">
      <c r="R2197" s="72"/>
      <c r="S2197" s="72"/>
    </row>
    <row r="2198" spans="18:19" x14ac:dyDescent="0.25">
      <c r="R2198" s="72"/>
      <c r="S2198" s="72"/>
    </row>
    <row r="2199" spans="18:19" x14ac:dyDescent="0.25">
      <c r="R2199" s="72"/>
      <c r="S2199" s="72"/>
    </row>
    <row r="2200" spans="18:19" x14ac:dyDescent="0.25">
      <c r="R2200" s="72"/>
      <c r="S2200" s="72"/>
    </row>
    <row r="2201" spans="18:19" x14ac:dyDescent="0.25">
      <c r="R2201" s="72"/>
      <c r="S2201" s="72"/>
    </row>
    <row r="2202" spans="18:19" x14ac:dyDescent="0.25">
      <c r="R2202" s="72"/>
      <c r="S2202" s="72"/>
    </row>
    <row r="2203" spans="18:19" x14ac:dyDescent="0.25">
      <c r="R2203" s="72"/>
      <c r="S2203" s="72"/>
    </row>
    <row r="2204" spans="18:19" x14ac:dyDescent="0.25">
      <c r="R2204" s="72"/>
      <c r="S2204" s="72"/>
    </row>
    <row r="2205" spans="18:19" x14ac:dyDescent="0.25">
      <c r="R2205" s="72"/>
      <c r="S2205" s="72"/>
    </row>
    <row r="2206" spans="18:19" x14ac:dyDescent="0.25">
      <c r="R2206" s="72"/>
      <c r="S2206" s="72"/>
    </row>
    <row r="2207" spans="18:19" x14ac:dyDescent="0.25">
      <c r="R2207" s="72"/>
      <c r="S2207" s="72"/>
    </row>
    <row r="2208" spans="18:19" x14ac:dyDescent="0.25">
      <c r="R2208" s="72"/>
      <c r="S2208" s="72"/>
    </row>
    <row r="2209" spans="18:19" x14ac:dyDescent="0.25">
      <c r="R2209" s="72"/>
      <c r="S2209" s="72"/>
    </row>
    <row r="2210" spans="18:19" x14ac:dyDescent="0.25">
      <c r="R2210" s="72"/>
      <c r="S2210" s="72"/>
    </row>
    <row r="2211" spans="18:19" x14ac:dyDescent="0.25">
      <c r="R2211" s="72"/>
      <c r="S2211" s="72"/>
    </row>
    <row r="2212" spans="18:19" x14ac:dyDescent="0.25">
      <c r="R2212" s="72"/>
      <c r="S2212" s="72"/>
    </row>
    <row r="2213" spans="18:19" x14ac:dyDescent="0.25">
      <c r="R2213" s="72"/>
      <c r="S2213" s="72"/>
    </row>
    <row r="2214" spans="18:19" x14ac:dyDescent="0.25">
      <c r="R2214" s="72"/>
      <c r="S2214" s="72"/>
    </row>
    <row r="2215" spans="18:19" x14ac:dyDescent="0.25">
      <c r="R2215" s="72"/>
      <c r="S2215" s="72"/>
    </row>
    <row r="2216" spans="18:19" x14ac:dyDescent="0.25">
      <c r="R2216" s="72"/>
      <c r="S2216" s="72"/>
    </row>
    <row r="2217" spans="18:19" x14ac:dyDescent="0.25">
      <c r="R2217" s="72"/>
      <c r="S2217" s="72"/>
    </row>
    <row r="2218" spans="18:19" x14ac:dyDescent="0.25">
      <c r="R2218" s="72"/>
      <c r="S2218" s="72"/>
    </row>
    <row r="2219" spans="18:19" x14ac:dyDescent="0.25">
      <c r="R2219" s="72"/>
      <c r="S2219" s="72"/>
    </row>
    <row r="2220" spans="18:19" x14ac:dyDescent="0.25">
      <c r="R2220" s="72"/>
      <c r="S2220" s="72"/>
    </row>
    <row r="2221" spans="18:19" x14ac:dyDescent="0.25">
      <c r="R2221" s="72"/>
      <c r="S2221" s="72"/>
    </row>
    <row r="2222" spans="18:19" x14ac:dyDescent="0.25">
      <c r="R2222" s="72"/>
      <c r="S2222" s="72"/>
    </row>
    <row r="2223" spans="18:19" x14ac:dyDescent="0.25">
      <c r="R2223" s="72"/>
      <c r="S2223" s="72"/>
    </row>
    <row r="2224" spans="18:19" x14ac:dyDescent="0.25">
      <c r="R2224" s="72"/>
      <c r="S2224" s="72"/>
    </row>
    <row r="2225" spans="18:19" x14ac:dyDescent="0.25">
      <c r="R2225" s="72"/>
      <c r="S2225" s="72"/>
    </row>
    <row r="2226" spans="18:19" x14ac:dyDescent="0.25">
      <c r="R2226" s="72"/>
      <c r="S2226" s="72"/>
    </row>
    <row r="2227" spans="18:19" x14ac:dyDescent="0.25">
      <c r="R2227" s="72"/>
      <c r="S2227" s="72"/>
    </row>
    <row r="2228" spans="18:19" x14ac:dyDescent="0.25">
      <c r="R2228" s="72"/>
      <c r="S2228" s="72"/>
    </row>
    <row r="2229" spans="18:19" x14ac:dyDescent="0.25">
      <c r="R2229" s="72"/>
      <c r="S2229" s="72"/>
    </row>
    <row r="2230" spans="18:19" x14ac:dyDescent="0.25">
      <c r="R2230" s="72"/>
      <c r="S2230" s="72"/>
    </row>
    <row r="2231" spans="18:19" x14ac:dyDescent="0.25">
      <c r="R2231" s="72"/>
      <c r="S2231" s="72"/>
    </row>
    <row r="2232" spans="18:19" x14ac:dyDescent="0.25">
      <c r="R2232" s="72"/>
      <c r="S2232" s="72"/>
    </row>
    <row r="2233" spans="18:19" x14ac:dyDescent="0.25">
      <c r="R2233" s="72"/>
      <c r="S2233" s="72"/>
    </row>
    <row r="2234" spans="18:19" x14ac:dyDescent="0.25">
      <c r="R2234" s="72"/>
      <c r="S2234" s="72"/>
    </row>
    <row r="2235" spans="18:19" x14ac:dyDescent="0.25">
      <c r="R2235" s="72"/>
      <c r="S2235" s="72"/>
    </row>
    <row r="2236" spans="18:19" x14ac:dyDescent="0.25">
      <c r="R2236" s="72"/>
      <c r="S2236" s="72"/>
    </row>
    <row r="2237" spans="18:19" x14ac:dyDescent="0.25">
      <c r="R2237" s="72"/>
      <c r="S2237" s="72"/>
    </row>
    <row r="2238" spans="18:19" x14ac:dyDescent="0.25">
      <c r="R2238" s="72"/>
      <c r="S2238" s="72"/>
    </row>
    <row r="2239" spans="18:19" x14ac:dyDescent="0.25">
      <c r="R2239" s="72"/>
      <c r="S2239" s="72"/>
    </row>
    <row r="2240" spans="18:19" x14ac:dyDescent="0.25">
      <c r="R2240" s="72"/>
      <c r="S2240" s="72"/>
    </row>
    <row r="2241" spans="18:19" x14ac:dyDescent="0.25">
      <c r="R2241" s="72"/>
      <c r="S2241" s="72"/>
    </row>
    <row r="2242" spans="18:19" x14ac:dyDescent="0.25">
      <c r="R2242" s="72"/>
      <c r="S2242" s="72"/>
    </row>
    <row r="2243" spans="18:19" x14ac:dyDescent="0.25">
      <c r="R2243" s="72"/>
      <c r="S2243" s="72"/>
    </row>
    <row r="2244" spans="18:19" x14ac:dyDescent="0.25">
      <c r="R2244" s="72"/>
      <c r="S2244" s="72"/>
    </row>
    <row r="2245" spans="18:19" x14ac:dyDescent="0.25">
      <c r="R2245" s="72"/>
      <c r="S2245" s="72"/>
    </row>
    <row r="2246" spans="18:19" x14ac:dyDescent="0.25">
      <c r="R2246" s="72"/>
      <c r="S2246" s="72"/>
    </row>
    <row r="2247" spans="18:19" x14ac:dyDescent="0.25">
      <c r="R2247" s="72"/>
      <c r="S2247" s="72"/>
    </row>
    <row r="2248" spans="18:19" x14ac:dyDescent="0.25">
      <c r="R2248" s="72"/>
      <c r="S2248" s="72"/>
    </row>
    <row r="2249" spans="18:19" x14ac:dyDescent="0.25">
      <c r="R2249" s="72"/>
      <c r="S2249" s="72"/>
    </row>
    <row r="2250" spans="18:19" x14ac:dyDescent="0.25">
      <c r="R2250" s="72"/>
      <c r="S2250" s="72"/>
    </row>
    <row r="2251" spans="18:19" x14ac:dyDescent="0.25">
      <c r="R2251" s="72"/>
      <c r="S2251" s="72"/>
    </row>
    <row r="2252" spans="18:19" x14ac:dyDescent="0.25">
      <c r="R2252" s="72"/>
      <c r="S2252" s="72"/>
    </row>
    <row r="2253" spans="18:19" x14ac:dyDescent="0.25">
      <c r="R2253" s="72"/>
      <c r="S2253" s="72"/>
    </row>
    <row r="2254" spans="18:19" x14ac:dyDescent="0.25">
      <c r="R2254" s="72"/>
      <c r="S2254" s="72"/>
    </row>
    <row r="2255" spans="18:19" x14ac:dyDescent="0.25">
      <c r="R2255" s="72"/>
      <c r="S2255" s="72"/>
    </row>
    <row r="2256" spans="18:19" x14ac:dyDescent="0.25">
      <c r="R2256" s="72"/>
      <c r="S2256" s="72"/>
    </row>
    <row r="2257" spans="18:19" x14ac:dyDescent="0.25">
      <c r="R2257" s="72"/>
      <c r="S2257" s="72"/>
    </row>
    <row r="2258" spans="18:19" x14ac:dyDescent="0.25">
      <c r="R2258" s="72"/>
      <c r="S2258" s="72"/>
    </row>
    <row r="2259" spans="18:19" x14ac:dyDescent="0.25">
      <c r="R2259" s="72"/>
      <c r="S2259" s="72"/>
    </row>
    <row r="2260" spans="18:19" x14ac:dyDescent="0.25">
      <c r="R2260" s="72"/>
      <c r="S2260" s="72"/>
    </row>
    <row r="2261" spans="18:19" x14ac:dyDescent="0.25">
      <c r="R2261" s="72"/>
      <c r="S2261" s="72"/>
    </row>
    <row r="2262" spans="18:19" x14ac:dyDescent="0.25">
      <c r="R2262" s="72"/>
      <c r="S2262" s="72"/>
    </row>
    <row r="2263" spans="18:19" x14ac:dyDescent="0.25">
      <c r="R2263" s="72"/>
      <c r="S2263" s="72"/>
    </row>
    <row r="2264" spans="18:19" x14ac:dyDescent="0.25">
      <c r="R2264" s="72"/>
      <c r="S2264" s="72"/>
    </row>
    <row r="2265" spans="18:19" x14ac:dyDescent="0.25">
      <c r="R2265" s="72"/>
      <c r="S2265" s="72"/>
    </row>
    <row r="2266" spans="18:19" x14ac:dyDescent="0.25">
      <c r="R2266" s="72"/>
      <c r="S2266" s="72"/>
    </row>
    <row r="2267" spans="18:19" x14ac:dyDescent="0.25">
      <c r="R2267" s="72"/>
      <c r="S2267" s="72"/>
    </row>
    <row r="2268" spans="18:19" x14ac:dyDescent="0.25">
      <c r="R2268" s="72"/>
      <c r="S2268" s="72"/>
    </row>
    <row r="2269" spans="18:19" x14ac:dyDescent="0.25">
      <c r="R2269" s="72"/>
      <c r="S2269" s="72"/>
    </row>
    <row r="2270" spans="18:19" x14ac:dyDescent="0.25">
      <c r="R2270" s="72"/>
      <c r="S2270" s="72"/>
    </row>
    <row r="2271" spans="18:19" x14ac:dyDescent="0.25">
      <c r="R2271" s="72"/>
      <c r="S2271" s="72"/>
    </row>
    <row r="2272" spans="18:19" x14ac:dyDescent="0.25">
      <c r="R2272" s="72"/>
      <c r="S2272" s="72"/>
    </row>
    <row r="2273" spans="18:19" x14ac:dyDescent="0.25">
      <c r="R2273" s="72"/>
      <c r="S2273" s="72"/>
    </row>
    <row r="2274" spans="18:19" x14ac:dyDescent="0.25">
      <c r="R2274" s="72"/>
      <c r="S2274" s="72"/>
    </row>
    <row r="2275" spans="18:19" x14ac:dyDescent="0.25">
      <c r="R2275" s="72"/>
      <c r="S2275" s="72"/>
    </row>
    <row r="2276" spans="18:19" x14ac:dyDescent="0.25">
      <c r="R2276" s="72"/>
      <c r="S2276" s="72"/>
    </row>
    <row r="2277" spans="18:19" x14ac:dyDescent="0.25">
      <c r="R2277" s="72"/>
      <c r="S2277" s="72"/>
    </row>
    <row r="2278" spans="18:19" x14ac:dyDescent="0.25">
      <c r="R2278" s="72"/>
      <c r="S2278" s="72"/>
    </row>
    <row r="2279" spans="18:19" x14ac:dyDescent="0.25">
      <c r="R2279" s="72"/>
      <c r="S2279" s="72"/>
    </row>
    <row r="2280" spans="18:19" x14ac:dyDescent="0.25">
      <c r="R2280" s="72"/>
      <c r="S2280" s="72"/>
    </row>
    <row r="2281" spans="18:19" x14ac:dyDescent="0.25">
      <c r="R2281" s="72"/>
      <c r="S2281" s="72"/>
    </row>
    <row r="2282" spans="18:19" x14ac:dyDescent="0.25">
      <c r="R2282" s="72"/>
      <c r="S2282" s="72"/>
    </row>
    <row r="2283" spans="18:19" x14ac:dyDescent="0.25">
      <c r="R2283" s="72"/>
      <c r="S2283" s="72"/>
    </row>
    <row r="2284" spans="18:19" x14ac:dyDescent="0.25">
      <c r="R2284" s="72"/>
      <c r="S2284" s="72"/>
    </row>
    <row r="2285" spans="18:19" x14ac:dyDescent="0.25">
      <c r="R2285" s="72"/>
      <c r="S2285" s="72"/>
    </row>
    <row r="2286" spans="18:19" x14ac:dyDescent="0.25">
      <c r="R2286" s="72"/>
      <c r="S2286" s="72"/>
    </row>
    <row r="2287" spans="18:19" x14ac:dyDescent="0.25">
      <c r="R2287" s="72"/>
      <c r="S2287" s="72"/>
    </row>
    <row r="2288" spans="18:19" x14ac:dyDescent="0.25">
      <c r="R2288" s="72"/>
      <c r="S2288" s="72"/>
    </row>
    <row r="2289" spans="18:19" x14ac:dyDescent="0.25">
      <c r="R2289" s="72"/>
      <c r="S2289" s="72"/>
    </row>
    <row r="2290" spans="18:19" x14ac:dyDescent="0.25">
      <c r="R2290" s="72"/>
      <c r="S2290" s="72"/>
    </row>
    <row r="2291" spans="18:19" x14ac:dyDescent="0.25">
      <c r="R2291" s="72"/>
      <c r="S2291" s="72"/>
    </row>
    <row r="2292" spans="18:19" x14ac:dyDescent="0.25">
      <c r="R2292" s="72"/>
      <c r="S2292" s="72"/>
    </row>
    <row r="2293" spans="18:19" x14ac:dyDescent="0.25">
      <c r="R2293" s="72"/>
      <c r="S2293" s="72"/>
    </row>
    <row r="2294" spans="18:19" x14ac:dyDescent="0.25">
      <c r="R2294" s="72"/>
      <c r="S2294" s="72"/>
    </row>
    <row r="2295" spans="18:19" x14ac:dyDescent="0.25">
      <c r="R2295" s="72"/>
      <c r="S2295" s="72"/>
    </row>
    <row r="2296" spans="18:19" x14ac:dyDescent="0.25">
      <c r="R2296" s="72"/>
      <c r="S2296" s="72"/>
    </row>
    <row r="2297" spans="18:19" x14ac:dyDescent="0.25">
      <c r="R2297" s="72"/>
      <c r="S2297" s="72"/>
    </row>
    <row r="2298" spans="18:19" x14ac:dyDescent="0.25">
      <c r="R2298" s="72"/>
      <c r="S2298" s="72"/>
    </row>
    <row r="2299" spans="18:19" x14ac:dyDescent="0.25">
      <c r="R2299" s="72"/>
      <c r="S2299" s="72"/>
    </row>
    <row r="2300" spans="18:19" x14ac:dyDescent="0.25">
      <c r="R2300" s="72"/>
      <c r="S2300" s="72"/>
    </row>
    <row r="2301" spans="18:19" x14ac:dyDescent="0.25">
      <c r="R2301" s="72"/>
      <c r="S2301" s="72"/>
    </row>
    <row r="2302" spans="18:19" x14ac:dyDescent="0.25">
      <c r="R2302" s="72"/>
      <c r="S2302" s="72"/>
    </row>
    <row r="2303" spans="18:19" x14ac:dyDescent="0.25">
      <c r="R2303" s="72"/>
      <c r="S2303" s="72"/>
    </row>
    <row r="2304" spans="18:19" x14ac:dyDescent="0.25">
      <c r="R2304" s="72"/>
      <c r="S2304" s="72"/>
    </row>
    <row r="2305" spans="18:19" x14ac:dyDescent="0.25">
      <c r="R2305" s="72"/>
      <c r="S2305" s="72"/>
    </row>
    <row r="2306" spans="18:19" x14ac:dyDescent="0.25">
      <c r="R2306" s="72"/>
      <c r="S2306" s="72"/>
    </row>
    <row r="2307" spans="18:19" x14ac:dyDescent="0.25">
      <c r="R2307" s="72"/>
      <c r="S2307" s="72"/>
    </row>
    <row r="2308" spans="18:19" x14ac:dyDescent="0.25">
      <c r="R2308" s="72"/>
      <c r="S2308" s="72"/>
    </row>
    <row r="2309" spans="18:19" x14ac:dyDescent="0.25">
      <c r="R2309" s="72"/>
      <c r="S2309" s="72"/>
    </row>
    <row r="2310" spans="18:19" x14ac:dyDescent="0.25">
      <c r="R2310" s="72"/>
      <c r="S2310" s="72"/>
    </row>
    <row r="2311" spans="18:19" x14ac:dyDescent="0.25">
      <c r="R2311" s="72"/>
      <c r="S2311" s="72"/>
    </row>
    <row r="2312" spans="18:19" x14ac:dyDescent="0.25">
      <c r="R2312" s="72"/>
      <c r="S2312" s="72"/>
    </row>
    <row r="2313" spans="18:19" x14ac:dyDescent="0.25">
      <c r="R2313" s="72"/>
      <c r="S2313" s="72"/>
    </row>
    <row r="2314" spans="18:19" x14ac:dyDescent="0.25">
      <c r="R2314" s="72"/>
      <c r="S2314" s="72"/>
    </row>
    <row r="2315" spans="18:19" x14ac:dyDescent="0.25">
      <c r="R2315" s="72"/>
      <c r="S2315" s="72"/>
    </row>
    <row r="2316" spans="18:19" x14ac:dyDescent="0.25">
      <c r="R2316" s="72"/>
      <c r="S2316" s="72"/>
    </row>
    <row r="2317" spans="18:19" x14ac:dyDescent="0.25">
      <c r="R2317" s="72"/>
      <c r="S2317" s="72"/>
    </row>
    <row r="2318" spans="18:19" x14ac:dyDescent="0.25">
      <c r="R2318" s="72"/>
      <c r="S2318" s="72"/>
    </row>
    <row r="2319" spans="18:19" x14ac:dyDescent="0.25">
      <c r="R2319" s="72"/>
      <c r="S2319" s="72"/>
    </row>
    <row r="2320" spans="18:19" x14ac:dyDescent="0.25">
      <c r="R2320" s="72"/>
      <c r="S2320" s="72"/>
    </row>
    <row r="2321" spans="18:19" x14ac:dyDescent="0.25">
      <c r="R2321" s="72"/>
      <c r="S2321" s="72"/>
    </row>
    <row r="2322" spans="18:19" x14ac:dyDescent="0.25">
      <c r="R2322" s="72"/>
      <c r="S2322" s="72"/>
    </row>
    <row r="2323" spans="18:19" x14ac:dyDescent="0.25">
      <c r="R2323" s="72"/>
      <c r="S2323" s="72"/>
    </row>
    <row r="2324" spans="18:19" x14ac:dyDescent="0.25">
      <c r="R2324" s="72"/>
      <c r="S2324" s="72"/>
    </row>
    <row r="2325" spans="18:19" x14ac:dyDescent="0.25">
      <c r="R2325" s="72"/>
      <c r="S2325" s="72"/>
    </row>
    <row r="2326" spans="18:19" x14ac:dyDescent="0.25">
      <c r="R2326" s="72"/>
      <c r="S2326" s="72"/>
    </row>
    <row r="2327" spans="18:19" x14ac:dyDescent="0.25">
      <c r="R2327" s="72"/>
      <c r="S2327" s="72"/>
    </row>
    <row r="2328" spans="18:19" x14ac:dyDescent="0.25">
      <c r="R2328" s="72"/>
      <c r="S2328" s="72"/>
    </row>
    <row r="2329" spans="18:19" x14ac:dyDescent="0.25">
      <c r="R2329" s="72"/>
      <c r="S2329" s="72"/>
    </row>
    <row r="2330" spans="18:19" x14ac:dyDescent="0.25">
      <c r="R2330" s="72"/>
      <c r="S2330" s="72"/>
    </row>
    <row r="2331" spans="18:19" x14ac:dyDescent="0.25">
      <c r="R2331" s="72"/>
      <c r="S2331" s="72"/>
    </row>
    <row r="2332" spans="18:19" x14ac:dyDescent="0.25">
      <c r="R2332" s="72"/>
      <c r="S2332" s="72"/>
    </row>
    <row r="2333" spans="18:19" x14ac:dyDescent="0.25">
      <c r="R2333" s="72"/>
      <c r="S2333" s="72"/>
    </row>
    <row r="2334" spans="18:19" x14ac:dyDescent="0.25">
      <c r="R2334" s="72"/>
      <c r="S2334" s="72"/>
    </row>
    <row r="2335" spans="18:19" x14ac:dyDescent="0.25">
      <c r="R2335" s="72"/>
      <c r="S2335" s="72"/>
    </row>
    <row r="2336" spans="18:19" x14ac:dyDescent="0.25">
      <c r="R2336" s="72"/>
      <c r="S2336" s="72"/>
    </row>
    <row r="2337" spans="18:19" x14ac:dyDescent="0.25">
      <c r="R2337" s="72"/>
      <c r="S2337" s="72"/>
    </row>
    <row r="2338" spans="18:19" x14ac:dyDescent="0.25">
      <c r="R2338" s="72"/>
      <c r="S2338" s="72"/>
    </row>
    <row r="2339" spans="18:19" x14ac:dyDescent="0.25">
      <c r="R2339" s="72"/>
      <c r="S2339" s="72"/>
    </row>
    <row r="2340" spans="18:19" x14ac:dyDescent="0.25">
      <c r="R2340" s="72"/>
      <c r="S2340" s="72"/>
    </row>
    <row r="2341" spans="18:19" x14ac:dyDescent="0.25">
      <c r="R2341" s="72"/>
      <c r="S2341" s="72"/>
    </row>
    <row r="2342" spans="18:19" x14ac:dyDescent="0.25">
      <c r="R2342" s="72"/>
      <c r="S2342" s="72"/>
    </row>
    <row r="2343" spans="18:19" x14ac:dyDescent="0.25">
      <c r="R2343" s="72"/>
      <c r="S2343" s="72"/>
    </row>
    <row r="2344" spans="18:19" x14ac:dyDescent="0.25">
      <c r="R2344" s="72"/>
      <c r="S2344" s="72"/>
    </row>
    <row r="2345" spans="18:19" x14ac:dyDescent="0.25">
      <c r="R2345" s="72"/>
      <c r="S2345" s="72"/>
    </row>
    <row r="2346" spans="18:19" x14ac:dyDescent="0.25">
      <c r="R2346" s="72"/>
      <c r="S2346" s="72"/>
    </row>
    <row r="2347" spans="18:19" x14ac:dyDescent="0.25">
      <c r="R2347" s="72"/>
      <c r="S2347" s="72"/>
    </row>
    <row r="2348" spans="18:19" x14ac:dyDescent="0.25">
      <c r="R2348" s="72"/>
      <c r="S2348" s="72"/>
    </row>
    <row r="2349" spans="18:19" x14ac:dyDescent="0.25">
      <c r="R2349" s="72"/>
      <c r="S2349" s="72"/>
    </row>
    <row r="2350" spans="18:19" x14ac:dyDescent="0.25">
      <c r="R2350" s="72"/>
      <c r="S2350" s="72"/>
    </row>
    <row r="2351" spans="18:19" x14ac:dyDescent="0.25">
      <c r="R2351" s="72"/>
      <c r="S2351" s="72"/>
    </row>
    <row r="2352" spans="18:19" x14ac:dyDescent="0.25">
      <c r="R2352" s="72"/>
      <c r="S2352" s="72"/>
    </row>
    <row r="2353" spans="18:19" x14ac:dyDescent="0.25">
      <c r="R2353" s="72"/>
      <c r="S2353" s="72"/>
    </row>
    <row r="2354" spans="18:19" x14ac:dyDescent="0.25">
      <c r="R2354" s="72"/>
      <c r="S2354" s="72"/>
    </row>
    <row r="2355" spans="18:19" x14ac:dyDescent="0.25">
      <c r="R2355" s="72"/>
      <c r="S2355" s="72"/>
    </row>
    <row r="2356" spans="18:19" x14ac:dyDescent="0.25">
      <c r="R2356" s="72"/>
      <c r="S2356" s="72"/>
    </row>
    <row r="2357" spans="18:19" x14ac:dyDescent="0.25">
      <c r="R2357" s="72"/>
      <c r="S2357" s="72"/>
    </row>
    <row r="2358" spans="18:19" x14ac:dyDescent="0.25">
      <c r="R2358" s="72"/>
      <c r="S2358" s="72"/>
    </row>
    <row r="2359" spans="18:19" x14ac:dyDescent="0.25">
      <c r="R2359" s="72"/>
      <c r="S2359" s="72"/>
    </row>
    <row r="2360" spans="18:19" x14ac:dyDescent="0.25">
      <c r="R2360" s="72"/>
      <c r="S2360" s="72"/>
    </row>
    <row r="2361" spans="18:19" x14ac:dyDescent="0.25">
      <c r="R2361" s="72"/>
      <c r="S2361" s="72"/>
    </row>
    <row r="2362" spans="18:19" x14ac:dyDescent="0.25">
      <c r="R2362" s="72"/>
      <c r="S2362" s="72"/>
    </row>
    <row r="2363" spans="18:19" x14ac:dyDescent="0.25">
      <c r="R2363" s="72"/>
      <c r="S2363" s="72"/>
    </row>
    <row r="2364" spans="18:19" x14ac:dyDescent="0.25">
      <c r="R2364" s="72"/>
      <c r="S2364" s="72"/>
    </row>
    <row r="2365" spans="18:19" x14ac:dyDescent="0.25">
      <c r="R2365" s="72"/>
      <c r="S2365" s="72"/>
    </row>
    <row r="2366" spans="18:19" x14ac:dyDescent="0.25">
      <c r="R2366" s="72"/>
      <c r="S2366" s="72"/>
    </row>
    <row r="2367" spans="18:19" x14ac:dyDescent="0.25">
      <c r="R2367" s="72"/>
      <c r="S2367" s="72"/>
    </row>
    <row r="2368" spans="18:19" x14ac:dyDescent="0.25">
      <c r="R2368" s="72"/>
      <c r="S2368" s="72"/>
    </row>
    <row r="2369" spans="18:19" x14ac:dyDescent="0.25">
      <c r="R2369" s="72"/>
      <c r="S2369" s="72"/>
    </row>
    <row r="2370" spans="18:19" x14ac:dyDescent="0.25">
      <c r="R2370" s="72"/>
      <c r="S2370" s="72"/>
    </row>
    <row r="2371" spans="18:19" x14ac:dyDescent="0.25">
      <c r="R2371" s="72"/>
      <c r="S2371" s="72"/>
    </row>
    <row r="2372" spans="18:19" x14ac:dyDescent="0.25">
      <c r="R2372" s="72"/>
      <c r="S2372" s="72"/>
    </row>
    <row r="2373" spans="18:19" x14ac:dyDescent="0.25">
      <c r="R2373" s="72"/>
      <c r="S2373" s="72"/>
    </row>
    <row r="2374" spans="18:19" x14ac:dyDescent="0.25">
      <c r="R2374" s="72"/>
      <c r="S2374" s="72"/>
    </row>
    <row r="2375" spans="18:19" x14ac:dyDescent="0.25">
      <c r="R2375" s="72"/>
      <c r="S2375" s="72"/>
    </row>
    <row r="2376" spans="18:19" x14ac:dyDescent="0.25">
      <c r="R2376" s="72"/>
      <c r="S2376" s="72"/>
    </row>
    <row r="2377" spans="18:19" x14ac:dyDescent="0.25">
      <c r="R2377" s="72"/>
      <c r="S2377" s="72"/>
    </row>
    <row r="2378" spans="18:19" x14ac:dyDescent="0.25">
      <c r="R2378" s="72"/>
      <c r="S2378" s="72"/>
    </row>
    <row r="2379" spans="18:19" x14ac:dyDescent="0.25">
      <c r="R2379" s="72"/>
      <c r="S2379" s="72"/>
    </row>
    <row r="2380" spans="18:19" x14ac:dyDescent="0.25">
      <c r="R2380" s="72"/>
      <c r="S2380" s="72"/>
    </row>
    <row r="2381" spans="18:19" x14ac:dyDescent="0.25">
      <c r="R2381" s="72"/>
      <c r="S2381" s="72"/>
    </row>
    <row r="2382" spans="18:19" x14ac:dyDescent="0.25">
      <c r="R2382" s="72"/>
      <c r="S2382" s="72"/>
    </row>
    <row r="2383" spans="18:19" x14ac:dyDescent="0.25">
      <c r="R2383" s="72"/>
      <c r="S2383" s="72"/>
    </row>
    <row r="2384" spans="18:19" x14ac:dyDescent="0.25">
      <c r="R2384" s="72"/>
      <c r="S2384" s="72"/>
    </row>
    <row r="2385" spans="18:19" x14ac:dyDescent="0.25">
      <c r="R2385" s="72"/>
      <c r="S2385" s="72"/>
    </row>
    <row r="2386" spans="18:19" x14ac:dyDescent="0.25">
      <c r="R2386" s="72"/>
      <c r="S2386" s="72"/>
    </row>
    <row r="2387" spans="18:19" x14ac:dyDescent="0.25">
      <c r="R2387" s="72"/>
      <c r="S2387" s="72"/>
    </row>
    <row r="2388" spans="18:19" x14ac:dyDescent="0.25">
      <c r="R2388" s="72"/>
      <c r="S2388" s="72"/>
    </row>
    <row r="2389" spans="18:19" x14ac:dyDescent="0.25">
      <c r="R2389" s="72"/>
      <c r="S2389" s="72"/>
    </row>
    <row r="2390" spans="18:19" x14ac:dyDescent="0.25">
      <c r="R2390" s="72"/>
      <c r="S2390" s="72"/>
    </row>
    <row r="2391" spans="18:19" x14ac:dyDescent="0.25">
      <c r="R2391" s="72"/>
      <c r="S2391" s="72"/>
    </row>
    <row r="2392" spans="18:19" x14ac:dyDescent="0.25">
      <c r="R2392" s="72"/>
      <c r="S2392" s="72"/>
    </row>
    <row r="2393" spans="18:19" x14ac:dyDescent="0.25">
      <c r="R2393" s="72"/>
      <c r="S2393" s="72"/>
    </row>
    <row r="2394" spans="18:19" x14ac:dyDescent="0.25">
      <c r="R2394" s="72"/>
      <c r="S2394" s="72"/>
    </row>
    <row r="2395" spans="18:19" x14ac:dyDescent="0.25">
      <c r="R2395" s="72"/>
      <c r="S2395" s="72"/>
    </row>
    <row r="2396" spans="18:19" x14ac:dyDescent="0.25">
      <c r="R2396" s="72"/>
      <c r="S2396" s="72"/>
    </row>
    <row r="2397" spans="18:19" x14ac:dyDescent="0.25">
      <c r="R2397" s="72"/>
      <c r="S2397" s="72"/>
    </row>
    <row r="2398" spans="18:19" x14ac:dyDescent="0.25">
      <c r="R2398" s="72"/>
      <c r="S2398" s="72"/>
    </row>
    <row r="2399" spans="18:19" x14ac:dyDescent="0.25">
      <c r="R2399" s="72"/>
      <c r="S2399" s="72"/>
    </row>
    <row r="2400" spans="18:19" x14ac:dyDescent="0.25">
      <c r="R2400" s="72"/>
      <c r="S2400" s="72"/>
    </row>
    <row r="2401" spans="18:19" x14ac:dyDescent="0.25">
      <c r="R2401" s="72"/>
      <c r="S2401" s="72"/>
    </row>
    <row r="2402" spans="18:19" x14ac:dyDescent="0.25">
      <c r="R2402" s="72"/>
      <c r="S2402" s="72"/>
    </row>
    <row r="2403" spans="18:19" x14ac:dyDescent="0.25">
      <c r="R2403" s="72"/>
      <c r="S2403" s="72"/>
    </row>
    <row r="2404" spans="18:19" x14ac:dyDescent="0.25">
      <c r="R2404" s="72"/>
      <c r="S2404" s="72"/>
    </row>
    <row r="2405" spans="18:19" x14ac:dyDescent="0.25">
      <c r="R2405" s="72"/>
      <c r="S2405" s="72"/>
    </row>
    <row r="2406" spans="18:19" x14ac:dyDescent="0.25">
      <c r="R2406" s="72"/>
      <c r="S2406" s="72"/>
    </row>
    <row r="2407" spans="18:19" x14ac:dyDescent="0.25">
      <c r="R2407" s="72"/>
      <c r="S2407" s="72"/>
    </row>
    <row r="2408" spans="18:19" x14ac:dyDescent="0.25">
      <c r="R2408" s="72"/>
      <c r="S2408" s="72"/>
    </row>
    <row r="2409" spans="18:19" x14ac:dyDescent="0.25">
      <c r="R2409" s="72"/>
      <c r="S2409" s="72"/>
    </row>
    <row r="2410" spans="18:19" x14ac:dyDescent="0.25">
      <c r="R2410" s="72"/>
      <c r="S2410" s="72"/>
    </row>
    <row r="2411" spans="18:19" x14ac:dyDescent="0.25">
      <c r="R2411" s="72"/>
      <c r="S2411" s="72"/>
    </row>
    <row r="2412" spans="18:19" x14ac:dyDescent="0.25">
      <c r="R2412" s="72"/>
      <c r="S2412" s="72"/>
    </row>
    <row r="2413" spans="18:19" x14ac:dyDescent="0.25">
      <c r="R2413" s="72"/>
      <c r="S2413" s="72"/>
    </row>
    <row r="2414" spans="18:19" x14ac:dyDescent="0.25">
      <c r="R2414" s="72"/>
      <c r="S2414" s="72"/>
    </row>
    <row r="2415" spans="18:19" x14ac:dyDescent="0.25">
      <c r="R2415" s="72"/>
      <c r="S2415" s="72"/>
    </row>
    <row r="2416" spans="18:19" x14ac:dyDescent="0.25">
      <c r="R2416" s="72"/>
      <c r="S2416" s="72"/>
    </row>
    <row r="2417" spans="18:19" x14ac:dyDescent="0.25">
      <c r="R2417" s="72"/>
      <c r="S2417" s="72"/>
    </row>
    <row r="2418" spans="18:19" x14ac:dyDescent="0.25">
      <c r="R2418" s="72"/>
      <c r="S2418" s="72"/>
    </row>
    <row r="2419" spans="18:19" x14ac:dyDescent="0.25">
      <c r="R2419" s="72"/>
      <c r="S2419" s="72"/>
    </row>
    <row r="2420" spans="18:19" x14ac:dyDescent="0.25">
      <c r="R2420" s="72"/>
      <c r="S2420" s="72"/>
    </row>
    <row r="2421" spans="18:19" x14ac:dyDescent="0.25">
      <c r="R2421" s="72"/>
      <c r="S2421" s="72"/>
    </row>
    <row r="2422" spans="18:19" x14ac:dyDescent="0.25">
      <c r="R2422" s="72"/>
      <c r="S2422" s="72"/>
    </row>
    <row r="2423" spans="18:19" x14ac:dyDescent="0.25">
      <c r="R2423" s="72"/>
      <c r="S2423" s="72"/>
    </row>
    <row r="2424" spans="18:19" x14ac:dyDescent="0.25">
      <c r="R2424" s="72"/>
      <c r="S2424" s="72"/>
    </row>
    <row r="2425" spans="18:19" x14ac:dyDescent="0.25">
      <c r="R2425" s="72"/>
      <c r="S2425" s="72"/>
    </row>
    <row r="2426" spans="18:19" x14ac:dyDescent="0.25">
      <c r="R2426" s="72"/>
      <c r="S2426" s="72"/>
    </row>
    <row r="2427" spans="18:19" x14ac:dyDescent="0.25">
      <c r="R2427" s="72"/>
      <c r="S2427" s="72"/>
    </row>
    <row r="2428" spans="18:19" x14ac:dyDescent="0.25">
      <c r="R2428" s="72"/>
      <c r="S2428" s="72"/>
    </row>
    <row r="2429" spans="18:19" x14ac:dyDescent="0.25">
      <c r="R2429" s="72"/>
      <c r="S2429" s="72"/>
    </row>
    <row r="2430" spans="18:19" x14ac:dyDescent="0.25">
      <c r="R2430" s="72"/>
      <c r="S2430" s="72"/>
    </row>
    <row r="2431" spans="18:19" x14ac:dyDescent="0.25">
      <c r="R2431" s="72"/>
      <c r="S2431" s="72"/>
    </row>
    <row r="2432" spans="18:19" x14ac:dyDescent="0.25">
      <c r="R2432" s="72"/>
      <c r="S2432" s="72"/>
    </row>
    <row r="2433" spans="18:19" x14ac:dyDescent="0.25">
      <c r="R2433" s="72"/>
      <c r="S2433" s="72"/>
    </row>
    <row r="2434" spans="18:19" x14ac:dyDescent="0.25">
      <c r="R2434" s="72"/>
      <c r="S2434" s="72"/>
    </row>
    <row r="2435" spans="18:19" x14ac:dyDescent="0.25">
      <c r="R2435" s="72"/>
      <c r="S2435" s="72"/>
    </row>
    <row r="2436" spans="18:19" x14ac:dyDescent="0.25">
      <c r="R2436" s="72"/>
      <c r="S2436" s="72"/>
    </row>
    <row r="2437" spans="18:19" x14ac:dyDescent="0.25">
      <c r="R2437" s="72"/>
      <c r="S2437" s="72"/>
    </row>
    <row r="2438" spans="18:19" x14ac:dyDescent="0.25">
      <c r="R2438" s="72"/>
      <c r="S2438" s="72"/>
    </row>
    <row r="2439" spans="18:19" x14ac:dyDescent="0.25">
      <c r="R2439" s="72"/>
      <c r="S2439" s="72"/>
    </row>
    <row r="2440" spans="18:19" x14ac:dyDescent="0.25">
      <c r="R2440" s="72"/>
      <c r="S2440" s="72"/>
    </row>
    <row r="2441" spans="18:19" x14ac:dyDescent="0.25">
      <c r="R2441" s="72"/>
      <c r="S2441" s="72"/>
    </row>
    <row r="2442" spans="18:19" x14ac:dyDescent="0.25">
      <c r="R2442" s="72"/>
      <c r="S2442" s="72"/>
    </row>
    <row r="2443" spans="18:19" x14ac:dyDescent="0.25">
      <c r="R2443" s="72"/>
      <c r="S2443" s="72"/>
    </row>
    <row r="2444" spans="18:19" x14ac:dyDescent="0.25">
      <c r="R2444" s="72"/>
      <c r="S2444" s="72"/>
    </row>
    <row r="2445" spans="18:19" x14ac:dyDescent="0.25">
      <c r="R2445" s="72"/>
      <c r="S2445" s="72"/>
    </row>
    <row r="2446" spans="18:19" x14ac:dyDescent="0.25">
      <c r="R2446" s="72"/>
      <c r="S2446" s="72"/>
    </row>
    <row r="2447" spans="18:19" x14ac:dyDescent="0.25">
      <c r="R2447" s="72"/>
      <c r="S2447" s="72"/>
    </row>
    <row r="2448" spans="18:19" x14ac:dyDescent="0.25">
      <c r="R2448" s="72"/>
      <c r="S2448" s="72"/>
    </row>
    <row r="2449" spans="18:19" x14ac:dyDescent="0.25">
      <c r="R2449" s="72"/>
      <c r="S2449" s="72"/>
    </row>
    <row r="2450" spans="18:19" x14ac:dyDescent="0.25">
      <c r="R2450" s="72"/>
      <c r="S2450" s="72"/>
    </row>
    <row r="2451" spans="18:19" x14ac:dyDescent="0.25">
      <c r="R2451" s="72"/>
      <c r="S2451" s="72"/>
    </row>
    <row r="2452" spans="18:19" x14ac:dyDescent="0.25">
      <c r="R2452" s="72"/>
      <c r="S2452" s="72"/>
    </row>
    <row r="2453" spans="18:19" x14ac:dyDescent="0.25">
      <c r="R2453" s="72"/>
      <c r="S2453" s="72"/>
    </row>
    <row r="2454" spans="18:19" x14ac:dyDescent="0.25">
      <c r="R2454" s="72"/>
      <c r="S2454" s="72"/>
    </row>
    <row r="2455" spans="18:19" x14ac:dyDescent="0.25">
      <c r="R2455" s="72"/>
      <c r="S2455" s="72"/>
    </row>
    <row r="2456" spans="18:19" x14ac:dyDescent="0.25">
      <c r="R2456" s="72"/>
      <c r="S2456" s="72"/>
    </row>
    <row r="2457" spans="18:19" x14ac:dyDescent="0.25">
      <c r="R2457" s="72"/>
      <c r="S2457" s="72"/>
    </row>
    <row r="2458" spans="18:19" x14ac:dyDescent="0.25">
      <c r="R2458" s="72"/>
      <c r="S2458" s="72"/>
    </row>
    <row r="2459" spans="18:19" x14ac:dyDescent="0.25">
      <c r="R2459" s="72"/>
      <c r="S2459" s="72"/>
    </row>
    <row r="2460" spans="18:19" x14ac:dyDescent="0.25">
      <c r="R2460" s="72"/>
      <c r="S2460" s="72"/>
    </row>
    <row r="2461" spans="18:19" x14ac:dyDescent="0.25">
      <c r="R2461" s="72"/>
      <c r="S2461" s="72"/>
    </row>
    <row r="2462" spans="18:19" x14ac:dyDescent="0.25">
      <c r="R2462" s="72"/>
      <c r="S2462" s="72"/>
    </row>
    <row r="2463" spans="18:19" x14ac:dyDescent="0.25">
      <c r="R2463" s="72"/>
      <c r="S2463" s="72"/>
    </row>
    <row r="2464" spans="18:19" x14ac:dyDescent="0.25">
      <c r="R2464" s="72"/>
      <c r="S2464" s="72"/>
    </row>
    <row r="2465" spans="18:19" x14ac:dyDescent="0.25">
      <c r="R2465" s="72"/>
      <c r="S2465" s="72"/>
    </row>
    <row r="2466" spans="18:19" x14ac:dyDescent="0.25">
      <c r="R2466" s="72"/>
      <c r="S2466" s="72"/>
    </row>
    <row r="2467" spans="18:19" x14ac:dyDescent="0.25">
      <c r="R2467" s="72"/>
      <c r="S2467" s="72"/>
    </row>
    <row r="2468" spans="18:19" x14ac:dyDescent="0.25">
      <c r="R2468" s="72"/>
      <c r="S2468" s="72"/>
    </row>
    <row r="2469" spans="18:19" x14ac:dyDescent="0.25">
      <c r="R2469" s="72"/>
      <c r="S2469" s="72"/>
    </row>
    <row r="2470" spans="18:19" x14ac:dyDescent="0.25">
      <c r="R2470" s="72"/>
      <c r="S2470" s="72"/>
    </row>
    <row r="2471" spans="18:19" x14ac:dyDescent="0.25">
      <c r="R2471" s="72"/>
      <c r="S2471" s="72"/>
    </row>
    <row r="2472" spans="18:19" x14ac:dyDescent="0.25">
      <c r="R2472" s="72"/>
      <c r="S2472" s="72"/>
    </row>
    <row r="2473" spans="18:19" x14ac:dyDescent="0.25">
      <c r="R2473" s="72"/>
      <c r="S2473" s="72"/>
    </row>
    <row r="2474" spans="18:19" x14ac:dyDescent="0.25">
      <c r="R2474" s="72"/>
      <c r="S2474" s="72"/>
    </row>
    <row r="2475" spans="18:19" x14ac:dyDescent="0.25">
      <c r="R2475" s="72"/>
      <c r="S2475" s="72"/>
    </row>
    <row r="2476" spans="18:19" x14ac:dyDescent="0.25">
      <c r="R2476" s="72"/>
      <c r="S2476" s="72"/>
    </row>
    <row r="2477" spans="18:19" x14ac:dyDescent="0.25">
      <c r="R2477" s="72"/>
      <c r="S2477" s="72"/>
    </row>
    <row r="2478" spans="18:19" x14ac:dyDescent="0.25">
      <c r="R2478" s="72"/>
      <c r="S2478" s="72"/>
    </row>
    <row r="2479" spans="18:19" x14ac:dyDescent="0.25">
      <c r="R2479" s="72"/>
      <c r="S2479" s="72"/>
    </row>
    <row r="2480" spans="18:19" x14ac:dyDescent="0.25">
      <c r="R2480" s="72"/>
      <c r="S2480" s="72"/>
    </row>
    <row r="2481" spans="18:19" x14ac:dyDescent="0.25">
      <c r="R2481" s="72"/>
      <c r="S2481" s="72"/>
    </row>
    <row r="2482" spans="18:19" x14ac:dyDescent="0.25">
      <c r="R2482" s="72"/>
      <c r="S2482" s="72"/>
    </row>
    <row r="2483" spans="18:19" x14ac:dyDescent="0.25">
      <c r="R2483" s="72"/>
      <c r="S2483" s="72"/>
    </row>
    <row r="2484" spans="18:19" x14ac:dyDescent="0.25">
      <c r="R2484" s="72"/>
      <c r="S2484" s="72"/>
    </row>
    <row r="2485" spans="18:19" x14ac:dyDescent="0.25">
      <c r="R2485" s="72"/>
      <c r="S2485" s="72"/>
    </row>
    <row r="2486" spans="18:19" x14ac:dyDescent="0.25">
      <c r="R2486" s="72"/>
      <c r="S2486" s="72"/>
    </row>
    <row r="2487" spans="18:19" x14ac:dyDescent="0.25">
      <c r="R2487" s="72"/>
      <c r="S2487" s="72"/>
    </row>
    <row r="2488" spans="18:19" x14ac:dyDescent="0.25">
      <c r="R2488" s="72"/>
      <c r="S2488" s="72"/>
    </row>
    <row r="2489" spans="18:19" x14ac:dyDescent="0.25">
      <c r="R2489" s="72"/>
      <c r="S2489" s="72"/>
    </row>
    <row r="2490" spans="18:19" x14ac:dyDescent="0.25">
      <c r="R2490" s="72"/>
      <c r="S2490" s="72"/>
    </row>
    <row r="2491" spans="18:19" x14ac:dyDescent="0.25">
      <c r="R2491" s="72"/>
      <c r="S2491" s="72"/>
    </row>
    <row r="2492" spans="18:19" x14ac:dyDescent="0.25">
      <c r="R2492" s="72"/>
      <c r="S2492" s="72"/>
    </row>
    <row r="2493" spans="18:19" x14ac:dyDescent="0.25">
      <c r="R2493" s="72"/>
      <c r="S2493" s="72"/>
    </row>
    <row r="2494" spans="18:19" x14ac:dyDescent="0.25">
      <c r="R2494" s="72"/>
      <c r="S2494" s="72"/>
    </row>
    <row r="2495" spans="18:19" x14ac:dyDescent="0.25">
      <c r="R2495" s="72"/>
      <c r="S2495" s="72"/>
    </row>
    <row r="2496" spans="18:19" x14ac:dyDescent="0.25">
      <c r="R2496" s="72"/>
      <c r="S2496" s="72"/>
    </row>
    <row r="2497" spans="18:19" x14ac:dyDescent="0.25">
      <c r="R2497" s="72"/>
      <c r="S2497" s="72"/>
    </row>
    <row r="2498" spans="18:19" x14ac:dyDescent="0.25">
      <c r="R2498" s="72"/>
      <c r="S2498" s="72"/>
    </row>
    <row r="2499" spans="18:19" x14ac:dyDescent="0.25">
      <c r="R2499" s="72"/>
      <c r="S2499" s="72"/>
    </row>
    <row r="2500" spans="18:19" x14ac:dyDescent="0.25">
      <c r="R2500" s="72"/>
      <c r="S2500" s="72"/>
    </row>
    <row r="2501" spans="18:19" x14ac:dyDescent="0.25">
      <c r="R2501" s="72"/>
      <c r="S2501" s="72"/>
    </row>
    <row r="2502" spans="18:19" x14ac:dyDescent="0.25">
      <c r="R2502" s="72"/>
      <c r="S2502" s="72"/>
    </row>
    <row r="2503" spans="18:19" x14ac:dyDescent="0.25">
      <c r="R2503" s="72"/>
      <c r="S2503" s="72"/>
    </row>
    <row r="2504" spans="18:19" x14ac:dyDescent="0.25">
      <c r="R2504" s="72"/>
      <c r="S2504" s="72"/>
    </row>
    <row r="2505" spans="18:19" x14ac:dyDescent="0.25">
      <c r="R2505" s="72"/>
      <c r="S2505" s="72"/>
    </row>
    <row r="2506" spans="18:19" x14ac:dyDescent="0.25">
      <c r="R2506" s="72"/>
      <c r="S2506" s="72"/>
    </row>
    <row r="2507" spans="18:19" x14ac:dyDescent="0.25">
      <c r="R2507" s="72"/>
      <c r="S2507" s="72"/>
    </row>
    <row r="2508" spans="18:19" x14ac:dyDescent="0.25">
      <c r="R2508" s="72"/>
      <c r="S2508" s="72"/>
    </row>
    <row r="2509" spans="18:19" x14ac:dyDescent="0.25">
      <c r="R2509" s="72"/>
      <c r="S2509" s="72"/>
    </row>
    <row r="2510" spans="18:19" x14ac:dyDescent="0.25">
      <c r="R2510" s="72"/>
      <c r="S2510" s="72"/>
    </row>
    <row r="2511" spans="18:19" x14ac:dyDescent="0.25">
      <c r="R2511" s="72"/>
      <c r="S2511" s="72"/>
    </row>
    <row r="2512" spans="18:19" x14ac:dyDescent="0.25">
      <c r="R2512" s="72"/>
      <c r="S2512" s="72"/>
    </row>
    <row r="2513" spans="18:19" x14ac:dyDescent="0.25">
      <c r="R2513" s="72"/>
      <c r="S2513" s="72"/>
    </row>
    <row r="2514" spans="18:19" x14ac:dyDescent="0.25">
      <c r="R2514" s="72"/>
      <c r="S2514" s="72"/>
    </row>
    <row r="2515" spans="18:19" x14ac:dyDescent="0.25">
      <c r="R2515" s="72"/>
      <c r="S2515" s="72"/>
    </row>
    <row r="2516" spans="18:19" x14ac:dyDescent="0.25">
      <c r="R2516" s="72"/>
      <c r="S2516" s="72"/>
    </row>
    <row r="2517" spans="18:19" x14ac:dyDescent="0.25">
      <c r="R2517" s="72"/>
      <c r="S2517" s="72"/>
    </row>
    <row r="2518" spans="18:19" x14ac:dyDescent="0.25">
      <c r="R2518" s="72"/>
      <c r="S2518" s="72"/>
    </row>
    <row r="2519" spans="18:19" x14ac:dyDescent="0.25">
      <c r="R2519" s="72"/>
      <c r="S2519" s="72"/>
    </row>
    <row r="2520" spans="18:19" x14ac:dyDescent="0.25">
      <c r="R2520" s="72"/>
      <c r="S2520" s="72"/>
    </row>
    <row r="2521" spans="18:19" x14ac:dyDescent="0.25">
      <c r="R2521" s="72"/>
      <c r="S2521" s="72"/>
    </row>
    <row r="2522" spans="18:19" x14ac:dyDescent="0.25">
      <c r="R2522" s="72"/>
      <c r="S2522" s="72"/>
    </row>
    <row r="2523" spans="18:19" x14ac:dyDescent="0.25">
      <c r="R2523" s="72"/>
      <c r="S2523" s="72"/>
    </row>
    <row r="2524" spans="18:19" x14ac:dyDescent="0.25">
      <c r="R2524" s="72"/>
      <c r="S2524" s="72"/>
    </row>
    <row r="2525" spans="18:19" x14ac:dyDescent="0.25">
      <c r="R2525" s="72"/>
      <c r="S2525" s="72"/>
    </row>
    <row r="2526" spans="18:19" x14ac:dyDescent="0.25">
      <c r="R2526" s="72"/>
      <c r="S2526" s="72"/>
    </row>
    <row r="2527" spans="18:19" x14ac:dyDescent="0.25">
      <c r="R2527" s="72"/>
      <c r="S2527" s="72"/>
    </row>
    <row r="2528" spans="18:19" x14ac:dyDescent="0.25">
      <c r="R2528" s="72"/>
      <c r="S2528" s="72"/>
    </row>
    <row r="2529" spans="18:19" x14ac:dyDescent="0.25">
      <c r="R2529" s="72"/>
      <c r="S2529" s="72"/>
    </row>
    <row r="2530" spans="18:19" x14ac:dyDescent="0.25">
      <c r="R2530" s="72"/>
      <c r="S2530" s="72"/>
    </row>
    <row r="2531" spans="18:19" x14ac:dyDescent="0.25">
      <c r="R2531" s="72"/>
      <c r="S2531" s="72"/>
    </row>
    <row r="2532" spans="18:19" x14ac:dyDescent="0.25">
      <c r="R2532" s="72"/>
      <c r="S2532" s="72"/>
    </row>
    <row r="2533" spans="18:19" x14ac:dyDescent="0.25">
      <c r="R2533" s="72"/>
      <c r="S2533" s="72"/>
    </row>
    <row r="2534" spans="18:19" x14ac:dyDescent="0.25">
      <c r="R2534" s="72"/>
      <c r="S2534" s="72"/>
    </row>
    <row r="2535" spans="18:19" x14ac:dyDescent="0.25">
      <c r="R2535" s="72"/>
      <c r="S2535" s="72"/>
    </row>
    <row r="2536" spans="18:19" x14ac:dyDescent="0.25">
      <c r="R2536" s="72"/>
      <c r="S2536" s="72"/>
    </row>
    <row r="2537" spans="18:19" x14ac:dyDescent="0.25">
      <c r="R2537" s="72"/>
      <c r="S2537" s="72"/>
    </row>
    <row r="2538" spans="18:19" x14ac:dyDescent="0.25">
      <c r="R2538" s="72"/>
      <c r="S2538" s="72"/>
    </row>
    <row r="2539" spans="18:19" x14ac:dyDescent="0.25">
      <c r="R2539" s="72"/>
      <c r="S2539" s="72"/>
    </row>
    <row r="2540" spans="18:19" x14ac:dyDescent="0.25">
      <c r="R2540" s="72"/>
      <c r="S2540" s="72"/>
    </row>
    <row r="2541" spans="18:19" x14ac:dyDescent="0.25">
      <c r="R2541" s="72"/>
      <c r="S2541" s="72"/>
    </row>
    <row r="2542" spans="18:19" x14ac:dyDescent="0.25">
      <c r="R2542" s="72"/>
      <c r="S2542" s="72"/>
    </row>
    <row r="2543" spans="18:19" x14ac:dyDescent="0.25">
      <c r="R2543" s="72"/>
      <c r="S2543" s="72"/>
    </row>
    <row r="2544" spans="18:19" x14ac:dyDescent="0.25">
      <c r="R2544" s="72"/>
      <c r="S2544" s="72"/>
    </row>
    <row r="2545" spans="18:19" x14ac:dyDescent="0.25">
      <c r="R2545" s="72"/>
      <c r="S2545" s="72"/>
    </row>
    <row r="2546" spans="18:19" x14ac:dyDescent="0.25">
      <c r="R2546" s="72"/>
      <c r="S2546" s="72"/>
    </row>
    <row r="2547" spans="18:19" x14ac:dyDescent="0.25">
      <c r="R2547" s="72"/>
      <c r="S2547" s="72"/>
    </row>
    <row r="2548" spans="18:19" x14ac:dyDescent="0.25">
      <c r="R2548" s="72"/>
      <c r="S2548" s="72"/>
    </row>
    <row r="2549" spans="18:19" x14ac:dyDescent="0.25">
      <c r="R2549" s="72"/>
      <c r="S2549" s="72"/>
    </row>
    <row r="2550" spans="18:19" x14ac:dyDescent="0.25">
      <c r="R2550" s="72"/>
      <c r="S2550" s="72"/>
    </row>
    <row r="2551" spans="18:19" x14ac:dyDescent="0.25">
      <c r="R2551" s="72"/>
      <c r="S2551" s="72"/>
    </row>
    <row r="2552" spans="18:19" x14ac:dyDescent="0.25">
      <c r="R2552" s="72"/>
      <c r="S2552" s="72"/>
    </row>
    <row r="2553" spans="18:19" x14ac:dyDescent="0.25">
      <c r="R2553" s="72"/>
      <c r="S2553" s="72"/>
    </row>
    <row r="2554" spans="18:19" x14ac:dyDescent="0.25">
      <c r="R2554" s="72"/>
      <c r="S2554" s="72"/>
    </row>
    <row r="2555" spans="18:19" x14ac:dyDescent="0.25">
      <c r="R2555" s="72"/>
      <c r="S2555" s="72"/>
    </row>
    <row r="2556" spans="18:19" x14ac:dyDescent="0.25">
      <c r="R2556" s="72"/>
      <c r="S2556" s="72"/>
    </row>
    <row r="2557" spans="18:19" x14ac:dyDescent="0.25">
      <c r="R2557" s="72"/>
      <c r="S2557" s="72"/>
    </row>
    <row r="2558" spans="18:19" x14ac:dyDescent="0.25">
      <c r="R2558" s="72"/>
      <c r="S2558" s="72"/>
    </row>
    <row r="2559" spans="18:19" x14ac:dyDescent="0.25">
      <c r="R2559" s="72"/>
      <c r="S2559" s="72"/>
    </row>
    <row r="2560" spans="18:19" x14ac:dyDescent="0.25">
      <c r="R2560" s="72"/>
      <c r="S2560" s="72"/>
    </row>
    <row r="2561" spans="18:19" x14ac:dyDescent="0.25">
      <c r="R2561" s="72"/>
      <c r="S2561" s="72"/>
    </row>
    <row r="2562" spans="18:19" x14ac:dyDescent="0.25">
      <c r="R2562" s="72"/>
      <c r="S2562" s="72"/>
    </row>
    <row r="2563" spans="18:19" x14ac:dyDescent="0.25">
      <c r="R2563" s="72"/>
      <c r="S2563" s="72"/>
    </row>
    <row r="2564" spans="18:19" x14ac:dyDescent="0.25">
      <c r="R2564" s="72"/>
      <c r="S2564" s="72"/>
    </row>
    <row r="2565" spans="18:19" x14ac:dyDescent="0.25">
      <c r="R2565" s="72"/>
      <c r="S2565" s="72"/>
    </row>
    <row r="2566" spans="18:19" x14ac:dyDescent="0.25">
      <c r="R2566" s="72"/>
      <c r="S2566" s="72"/>
    </row>
    <row r="2567" spans="18:19" x14ac:dyDescent="0.25">
      <c r="R2567" s="72"/>
      <c r="S2567" s="72"/>
    </row>
    <row r="2568" spans="18:19" x14ac:dyDescent="0.25">
      <c r="R2568" s="72"/>
      <c r="S2568" s="72"/>
    </row>
    <row r="2569" spans="18:19" x14ac:dyDescent="0.25">
      <c r="R2569" s="72"/>
      <c r="S2569" s="72"/>
    </row>
    <row r="2570" spans="18:19" x14ac:dyDescent="0.25">
      <c r="R2570" s="72"/>
      <c r="S2570" s="72"/>
    </row>
    <row r="2571" spans="18:19" x14ac:dyDescent="0.25">
      <c r="R2571" s="72"/>
      <c r="S2571" s="72"/>
    </row>
    <row r="2572" spans="18:19" x14ac:dyDescent="0.25">
      <c r="R2572" s="72"/>
      <c r="S2572" s="72"/>
    </row>
    <row r="2573" spans="18:19" x14ac:dyDescent="0.25">
      <c r="R2573" s="72"/>
      <c r="S2573" s="72"/>
    </row>
    <row r="2574" spans="18:19" x14ac:dyDescent="0.25">
      <c r="R2574" s="72"/>
      <c r="S2574" s="72"/>
    </row>
    <row r="2575" spans="18:19" x14ac:dyDescent="0.25">
      <c r="R2575" s="72"/>
      <c r="S2575" s="72"/>
    </row>
    <row r="2576" spans="18:19" x14ac:dyDescent="0.25">
      <c r="R2576" s="72"/>
      <c r="S2576" s="72"/>
    </row>
    <row r="2577" spans="18:19" x14ac:dyDescent="0.25">
      <c r="R2577" s="72"/>
      <c r="S2577" s="72"/>
    </row>
    <row r="2578" spans="18:19" x14ac:dyDescent="0.25">
      <c r="R2578" s="72"/>
      <c r="S2578" s="72"/>
    </row>
    <row r="2579" spans="18:19" x14ac:dyDescent="0.25">
      <c r="R2579" s="72"/>
      <c r="S2579" s="72"/>
    </row>
    <row r="2580" spans="18:19" x14ac:dyDescent="0.25">
      <c r="R2580" s="72"/>
      <c r="S2580" s="72"/>
    </row>
    <row r="2581" spans="18:19" x14ac:dyDescent="0.25">
      <c r="R2581" s="72"/>
      <c r="S2581" s="72"/>
    </row>
    <row r="2582" spans="18:19" x14ac:dyDescent="0.25">
      <c r="R2582" s="72"/>
      <c r="S2582" s="72"/>
    </row>
    <row r="2583" spans="18:19" x14ac:dyDescent="0.25">
      <c r="R2583" s="72"/>
      <c r="S2583" s="72"/>
    </row>
    <row r="2584" spans="18:19" x14ac:dyDescent="0.25">
      <c r="R2584" s="72"/>
      <c r="S2584" s="72"/>
    </row>
    <row r="2585" spans="18:19" x14ac:dyDescent="0.25">
      <c r="R2585" s="72"/>
      <c r="S2585" s="72"/>
    </row>
    <row r="2586" spans="18:19" x14ac:dyDescent="0.25">
      <c r="R2586" s="72"/>
      <c r="S2586" s="72"/>
    </row>
    <row r="2587" spans="18:19" x14ac:dyDescent="0.25">
      <c r="R2587" s="72"/>
      <c r="S2587" s="72"/>
    </row>
    <row r="2588" spans="18:19" x14ac:dyDescent="0.25">
      <c r="R2588" s="72"/>
      <c r="S2588" s="72"/>
    </row>
    <row r="2589" spans="18:19" x14ac:dyDescent="0.25">
      <c r="R2589" s="72"/>
      <c r="S2589" s="72"/>
    </row>
    <row r="2590" spans="18:19" x14ac:dyDescent="0.25">
      <c r="R2590" s="72"/>
      <c r="S2590" s="72"/>
    </row>
    <row r="2591" spans="18:19" x14ac:dyDescent="0.25">
      <c r="R2591" s="72"/>
      <c r="S2591" s="72"/>
    </row>
    <row r="2592" spans="18:19" x14ac:dyDescent="0.25">
      <c r="R2592" s="72"/>
      <c r="S2592" s="72"/>
    </row>
    <row r="2593" spans="18:19" x14ac:dyDescent="0.25">
      <c r="R2593" s="72"/>
      <c r="S2593" s="72"/>
    </row>
    <row r="2594" spans="18:19" x14ac:dyDescent="0.25">
      <c r="R2594" s="72"/>
      <c r="S2594" s="72"/>
    </row>
    <row r="2595" spans="18:19" x14ac:dyDescent="0.25">
      <c r="R2595" s="72"/>
      <c r="S2595" s="72"/>
    </row>
    <row r="2596" spans="18:19" x14ac:dyDescent="0.25">
      <c r="R2596" s="72"/>
      <c r="S2596" s="72"/>
    </row>
    <row r="2597" spans="18:19" x14ac:dyDescent="0.25">
      <c r="R2597" s="72"/>
      <c r="S2597" s="72"/>
    </row>
    <row r="2598" spans="18:19" x14ac:dyDescent="0.25">
      <c r="R2598" s="72"/>
      <c r="S2598" s="72"/>
    </row>
    <row r="2599" spans="18:19" x14ac:dyDescent="0.25">
      <c r="R2599" s="72"/>
      <c r="S2599" s="72"/>
    </row>
    <row r="2600" spans="18:19" x14ac:dyDescent="0.25">
      <c r="R2600" s="72"/>
      <c r="S2600" s="72"/>
    </row>
    <row r="2601" spans="18:19" x14ac:dyDescent="0.25">
      <c r="R2601" s="72"/>
      <c r="S2601" s="72"/>
    </row>
    <row r="2602" spans="18:19" x14ac:dyDescent="0.25">
      <c r="R2602" s="72"/>
      <c r="S2602" s="72"/>
    </row>
    <row r="2603" spans="18:19" x14ac:dyDescent="0.25">
      <c r="R2603" s="72"/>
      <c r="S2603" s="72"/>
    </row>
    <row r="2604" spans="18:19" x14ac:dyDescent="0.25">
      <c r="R2604" s="72"/>
      <c r="S2604" s="72"/>
    </row>
    <row r="2605" spans="18:19" x14ac:dyDescent="0.25">
      <c r="R2605" s="72"/>
      <c r="S2605" s="72"/>
    </row>
    <row r="2606" spans="18:19" x14ac:dyDescent="0.25">
      <c r="R2606" s="72"/>
      <c r="S2606" s="72"/>
    </row>
    <row r="2607" spans="18:19" x14ac:dyDescent="0.25">
      <c r="R2607" s="72"/>
      <c r="S2607" s="72"/>
    </row>
    <row r="2608" spans="18:19" x14ac:dyDescent="0.25">
      <c r="R2608" s="72"/>
      <c r="S2608" s="72"/>
    </row>
    <row r="2609" spans="18:19" x14ac:dyDescent="0.25">
      <c r="R2609" s="72"/>
      <c r="S2609" s="72"/>
    </row>
    <row r="2610" spans="18:19" x14ac:dyDescent="0.25">
      <c r="R2610" s="72"/>
      <c r="S2610" s="72"/>
    </row>
    <row r="2611" spans="18:19" x14ac:dyDescent="0.25">
      <c r="R2611" s="72"/>
      <c r="S2611" s="72"/>
    </row>
    <row r="2612" spans="18:19" x14ac:dyDescent="0.25">
      <c r="R2612" s="72"/>
      <c r="S2612" s="72"/>
    </row>
    <row r="2613" spans="18:19" x14ac:dyDescent="0.25">
      <c r="R2613" s="72"/>
      <c r="S2613" s="72"/>
    </row>
    <row r="2614" spans="18:19" x14ac:dyDescent="0.25">
      <c r="R2614" s="72"/>
      <c r="S2614" s="72"/>
    </row>
    <row r="2615" spans="18:19" x14ac:dyDescent="0.25">
      <c r="R2615" s="72"/>
      <c r="S2615" s="72"/>
    </row>
    <row r="2616" spans="18:19" x14ac:dyDescent="0.25">
      <c r="R2616" s="72"/>
      <c r="S2616" s="72"/>
    </row>
    <row r="2617" spans="18:19" x14ac:dyDescent="0.25">
      <c r="R2617" s="72"/>
      <c r="S2617" s="72"/>
    </row>
    <row r="2618" spans="18:19" x14ac:dyDescent="0.25">
      <c r="R2618" s="72"/>
      <c r="S2618" s="72"/>
    </row>
    <row r="2619" spans="18:19" x14ac:dyDescent="0.25">
      <c r="R2619" s="72"/>
      <c r="S2619" s="72"/>
    </row>
    <row r="2620" spans="18:19" x14ac:dyDescent="0.25">
      <c r="R2620" s="72"/>
      <c r="S2620" s="72"/>
    </row>
    <row r="2621" spans="18:19" x14ac:dyDescent="0.25">
      <c r="R2621" s="72"/>
      <c r="S2621" s="72"/>
    </row>
    <row r="2622" spans="18:19" x14ac:dyDescent="0.25">
      <c r="R2622" s="72"/>
      <c r="S2622" s="72"/>
    </row>
    <row r="2623" spans="18:19" x14ac:dyDescent="0.25">
      <c r="R2623" s="72"/>
      <c r="S2623" s="72"/>
    </row>
    <row r="2624" spans="18:19" x14ac:dyDescent="0.25">
      <c r="R2624" s="72"/>
      <c r="S2624" s="72"/>
    </row>
    <row r="2625" spans="18:19" x14ac:dyDescent="0.25">
      <c r="R2625" s="72"/>
      <c r="S2625" s="72"/>
    </row>
    <row r="2626" spans="18:19" x14ac:dyDescent="0.25">
      <c r="R2626" s="72"/>
      <c r="S2626" s="72"/>
    </row>
    <row r="2627" spans="18:19" x14ac:dyDescent="0.25">
      <c r="R2627" s="72"/>
      <c r="S2627" s="72"/>
    </row>
    <row r="2628" spans="18:19" x14ac:dyDescent="0.25">
      <c r="R2628" s="72"/>
      <c r="S2628" s="72"/>
    </row>
    <row r="2629" spans="18:19" x14ac:dyDescent="0.25">
      <c r="R2629" s="72"/>
      <c r="S2629" s="72"/>
    </row>
    <row r="2630" spans="18:19" x14ac:dyDescent="0.25">
      <c r="R2630" s="72"/>
      <c r="S2630" s="72"/>
    </row>
    <row r="2631" spans="18:19" x14ac:dyDescent="0.25">
      <c r="R2631" s="72"/>
      <c r="S2631" s="72"/>
    </row>
    <row r="2632" spans="18:19" x14ac:dyDescent="0.25">
      <c r="R2632" s="72"/>
      <c r="S2632" s="72"/>
    </row>
    <row r="2633" spans="18:19" x14ac:dyDescent="0.25">
      <c r="R2633" s="72"/>
      <c r="S2633" s="72"/>
    </row>
    <row r="2634" spans="18:19" x14ac:dyDescent="0.25">
      <c r="R2634" s="72"/>
      <c r="S2634" s="72"/>
    </row>
    <row r="2635" spans="18:19" x14ac:dyDescent="0.25">
      <c r="R2635" s="72"/>
      <c r="S2635" s="72"/>
    </row>
    <row r="2636" spans="18:19" x14ac:dyDescent="0.25">
      <c r="R2636" s="72"/>
      <c r="S2636" s="72"/>
    </row>
    <row r="2637" spans="18:19" x14ac:dyDescent="0.25">
      <c r="R2637" s="72"/>
      <c r="S2637" s="72"/>
    </row>
    <row r="2638" spans="18:19" x14ac:dyDescent="0.25">
      <c r="R2638" s="72"/>
      <c r="S2638" s="72"/>
    </row>
    <row r="2639" spans="18:19" x14ac:dyDescent="0.25">
      <c r="R2639" s="72"/>
      <c r="S2639" s="72"/>
    </row>
    <row r="2640" spans="18:19" x14ac:dyDescent="0.25">
      <c r="R2640" s="72"/>
      <c r="S2640" s="72"/>
    </row>
    <row r="2641" spans="18:19" x14ac:dyDescent="0.25">
      <c r="R2641" s="72"/>
      <c r="S2641" s="72"/>
    </row>
    <row r="2642" spans="18:19" x14ac:dyDescent="0.25">
      <c r="R2642" s="72"/>
      <c r="S2642" s="72"/>
    </row>
    <row r="2643" spans="18:19" x14ac:dyDescent="0.25">
      <c r="R2643" s="72"/>
      <c r="S2643" s="72"/>
    </row>
    <row r="2644" spans="18:19" x14ac:dyDescent="0.25">
      <c r="R2644" s="72"/>
      <c r="S2644" s="72"/>
    </row>
    <row r="2645" spans="18:19" x14ac:dyDescent="0.25">
      <c r="R2645" s="72"/>
      <c r="S2645" s="72"/>
    </row>
    <row r="2646" spans="18:19" x14ac:dyDescent="0.25">
      <c r="R2646" s="72"/>
      <c r="S2646" s="72"/>
    </row>
    <row r="2647" spans="18:19" x14ac:dyDescent="0.25">
      <c r="R2647" s="72"/>
      <c r="S2647" s="72"/>
    </row>
    <row r="2648" spans="18:19" x14ac:dyDescent="0.25">
      <c r="R2648" s="72"/>
      <c r="S2648" s="72"/>
    </row>
    <row r="2649" spans="18:19" x14ac:dyDescent="0.25">
      <c r="R2649" s="72"/>
      <c r="S2649" s="72"/>
    </row>
    <row r="2650" spans="18:19" x14ac:dyDescent="0.25">
      <c r="R2650" s="72"/>
      <c r="S2650" s="72"/>
    </row>
    <row r="2651" spans="18:19" x14ac:dyDescent="0.25">
      <c r="R2651" s="72"/>
      <c r="S2651" s="72"/>
    </row>
    <row r="2652" spans="18:19" x14ac:dyDescent="0.25">
      <c r="R2652" s="72"/>
      <c r="S2652" s="72"/>
    </row>
    <row r="2653" spans="18:19" x14ac:dyDescent="0.25">
      <c r="R2653" s="72"/>
      <c r="S2653" s="72"/>
    </row>
    <row r="2654" spans="18:19" x14ac:dyDescent="0.25">
      <c r="R2654" s="72"/>
      <c r="S2654" s="72"/>
    </row>
    <row r="2655" spans="18:19" x14ac:dyDescent="0.25">
      <c r="R2655" s="72"/>
      <c r="S2655" s="72"/>
    </row>
    <row r="2656" spans="18:19" x14ac:dyDescent="0.25">
      <c r="R2656" s="72"/>
      <c r="S2656" s="72"/>
    </row>
    <row r="2657" spans="18:19" x14ac:dyDescent="0.25">
      <c r="R2657" s="72"/>
      <c r="S2657" s="72"/>
    </row>
    <row r="2658" spans="18:19" x14ac:dyDescent="0.25">
      <c r="R2658" s="72"/>
      <c r="S2658" s="72"/>
    </row>
    <row r="2659" spans="18:19" x14ac:dyDescent="0.25">
      <c r="R2659" s="72"/>
      <c r="S2659" s="72"/>
    </row>
    <row r="2660" spans="18:19" x14ac:dyDescent="0.25">
      <c r="R2660" s="72"/>
      <c r="S2660" s="72"/>
    </row>
    <row r="2661" spans="18:19" x14ac:dyDescent="0.25">
      <c r="R2661" s="72"/>
      <c r="S2661" s="72"/>
    </row>
    <row r="2662" spans="18:19" x14ac:dyDescent="0.25">
      <c r="R2662" s="72"/>
      <c r="S2662" s="72"/>
    </row>
    <row r="2663" spans="18:19" x14ac:dyDescent="0.25">
      <c r="R2663" s="72"/>
      <c r="S2663" s="72"/>
    </row>
    <row r="2664" spans="18:19" x14ac:dyDescent="0.25">
      <c r="R2664" s="72"/>
      <c r="S2664" s="72"/>
    </row>
    <row r="2665" spans="18:19" x14ac:dyDescent="0.25">
      <c r="R2665" s="72"/>
      <c r="S2665" s="72"/>
    </row>
    <row r="2666" spans="18:19" x14ac:dyDescent="0.25">
      <c r="R2666" s="72"/>
      <c r="S2666" s="72"/>
    </row>
    <row r="2667" spans="18:19" x14ac:dyDescent="0.25">
      <c r="R2667" s="72"/>
      <c r="S2667" s="72"/>
    </row>
    <row r="2668" spans="18:19" x14ac:dyDescent="0.25">
      <c r="R2668" s="72"/>
      <c r="S2668" s="72"/>
    </row>
    <row r="2669" spans="18:19" x14ac:dyDescent="0.25">
      <c r="R2669" s="72"/>
      <c r="S2669" s="72"/>
    </row>
    <row r="2670" spans="18:19" x14ac:dyDescent="0.25">
      <c r="R2670" s="72"/>
      <c r="S2670" s="72"/>
    </row>
    <row r="2671" spans="18:19" x14ac:dyDescent="0.25">
      <c r="R2671" s="72"/>
      <c r="S2671" s="72"/>
    </row>
    <row r="2672" spans="18:19" x14ac:dyDescent="0.25">
      <c r="R2672" s="72"/>
      <c r="S2672" s="72"/>
    </row>
    <row r="2673" spans="18:19" x14ac:dyDescent="0.25">
      <c r="R2673" s="72"/>
      <c r="S2673" s="72"/>
    </row>
    <row r="2674" spans="18:19" x14ac:dyDescent="0.25">
      <c r="R2674" s="72"/>
      <c r="S2674" s="72"/>
    </row>
    <row r="2675" spans="18:19" x14ac:dyDescent="0.25">
      <c r="R2675" s="72"/>
      <c r="S2675" s="72"/>
    </row>
    <row r="2676" spans="18:19" x14ac:dyDescent="0.25">
      <c r="R2676" s="72"/>
      <c r="S2676" s="72"/>
    </row>
    <row r="2677" spans="18:19" x14ac:dyDescent="0.25">
      <c r="R2677" s="72"/>
      <c r="S2677" s="72"/>
    </row>
    <row r="2678" spans="18:19" x14ac:dyDescent="0.25">
      <c r="R2678" s="72"/>
      <c r="S2678" s="72"/>
    </row>
    <row r="2679" spans="18:19" x14ac:dyDescent="0.25">
      <c r="R2679" s="72"/>
      <c r="S2679" s="72"/>
    </row>
    <row r="2680" spans="18:19" x14ac:dyDescent="0.25">
      <c r="R2680" s="72"/>
      <c r="S2680" s="72"/>
    </row>
    <row r="2681" spans="18:19" x14ac:dyDescent="0.25">
      <c r="R2681" s="72"/>
      <c r="S2681" s="72"/>
    </row>
    <row r="2682" spans="18:19" x14ac:dyDescent="0.25">
      <c r="R2682" s="72"/>
      <c r="S2682" s="72"/>
    </row>
    <row r="2683" spans="18:19" x14ac:dyDescent="0.25">
      <c r="R2683" s="72"/>
      <c r="S2683" s="72"/>
    </row>
    <row r="2684" spans="18:19" x14ac:dyDescent="0.25">
      <c r="R2684" s="72"/>
      <c r="S2684" s="72"/>
    </row>
    <row r="2685" spans="18:19" x14ac:dyDescent="0.25">
      <c r="R2685" s="72"/>
      <c r="S2685" s="72"/>
    </row>
    <row r="2686" spans="18:19" x14ac:dyDescent="0.25">
      <c r="R2686" s="72"/>
      <c r="S2686" s="72"/>
    </row>
    <row r="2687" spans="18:19" x14ac:dyDescent="0.25">
      <c r="R2687" s="72"/>
      <c r="S2687" s="72"/>
    </row>
    <row r="2688" spans="18:19" x14ac:dyDescent="0.25">
      <c r="R2688" s="72"/>
      <c r="S2688" s="72"/>
    </row>
    <row r="2689" spans="18:19" x14ac:dyDescent="0.25">
      <c r="R2689" s="72"/>
      <c r="S2689" s="72"/>
    </row>
    <row r="2690" spans="18:19" x14ac:dyDescent="0.25">
      <c r="R2690" s="72"/>
      <c r="S2690" s="72"/>
    </row>
    <row r="2691" spans="18:19" x14ac:dyDescent="0.25">
      <c r="R2691" s="72"/>
      <c r="S2691" s="72"/>
    </row>
    <row r="2692" spans="18:19" x14ac:dyDescent="0.25">
      <c r="R2692" s="72"/>
      <c r="S2692" s="72"/>
    </row>
    <row r="2693" spans="18:19" x14ac:dyDescent="0.25">
      <c r="R2693" s="72"/>
      <c r="S2693" s="72"/>
    </row>
    <row r="2694" spans="18:19" x14ac:dyDescent="0.25">
      <c r="R2694" s="72"/>
      <c r="S2694" s="72"/>
    </row>
    <row r="2695" spans="18:19" x14ac:dyDescent="0.25">
      <c r="R2695" s="72"/>
      <c r="S2695" s="72"/>
    </row>
    <row r="2696" spans="18:19" x14ac:dyDescent="0.25">
      <c r="R2696" s="72"/>
      <c r="S2696" s="72"/>
    </row>
    <row r="2697" spans="18:19" x14ac:dyDescent="0.25">
      <c r="R2697" s="72"/>
      <c r="S2697" s="72"/>
    </row>
    <row r="2698" spans="18:19" x14ac:dyDescent="0.25">
      <c r="R2698" s="72"/>
      <c r="S2698" s="72"/>
    </row>
    <row r="2699" spans="18:19" x14ac:dyDescent="0.25">
      <c r="R2699" s="72"/>
      <c r="S2699" s="72"/>
    </row>
    <row r="2700" spans="18:19" x14ac:dyDescent="0.25">
      <c r="R2700" s="72"/>
      <c r="S2700" s="72"/>
    </row>
    <row r="2701" spans="18:19" x14ac:dyDescent="0.25">
      <c r="R2701" s="72"/>
      <c r="S2701" s="72"/>
    </row>
    <row r="2702" spans="18:19" x14ac:dyDescent="0.25">
      <c r="R2702" s="72"/>
      <c r="S2702" s="72"/>
    </row>
    <row r="2703" spans="18:19" x14ac:dyDescent="0.25">
      <c r="R2703" s="72"/>
      <c r="S2703" s="72"/>
    </row>
    <row r="2704" spans="18:19" x14ac:dyDescent="0.25">
      <c r="R2704" s="72"/>
      <c r="S2704" s="72"/>
    </row>
    <row r="2705" spans="18:19" x14ac:dyDescent="0.25">
      <c r="R2705" s="72"/>
      <c r="S2705" s="72"/>
    </row>
    <row r="2706" spans="18:19" x14ac:dyDescent="0.25">
      <c r="R2706" s="72"/>
      <c r="S2706" s="72"/>
    </row>
    <row r="2707" spans="18:19" x14ac:dyDescent="0.25">
      <c r="R2707" s="72"/>
      <c r="S2707" s="72"/>
    </row>
    <row r="2708" spans="18:19" x14ac:dyDescent="0.25">
      <c r="R2708" s="72"/>
      <c r="S2708" s="72"/>
    </row>
    <row r="2709" spans="18:19" x14ac:dyDescent="0.25">
      <c r="R2709" s="72"/>
      <c r="S2709" s="72"/>
    </row>
    <row r="2710" spans="18:19" x14ac:dyDescent="0.25">
      <c r="R2710" s="72"/>
      <c r="S2710" s="72"/>
    </row>
    <row r="2711" spans="18:19" x14ac:dyDescent="0.25">
      <c r="R2711" s="72"/>
      <c r="S2711" s="72"/>
    </row>
    <row r="2712" spans="18:19" x14ac:dyDescent="0.25">
      <c r="R2712" s="72"/>
      <c r="S2712" s="72"/>
    </row>
    <row r="2713" spans="18:19" x14ac:dyDescent="0.25">
      <c r="R2713" s="72"/>
      <c r="S2713" s="72"/>
    </row>
    <row r="2714" spans="18:19" x14ac:dyDescent="0.25">
      <c r="R2714" s="72"/>
      <c r="S2714" s="72"/>
    </row>
    <row r="2715" spans="18:19" x14ac:dyDescent="0.25">
      <c r="R2715" s="72"/>
      <c r="S2715" s="72"/>
    </row>
    <row r="2716" spans="18:19" x14ac:dyDescent="0.25">
      <c r="R2716" s="72"/>
      <c r="S2716" s="72"/>
    </row>
    <row r="2717" spans="18:19" x14ac:dyDescent="0.25">
      <c r="R2717" s="72"/>
      <c r="S2717" s="72"/>
    </row>
    <row r="2718" spans="18:19" x14ac:dyDescent="0.25">
      <c r="R2718" s="72"/>
      <c r="S2718" s="72"/>
    </row>
    <row r="2719" spans="18:19" x14ac:dyDescent="0.25">
      <c r="R2719" s="72"/>
      <c r="S2719" s="72"/>
    </row>
    <row r="2720" spans="18:19" x14ac:dyDescent="0.25">
      <c r="R2720" s="72"/>
      <c r="S2720" s="72"/>
    </row>
    <row r="2721" spans="18:19" x14ac:dyDescent="0.25">
      <c r="R2721" s="72"/>
      <c r="S2721" s="72"/>
    </row>
    <row r="2722" spans="18:19" x14ac:dyDescent="0.25">
      <c r="R2722" s="72"/>
      <c r="S2722" s="72"/>
    </row>
    <row r="2723" spans="18:19" x14ac:dyDescent="0.25">
      <c r="R2723" s="72"/>
      <c r="S2723" s="72"/>
    </row>
    <row r="2724" spans="18:19" x14ac:dyDescent="0.25">
      <c r="R2724" s="72"/>
      <c r="S2724" s="72"/>
    </row>
    <row r="2725" spans="18:19" x14ac:dyDescent="0.25">
      <c r="R2725" s="72"/>
      <c r="S2725" s="72"/>
    </row>
    <row r="2726" spans="18:19" x14ac:dyDescent="0.25">
      <c r="R2726" s="72"/>
      <c r="S2726" s="72"/>
    </row>
    <row r="2727" spans="18:19" x14ac:dyDescent="0.25">
      <c r="R2727" s="72"/>
      <c r="S2727" s="72"/>
    </row>
    <row r="2728" spans="18:19" x14ac:dyDescent="0.25">
      <c r="R2728" s="72"/>
      <c r="S2728" s="72"/>
    </row>
    <row r="2729" spans="18:19" x14ac:dyDescent="0.25">
      <c r="R2729" s="72"/>
      <c r="S2729" s="72"/>
    </row>
    <row r="2730" spans="18:19" x14ac:dyDescent="0.25">
      <c r="R2730" s="72"/>
      <c r="S2730" s="72"/>
    </row>
    <row r="2731" spans="18:19" x14ac:dyDescent="0.25">
      <c r="R2731" s="72"/>
      <c r="S2731" s="72"/>
    </row>
    <row r="2732" spans="18:19" x14ac:dyDescent="0.25">
      <c r="R2732" s="72"/>
      <c r="S2732" s="72"/>
    </row>
    <row r="2733" spans="18:19" x14ac:dyDescent="0.25">
      <c r="R2733" s="72"/>
      <c r="S2733" s="72"/>
    </row>
    <row r="2734" spans="18:19" x14ac:dyDescent="0.25">
      <c r="R2734" s="72"/>
      <c r="S2734" s="72"/>
    </row>
    <row r="2735" spans="18:19" x14ac:dyDescent="0.25">
      <c r="R2735" s="72"/>
      <c r="S2735" s="72"/>
    </row>
    <row r="2736" spans="18:19" x14ac:dyDescent="0.25">
      <c r="R2736" s="72"/>
      <c r="S2736" s="72"/>
    </row>
    <row r="2737" spans="18:19" x14ac:dyDescent="0.25">
      <c r="R2737" s="72"/>
      <c r="S2737" s="72"/>
    </row>
    <row r="2738" spans="18:19" x14ac:dyDescent="0.25">
      <c r="R2738" s="72"/>
      <c r="S2738" s="72"/>
    </row>
    <row r="2739" spans="18:19" x14ac:dyDescent="0.25">
      <c r="R2739" s="72"/>
      <c r="S2739" s="72"/>
    </row>
    <row r="2740" spans="18:19" x14ac:dyDescent="0.25">
      <c r="R2740" s="72"/>
      <c r="S2740" s="72"/>
    </row>
    <row r="2741" spans="18:19" x14ac:dyDescent="0.25">
      <c r="R2741" s="72"/>
      <c r="S2741" s="72"/>
    </row>
    <row r="2742" spans="18:19" x14ac:dyDescent="0.25">
      <c r="R2742" s="72"/>
      <c r="S2742" s="72"/>
    </row>
    <row r="2743" spans="18:19" x14ac:dyDescent="0.25">
      <c r="R2743" s="72"/>
      <c r="S2743" s="72"/>
    </row>
    <row r="2744" spans="18:19" x14ac:dyDescent="0.25">
      <c r="R2744" s="72"/>
      <c r="S2744" s="72"/>
    </row>
    <row r="2745" spans="18:19" x14ac:dyDescent="0.25">
      <c r="R2745" s="72"/>
      <c r="S2745" s="72"/>
    </row>
    <row r="2746" spans="18:19" x14ac:dyDescent="0.25">
      <c r="R2746" s="72"/>
      <c r="S2746" s="72"/>
    </row>
    <row r="2747" spans="18:19" x14ac:dyDescent="0.25">
      <c r="R2747" s="72"/>
      <c r="S2747" s="72"/>
    </row>
    <row r="2748" spans="18:19" x14ac:dyDescent="0.25">
      <c r="R2748" s="72"/>
      <c r="S2748" s="72"/>
    </row>
    <row r="2749" spans="18:19" x14ac:dyDescent="0.25">
      <c r="R2749" s="72"/>
      <c r="S2749" s="72"/>
    </row>
    <row r="2750" spans="18:19" x14ac:dyDescent="0.25">
      <c r="R2750" s="72"/>
      <c r="S2750" s="72"/>
    </row>
    <row r="2751" spans="18:19" x14ac:dyDescent="0.25">
      <c r="R2751" s="72"/>
      <c r="S2751" s="72"/>
    </row>
    <row r="2752" spans="18:19" x14ac:dyDescent="0.25">
      <c r="R2752" s="72"/>
      <c r="S2752" s="72"/>
    </row>
    <row r="2753" spans="18:19" x14ac:dyDescent="0.25">
      <c r="R2753" s="72"/>
      <c r="S2753" s="72"/>
    </row>
    <row r="2754" spans="18:19" x14ac:dyDescent="0.25">
      <c r="R2754" s="72"/>
      <c r="S2754" s="72"/>
    </row>
    <row r="2755" spans="18:19" x14ac:dyDescent="0.25">
      <c r="R2755" s="72"/>
      <c r="S2755" s="72"/>
    </row>
    <row r="2756" spans="18:19" x14ac:dyDescent="0.25">
      <c r="R2756" s="72"/>
      <c r="S2756" s="72"/>
    </row>
    <row r="2757" spans="18:19" x14ac:dyDescent="0.25">
      <c r="R2757" s="72"/>
      <c r="S2757" s="72"/>
    </row>
    <row r="2758" spans="18:19" x14ac:dyDescent="0.25">
      <c r="R2758" s="72"/>
      <c r="S2758" s="72"/>
    </row>
    <row r="2759" spans="18:19" x14ac:dyDescent="0.25">
      <c r="R2759" s="72"/>
      <c r="S2759" s="72"/>
    </row>
    <row r="2760" spans="18:19" x14ac:dyDescent="0.25">
      <c r="R2760" s="72"/>
      <c r="S2760" s="72"/>
    </row>
    <row r="2761" spans="18:19" x14ac:dyDescent="0.25">
      <c r="R2761" s="72"/>
      <c r="S2761" s="72"/>
    </row>
    <row r="2762" spans="18:19" x14ac:dyDescent="0.25">
      <c r="R2762" s="72"/>
      <c r="S2762" s="72"/>
    </row>
    <row r="2763" spans="18:19" x14ac:dyDescent="0.25">
      <c r="R2763" s="72"/>
      <c r="S2763" s="72"/>
    </row>
    <row r="2764" spans="18:19" x14ac:dyDescent="0.25">
      <c r="R2764" s="72"/>
      <c r="S2764" s="72"/>
    </row>
    <row r="2765" spans="18:19" x14ac:dyDescent="0.25">
      <c r="R2765" s="72"/>
      <c r="S2765" s="72"/>
    </row>
    <row r="2766" spans="18:19" x14ac:dyDescent="0.25">
      <c r="R2766" s="72"/>
      <c r="S2766" s="72"/>
    </row>
    <row r="2767" spans="18:19" x14ac:dyDescent="0.25">
      <c r="R2767" s="72"/>
      <c r="S2767" s="72"/>
    </row>
    <row r="2768" spans="18:19" x14ac:dyDescent="0.25">
      <c r="R2768" s="72"/>
      <c r="S2768" s="72"/>
    </row>
    <row r="2769" spans="18:19" x14ac:dyDescent="0.25">
      <c r="R2769" s="72"/>
      <c r="S2769" s="72"/>
    </row>
    <row r="2770" spans="18:19" x14ac:dyDescent="0.25">
      <c r="R2770" s="72"/>
      <c r="S2770" s="72"/>
    </row>
    <row r="2771" spans="18:19" x14ac:dyDescent="0.25">
      <c r="R2771" s="72"/>
      <c r="S2771" s="72"/>
    </row>
    <row r="2772" spans="18:19" x14ac:dyDescent="0.25">
      <c r="R2772" s="72"/>
      <c r="S2772" s="72"/>
    </row>
    <row r="2773" spans="18:19" x14ac:dyDescent="0.25">
      <c r="R2773" s="72"/>
      <c r="S2773" s="72"/>
    </row>
    <row r="2774" spans="18:19" x14ac:dyDescent="0.25">
      <c r="R2774" s="72"/>
      <c r="S2774" s="72"/>
    </row>
    <row r="2775" spans="18:19" x14ac:dyDescent="0.25">
      <c r="R2775" s="72"/>
      <c r="S2775" s="72"/>
    </row>
    <row r="2776" spans="18:19" x14ac:dyDescent="0.25">
      <c r="R2776" s="72"/>
      <c r="S2776" s="72"/>
    </row>
    <row r="2777" spans="18:19" x14ac:dyDescent="0.25">
      <c r="R2777" s="72"/>
      <c r="S2777" s="72"/>
    </row>
    <row r="2778" spans="18:19" x14ac:dyDescent="0.25">
      <c r="R2778" s="72"/>
      <c r="S2778" s="72"/>
    </row>
    <row r="2779" spans="18:19" x14ac:dyDescent="0.25">
      <c r="R2779" s="72"/>
      <c r="S2779" s="72"/>
    </row>
    <row r="2780" spans="18:19" x14ac:dyDescent="0.25">
      <c r="R2780" s="72"/>
      <c r="S2780" s="72"/>
    </row>
    <row r="2781" spans="18:19" x14ac:dyDescent="0.25">
      <c r="R2781" s="72"/>
      <c r="S2781" s="72"/>
    </row>
    <row r="2782" spans="18:19" x14ac:dyDescent="0.25">
      <c r="R2782" s="72"/>
      <c r="S2782" s="72"/>
    </row>
    <row r="2783" spans="18:19" x14ac:dyDescent="0.25">
      <c r="R2783" s="72"/>
      <c r="S2783" s="72"/>
    </row>
    <row r="2784" spans="18:19" x14ac:dyDescent="0.25">
      <c r="R2784" s="72"/>
      <c r="S2784" s="72"/>
    </row>
    <row r="2785" spans="18:19" x14ac:dyDescent="0.25">
      <c r="R2785" s="72"/>
      <c r="S2785" s="72"/>
    </row>
    <row r="2786" spans="18:19" x14ac:dyDescent="0.25">
      <c r="R2786" s="72"/>
      <c r="S2786" s="72"/>
    </row>
    <row r="2787" spans="18:19" x14ac:dyDescent="0.25">
      <c r="R2787" s="72"/>
      <c r="S2787" s="72"/>
    </row>
    <row r="2788" spans="18:19" x14ac:dyDescent="0.25">
      <c r="R2788" s="72"/>
      <c r="S2788" s="72"/>
    </row>
    <row r="2789" spans="18:19" x14ac:dyDescent="0.25">
      <c r="R2789" s="72"/>
      <c r="S2789" s="72"/>
    </row>
    <row r="2790" spans="18:19" x14ac:dyDescent="0.25">
      <c r="R2790" s="72"/>
      <c r="S2790" s="72"/>
    </row>
    <row r="2791" spans="18:19" x14ac:dyDescent="0.25">
      <c r="R2791" s="72"/>
      <c r="S2791" s="72"/>
    </row>
    <row r="2792" spans="18:19" x14ac:dyDescent="0.25">
      <c r="R2792" s="72"/>
      <c r="S2792" s="72"/>
    </row>
    <row r="2793" spans="18:19" x14ac:dyDescent="0.25">
      <c r="R2793" s="72"/>
      <c r="S2793" s="72"/>
    </row>
    <row r="2794" spans="18:19" x14ac:dyDescent="0.25">
      <c r="R2794" s="72"/>
      <c r="S2794" s="72"/>
    </row>
    <row r="2795" spans="18:19" x14ac:dyDescent="0.25">
      <c r="R2795" s="72"/>
      <c r="S2795" s="72"/>
    </row>
    <row r="2796" spans="18:19" x14ac:dyDescent="0.25">
      <c r="R2796" s="72"/>
      <c r="S2796" s="72"/>
    </row>
    <row r="2797" spans="18:19" x14ac:dyDescent="0.25">
      <c r="R2797" s="72"/>
      <c r="S2797" s="72"/>
    </row>
    <row r="2798" spans="18:19" x14ac:dyDescent="0.25">
      <c r="R2798" s="72"/>
      <c r="S2798" s="72"/>
    </row>
    <row r="2799" spans="18:19" x14ac:dyDescent="0.25">
      <c r="R2799" s="72"/>
      <c r="S2799" s="72"/>
    </row>
    <row r="2800" spans="18:19" x14ac:dyDescent="0.25">
      <c r="R2800" s="72"/>
      <c r="S2800" s="72"/>
    </row>
    <row r="2801" spans="18:19" x14ac:dyDescent="0.25">
      <c r="R2801" s="72"/>
      <c r="S2801" s="72"/>
    </row>
    <row r="2802" spans="18:19" x14ac:dyDescent="0.25">
      <c r="R2802" s="72"/>
      <c r="S2802" s="72"/>
    </row>
    <row r="2803" spans="18:19" x14ac:dyDescent="0.25">
      <c r="R2803" s="72"/>
      <c r="S2803" s="72"/>
    </row>
    <row r="2804" spans="18:19" x14ac:dyDescent="0.25">
      <c r="R2804" s="72"/>
      <c r="S2804" s="72"/>
    </row>
    <row r="2805" spans="18:19" x14ac:dyDescent="0.25">
      <c r="R2805" s="72"/>
      <c r="S2805" s="72"/>
    </row>
    <row r="2806" spans="18:19" x14ac:dyDescent="0.25">
      <c r="R2806" s="72"/>
      <c r="S2806" s="72"/>
    </row>
    <row r="2807" spans="18:19" x14ac:dyDescent="0.25">
      <c r="R2807" s="72"/>
      <c r="S2807" s="72"/>
    </row>
    <row r="2808" spans="18:19" x14ac:dyDescent="0.25">
      <c r="R2808" s="72"/>
      <c r="S2808" s="72"/>
    </row>
    <row r="2809" spans="18:19" x14ac:dyDescent="0.25">
      <c r="R2809" s="72"/>
      <c r="S2809" s="72"/>
    </row>
    <row r="2810" spans="18:19" x14ac:dyDescent="0.25">
      <c r="R2810" s="72"/>
      <c r="S2810" s="72"/>
    </row>
    <row r="2811" spans="18:19" x14ac:dyDescent="0.25">
      <c r="R2811" s="72"/>
      <c r="S2811" s="72"/>
    </row>
    <row r="2812" spans="18:19" x14ac:dyDescent="0.25">
      <c r="R2812" s="72"/>
      <c r="S2812" s="72"/>
    </row>
    <row r="2813" spans="18:19" x14ac:dyDescent="0.25">
      <c r="R2813" s="72"/>
      <c r="S2813" s="72"/>
    </row>
    <row r="2814" spans="18:19" x14ac:dyDescent="0.25">
      <c r="R2814" s="72"/>
      <c r="S2814" s="72"/>
    </row>
    <row r="2815" spans="18:19" x14ac:dyDescent="0.25">
      <c r="R2815" s="72"/>
      <c r="S2815" s="72"/>
    </row>
    <row r="2816" spans="18:19" x14ac:dyDescent="0.25">
      <c r="R2816" s="72"/>
      <c r="S2816" s="72"/>
    </row>
    <row r="2817" spans="18:19" x14ac:dyDescent="0.25">
      <c r="R2817" s="72"/>
      <c r="S2817" s="72"/>
    </row>
    <row r="2818" spans="18:19" x14ac:dyDescent="0.25">
      <c r="R2818" s="72"/>
      <c r="S2818" s="72"/>
    </row>
    <row r="2819" spans="18:19" x14ac:dyDescent="0.25">
      <c r="R2819" s="72"/>
      <c r="S2819" s="72"/>
    </row>
    <row r="2820" spans="18:19" x14ac:dyDescent="0.25">
      <c r="R2820" s="72"/>
      <c r="S2820" s="72"/>
    </row>
    <row r="2821" spans="18:19" x14ac:dyDescent="0.25">
      <c r="R2821" s="72"/>
      <c r="S2821" s="72"/>
    </row>
    <row r="2822" spans="18:19" x14ac:dyDescent="0.25">
      <c r="R2822" s="72"/>
      <c r="S2822" s="72"/>
    </row>
    <row r="2823" spans="18:19" x14ac:dyDescent="0.25">
      <c r="R2823" s="72"/>
      <c r="S2823" s="72"/>
    </row>
    <row r="2824" spans="18:19" x14ac:dyDescent="0.25">
      <c r="R2824" s="72"/>
      <c r="S2824" s="72"/>
    </row>
    <row r="2825" spans="18:19" x14ac:dyDescent="0.25">
      <c r="R2825" s="72"/>
      <c r="S2825" s="72"/>
    </row>
    <row r="2826" spans="18:19" x14ac:dyDescent="0.25">
      <c r="R2826" s="72"/>
      <c r="S2826" s="72"/>
    </row>
    <row r="2827" spans="18:19" x14ac:dyDescent="0.25">
      <c r="R2827" s="72"/>
      <c r="S2827" s="72"/>
    </row>
    <row r="2828" spans="18:19" x14ac:dyDescent="0.25">
      <c r="R2828" s="72"/>
      <c r="S2828" s="72"/>
    </row>
    <row r="2829" spans="18:19" x14ac:dyDescent="0.25">
      <c r="R2829" s="72"/>
      <c r="S2829" s="72"/>
    </row>
    <row r="2830" spans="18:19" x14ac:dyDescent="0.25">
      <c r="R2830" s="72"/>
      <c r="S2830" s="72"/>
    </row>
    <row r="2831" spans="18:19" x14ac:dyDescent="0.25">
      <c r="R2831" s="72"/>
      <c r="S2831" s="72"/>
    </row>
    <row r="2832" spans="18:19" x14ac:dyDescent="0.25">
      <c r="R2832" s="72"/>
      <c r="S2832" s="72"/>
    </row>
    <row r="2833" spans="18:19" x14ac:dyDescent="0.25">
      <c r="R2833" s="72"/>
      <c r="S2833" s="72"/>
    </row>
    <row r="2834" spans="18:19" x14ac:dyDescent="0.25">
      <c r="R2834" s="72"/>
      <c r="S2834" s="72"/>
    </row>
    <row r="2835" spans="18:19" x14ac:dyDescent="0.25">
      <c r="R2835" s="72"/>
      <c r="S2835" s="72"/>
    </row>
    <row r="2836" spans="18:19" x14ac:dyDescent="0.25">
      <c r="R2836" s="72"/>
      <c r="S2836" s="72"/>
    </row>
    <row r="2837" spans="18:19" x14ac:dyDescent="0.25">
      <c r="R2837" s="72"/>
      <c r="S2837" s="72"/>
    </row>
    <row r="2838" spans="18:19" x14ac:dyDescent="0.25">
      <c r="R2838" s="72"/>
      <c r="S2838" s="72"/>
    </row>
    <row r="2839" spans="18:19" x14ac:dyDescent="0.25">
      <c r="R2839" s="72"/>
      <c r="S2839" s="72"/>
    </row>
    <row r="2840" spans="18:19" x14ac:dyDescent="0.25">
      <c r="R2840" s="72"/>
      <c r="S2840" s="72"/>
    </row>
    <row r="2841" spans="18:19" x14ac:dyDescent="0.25">
      <c r="R2841" s="72"/>
      <c r="S2841" s="72"/>
    </row>
    <row r="2842" spans="18:19" x14ac:dyDescent="0.25">
      <c r="R2842" s="72"/>
      <c r="S2842" s="72"/>
    </row>
    <row r="2843" spans="18:19" x14ac:dyDescent="0.25">
      <c r="R2843" s="72"/>
      <c r="S2843" s="72"/>
    </row>
    <row r="2844" spans="18:19" x14ac:dyDescent="0.25">
      <c r="R2844" s="72"/>
      <c r="S2844" s="72"/>
    </row>
    <row r="2845" spans="18:19" x14ac:dyDescent="0.25">
      <c r="R2845" s="72"/>
      <c r="S2845" s="72"/>
    </row>
    <row r="2846" spans="18:19" x14ac:dyDescent="0.25">
      <c r="R2846" s="72"/>
      <c r="S2846" s="72"/>
    </row>
    <row r="2847" spans="18:19" x14ac:dyDescent="0.25">
      <c r="R2847" s="72"/>
      <c r="S2847" s="72"/>
    </row>
    <row r="2848" spans="18:19" x14ac:dyDescent="0.25">
      <c r="R2848" s="72"/>
      <c r="S2848" s="72"/>
    </row>
    <row r="2849" spans="18:19" x14ac:dyDescent="0.25">
      <c r="R2849" s="72"/>
      <c r="S2849" s="72"/>
    </row>
    <row r="2850" spans="18:19" x14ac:dyDescent="0.25">
      <c r="R2850" s="72"/>
      <c r="S2850" s="72"/>
    </row>
    <row r="2851" spans="18:19" x14ac:dyDescent="0.25">
      <c r="R2851" s="72"/>
      <c r="S2851" s="72"/>
    </row>
    <row r="2852" spans="18:19" x14ac:dyDescent="0.25">
      <c r="R2852" s="72"/>
      <c r="S2852" s="72"/>
    </row>
    <row r="2853" spans="18:19" x14ac:dyDescent="0.25">
      <c r="R2853" s="72"/>
      <c r="S2853" s="72"/>
    </row>
    <row r="2854" spans="18:19" x14ac:dyDescent="0.25">
      <c r="R2854" s="72"/>
      <c r="S2854" s="72"/>
    </row>
    <row r="2855" spans="18:19" x14ac:dyDescent="0.25">
      <c r="R2855" s="72"/>
      <c r="S2855" s="72"/>
    </row>
    <row r="2856" spans="18:19" x14ac:dyDescent="0.25">
      <c r="R2856" s="72"/>
      <c r="S2856" s="72"/>
    </row>
    <row r="2857" spans="18:19" x14ac:dyDescent="0.25">
      <c r="R2857" s="72"/>
      <c r="S2857" s="72"/>
    </row>
    <row r="2858" spans="18:19" x14ac:dyDescent="0.25">
      <c r="R2858" s="72"/>
      <c r="S2858" s="72"/>
    </row>
    <row r="2859" spans="18:19" x14ac:dyDescent="0.25">
      <c r="R2859" s="72"/>
      <c r="S2859" s="72"/>
    </row>
    <row r="2860" spans="18:19" x14ac:dyDescent="0.25">
      <c r="R2860" s="72"/>
      <c r="S2860" s="72"/>
    </row>
    <row r="2861" spans="18:19" x14ac:dyDescent="0.25">
      <c r="R2861" s="72"/>
      <c r="S2861" s="72"/>
    </row>
    <row r="2862" spans="18:19" x14ac:dyDescent="0.25">
      <c r="R2862" s="72"/>
      <c r="S2862" s="72"/>
    </row>
    <row r="2863" spans="18:19" x14ac:dyDescent="0.25">
      <c r="R2863" s="72"/>
      <c r="S2863" s="72"/>
    </row>
    <row r="2864" spans="18:19" x14ac:dyDescent="0.25">
      <c r="R2864" s="72"/>
      <c r="S2864" s="72"/>
    </row>
    <row r="2865" spans="18:19" x14ac:dyDescent="0.25">
      <c r="R2865" s="72"/>
      <c r="S2865" s="72"/>
    </row>
    <row r="2866" spans="18:19" x14ac:dyDescent="0.25">
      <c r="R2866" s="72"/>
      <c r="S2866" s="72"/>
    </row>
    <row r="2867" spans="18:19" x14ac:dyDescent="0.25">
      <c r="R2867" s="72"/>
      <c r="S2867" s="72"/>
    </row>
    <row r="2868" spans="18:19" x14ac:dyDescent="0.25">
      <c r="R2868" s="72"/>
      <c r="S2868" s="72"/>
    </row>
    <row r="2869" spans="18:19" x14ac:dyDescent="0.25">
      <c r="R2869" s="72"/>
      <c r="S2869" s="72"/>
    </row>
    <row r="2870" spans="18:19" x14ac:dyDescent="0.25">
      <c r="R2870" s="72"/>
      <c r="S2870" s="72"/>
    </row>
    <row r="2871" spans="18:19" x14ac:dyDescent="0.25">
      <c r="R2871" s="72"/>
      <c r="S2871" s="72"/>
    </row>
    <row r="2872" spans="18:19" x14ac:dyDescent="0.25">
      <c r="R2872" s="72"/>
      <c r="S2872" s="72"/>
    </row>
    <row r="2873" spans="18:19" x14ac:dyDescent="0.25">
      <c r="R2873" s="72"/>
      <c r="S2873" s="72"/>
    </row>
    <row r="2874" spans="18:19" x14ac:dyDescent="0.25">
      <c r="R2874" s="72"/>
      <c r="S2874" s="72"/>
    </row>
    <row r="2875" spans="18:19" x14ac:dyDescent="0.25">
      <c r="R2875" s="72"/>
      <c r="S2875" s="72"/>
    </row>
    <row r="2876" spans="18:19" x14ac:dyDescent="0.25">
      <c r="R2876" s="72"/>
      <c r="S2876" s="72"/>
    </row>
    <row r="2877" spans="18:19" x14ac:dyDescent="0.25">
      <c r="R2877" s="72"/>
      <c r="S2877" s="72"/>
    </row>
    <row r="2878" spans="18:19" x14ac:dyDescent="0.25">
      <c r="R2878" s="72"/>
      <c r="S2878" s="72"/>
    </row>
    <row r="2879" spans="18:19" x14ac:dyDescent="0.25">
      <c r="R2879" s="72"/>
      <c r="S2879" s="72"/>
    </row>
    <row r="2880" spans="18:19" x14ac:dyDescent="0.25">
      <c r="R2880" s="72"/>
      <c r="S2880" s="72"/>
    </row>
    <row r="2881" spans="18:19" x14ac:dyDescent="0.25">
      <c r="R2881" s="72"/>
      <c r="S2881" s="72"/>
    </row>
    <row r="2882" spans="18:19" x14ac:dyDescent="0.25">
      <c r="R2882" s="72"/>
      <c r="S2882" s="72"/>
    </row>
    <row r="2883" spans="18:19" x14ac:dyDescent="0.25">
      <c r="R2883" s="72"/>
      <c r="S2883" s="72"/>
    </row>
    <row r="2884" spans="18:19" x14ac:dyDescent="0.25">
      <c r="R2884" s="72"/>
      <c r="S2884" s="72"/>
    </row>
    <row r="2885" spans="18:19" x14ac:dyDescent="0.25">
      <c r="R2885" s="72"/>
      <c r="S2885" s="72"/>
    </row>
    <row r="2886" spans="18:19" x14ac:dyDescent="0.25">
      <c r="R2886" s="72"/>
      <c r="S2886" s="72"/>
    </row>
    <row r="2887" spans="18:19" x14ac:dyDescent="0.25">
      <c r="R2887" s="72"/>
      <c r="S2887" s="72"/>
    </row>
    <row r="2888" spans="18:19" x14ac:dyDescent="0.25">
      <c r="R2888" s="72"/>
      <c r="S2888" s="72"/>
    </row>
    <row r="2889" spans="18:19" x14ac:dyDescent="0.25">
      <c r="R2889" s="72"/>
      <c r="S2889" s="72"/>
    </row>
    <row r="2890" spans="18:19" x14ac:dyDescent="0.25">
      <c r="R2890" s="72"/>
      <c r="S2890" s="72"/>
    </row>
    <row r="2891" spans="18:19" x14ac:dyDescent="0.25">
      <c r="R2891" s="72"/>
      <c r="S2891" s="72"/>
    </row>
    <row r="2892" spans="18:19" x14ac:dyDescent="0.25">
      <c r="R2892" s="72"/>
      <c r="S2892" s="72"/>
    </row>
    <row r="2893" spans="18:19" x14ac:dyDescent="0.25">
      <c r="R2893" s="72"/>
      <c r="S2893" s="72"/>
    </row>
    <row r="2894" spans="18:19" x14ac:dyDescent="0.25">
      <c r="R2894" s="72"/>
      <c r="S2894" s="72"/>
    </row>
    <row r="2895" spans="18:19" x14ac:dyDescent="0.25">
      <c r="R2895" s="72"/>
      <c r="S2895" s="72"/>
    </row>
    <row r="2896" spans="18:19" x14ac:dyDescent="0.25">
      <c r="R2896" s="72"/>
      <c r="S2896" s="72"/>
    </row>
    <row r="2897" spans="18:19" x14ac:dyDescent="0.25">
      <c r="R2897" s="72"/>
      <c r="S2897" s="72"/>
    </row>
    <row r="2898" spans="18:19" x14ac:dyDescent="0.25">
      <c r="R2898" s="72"/>
      <c r="S2898" s="72"/>
    </row>
    <row r="2899" spans="18:19" x14ac:dyDescent="0.25">
      <c r="R2899" s="72"/>
      <c r="S2899" s="72"/>
    </row>
    <row r="2900" spans="18:19" x14ac:dyDescent="0.25">
      <c r="R2900" s="72"/>
      <c r="S2900" s="72"/>
    </row>
    <row r="2901" spans="18:19" x14ac:dyDescent="0.25">
      <c r="R2901" s="72"/>
      <c r="S2901" s="72"/>
    </row>
    <row r="2902" spans="18:19" x14ac:dyDescent="0.25">
      <c r="R2902" s="72"/>
      <c r="S2902" s="72"/>
    </row>
    <row r="2903" spans="18:19" x14ac:dyDescent="0.25">
      <c r="R2903" s="72"/>
      <c r="S2903" s="72"/>
    </row>
    <row r="2904" spans="18:19" x14ac:dyDescent="0.25">
      <c r="R2904" s="72"/>
      <c r="S2904" s="72"/>
    </row>
    <row r="2905" spans="18:19" x14ac:dyDescent="0.25">
      <c r="R2905" s="72"/>
      <c r="S2905" s="72"/>
    </row>
    <row r="2906" spans="18:19" x14ac:dyDescent="0.25">
      <c r="R2906" s="72"/>
      <c r="S2906" s="72"/>
    </row>
    <row r="2907" spans="18:19" x14ac:dyDescent="0.25">
      <c r="R2907" s="72"/>
      <c r="S2907" s="72"/>
    </row>
    <row r="2908" spans="18:19" x14ac:dyDescent="0.25">
      <c r="R2908" s="72"/>
      <c r="S2908" s="72"/>
    </row>
    <row r="2909" spans="18:19" x14ac:dyDescent="0.25">
      <c r="R2909" s="72"/>
      <c r="S2909" s="72"/>
    </row>
    <row r="2910" spans="18:19" x14ac:dyDescent="0.25">
      <c r="R2910" s="72"/>
      <c r="S2910" s="72"/>
    </row>
    <row r="2911" spans="18:19" x14ac:dyDescent="0.25">
      <c r="R2911" s="72"/>
      <c r="S2911" s="72"/>
    </row>
    <row r="2912" spans="18:19" x14ac:dyDescent="0.25">
      <c r="R2912" s="72"/>
      <c r="S2912" s="72"/>
    </row>
    <row r="2913" spans="18:19" x14ac:dyDescent="0.25">
      <c r="R2913" s="72"/>
      <c r="S2913" s="72"/>
    </row>
    <row r="2914" spans="18:19" x14ac:dyDescent="0.25">
      <c r="R2914" s="72"/>
      <c r="S2914" s="72"/>
    </row>
    <row r="2915" spans="18:19" x14ac:dyDescent="0.25">
      <c r="R2915" s="72"/>
      <c r="S2915" s="72"/>
    </row>
    <row r="2916" spans="18:19" x14ac:dyDescent="0.25">
      <c r="R2916" s="72"/>
      <c r="S2916" s="72"/>
    </row>
    <row r="2917" spans="18:19" x14ac:dyDescent="0.25">
      <c r="R2917" s="72"/>
      <c r="S2917" s="72"/>
    </row>
    <row r="2918" spans="18:19" x14ac:dyDescent="0.25">
      <c r="R2918" s="72"/>
      <c r="S2918" s="72"/>
    </row>
    <row r="2919" spans="18:19" x14ac:dyDescent="0.25">
      <c r="R2919" s="72"/>
      <c r="S2919" s="72"/>
    </row>
    <row r="2920" spans="18:19" x14ac:dyDescent="0.25">
      <c r="R2920" s="72"/>
      <c r="S2920" s="72"/>
    </row>
    <row r="2921" spans="18:19" x14ac:dyDescent="0.25">
      <c r="R2921" s="72"/>
      <c r="S2921" s="72"/>
    </row>
    <row r="2922" spans="18:19" x14ac:dyDescent="0.25">
      <c r="R2922" s="72"/>
      <c r="S2922" s="72"/>
    </row>
    <row r="2923" spans="18:19" x14ac:dyDescent="0.25">
      <c r="R2923" s="72"/>
      <c r="S2923" s="72"/>
    </row>
    <row r="2924" spans="18:19" x14ac:dyDescent="0.25">
      <c r="R2924" s="72"/>
      <c r="S2924" s="72"/>
    </row>
    <row r="2925" spans="18:19" x14ac:dyDescent="0.25">
      <c r="R2925" s="72"/>
      <c r="S2925" s="72"/>
    </row>
    <row r="2926" spans="18:19" x14ac:dyDescent="0.25">
      <c r="R2926" s="72"/>
      <c r="S2926" s="72"/>
    </row>
    <row r="2927" spans="18:19" x14ac:dyDescent="0.25">
      <c r="R2927" s="72"/>
      <c r="S2927" s="72"/>
    </row>
    <row r="2928" spans="18:19" x14ac:dyDescent="0.25">
      <c r="R2928" s="72"/>
      <c r="S2928" s="72"/>
    </row>
    <row r="2929" spans="18:19" x14ac:dyDescent="0.25">
      <c r="R2929" s="72"/>
      <c r="S2929" s="72"/>
    </row>
    <row r="2930" spans="18:19" x14ac:dyDescent="0.25">
      <c r="R2930" s="72"/>
      <c r="S2930" s="72"/>
    </row>
    <row r="2931" spans="18:19" x14ac:dyDescent="0.25">
      <c r="R2931" s="72"/>
      <c r="S2931" s="72"/>
    </row>
    <row r="2932" spans="18:19" x14ac:dyDescent="0.25">
      <c r="R2932" s="72"/>
      <c r="S2932" s="72"/>
    </row>
    <row r="2933" spans="18:19" x14ac:dyDescent="0.25">
      <c r="R2933" s="72"/>
      <c r="S2933" s="72"/>
    </row>
    <row r="2934" spans="18:19" x14ac:dyDescent="0.25">
      <c r="R2934" s="72"/>
      <c r="S2934" s="72"/>
    </row>
    <row r="2935" spans="18:19" x14ac:dyDescent="0.25">
      <c r="R2935" s="72"/>
      <c r="S2935" s="72"/>
    </row>
    <row r="2936" spans="18:19" x14ac:dyDescent="0.25">
      <c r="R2936" s="72"/>
      <c r="S2936" s="72"/>
    </row>
    <row r="2937" spans="18:19" x14ac:dyDescent="0.25">
      <c r="R2937" s="72"/>
      <c r="S2937" s="72"/>
    </row>
    <row r="2938" spans="18:19" x14ac:dyDescent="0.25">
      <c r="R2938" s="72"/>
      <c r="S2938" s="72"/>
    </row>
    <row r="2939" spans="18:19" x14ac:dyDescent="0.25">
      <c r="R2939" s="72"/>
      <c r="S2939" s="72"/>
    </row>
    <row r="2940" spans="18:19" x14ac:dyDescent="0.25">
      <c r="R2940" s="72"/>
      <c r="S2940" s="72"/>
    </row>
    <row r="2941" spans="18:19" x14ac:dyDescent="0.25">
      <c r="R2941" s="72"/>
      <c r="S2941" s="72"/>
    </row>
    <row r="2942" spans="18:19" x14ac:dyDescent="0.25">
      <c r="R2942" s="72"/>
      <c r="S2942" s="72"/>
    </row>
    <row r="2943" spans="18:19" x14ac:dyDescent="0.25">
      <c r="R2943" s="72"/>
      <c r="S2943" s="72"/>
    </row>
    <row r="2944" spans="18:19" x14ac:dyDescent="0.25">
      <c r="R2944" s="72"/>
      <c r="S2944" s="72"/>
    </row>
    <row r="2945" spans="18:19" x14ac:dyDescent="0.25">
      <c r="R2945" s="72"/>
      <c r="S2945" s="72"/>
    </row>
    <row r="2946" spans="18:19" x14ac:dyDescent="0.25">
      <c r="R2946" s="72"/>
      <c r="S2946" s="72"/>
    </row>
    <row r="2947" spans="18:19" x14ac:dyDescent="0.25">
      <c r="R2947" s="72"/>
      <c r="S2947" s="72"/>
    </row>
    <row r="2948" spans="18:19" x14ac:dyDescent="0.25">
      <c r="R2948" s="72"/>
      <c r="S2948" s="72"/>
    </row>
    <row r="2949" spans="18:19" x14ac:dyDescent="0.25">
      <c r="R2949" s="72"/>
      <c r="S2949" s="72"/>
    </row>
    <row r="2950" spans="18:19" x14ac:dyDescent="0.25">
      <c r="R2950" s="72"/>
      <c r="S2950" s="72"/>
    </row>
    <row r="2951" spans="18:19" x14ac:dyDescent="0.25">
      <c r="R2951" s="72"/>
      <c r="S2951" s="72"/>
    </row>
    <row r="2952" spans="18:19" x14ac:dyDescent="0.25">
      <c r="R2952" s="72"/>
      <c r="S2952" s="72"/>
    </row>
    <row r="2953" spans="18:19" x14ac:dyDescent="0.25">
      <c r="R2953" s="72"/>
      <c r="S2953" s="72"/>
    </row>
    <row r="2954" spans="18:19" x14ac:dyDescent="0.25">
      <c r="R2954" s="72"/>
      <c r="S2954" s="72"/>
    </row>
    <row r="2955" spans="18:19" x14ac:dyDescent="0.25">
      <c r="R2955" s="72"/>
      <c r="S2955" s="72"/>
    </row>
    <row r="2956" spans="18:19" x14ac:dyDescent="0.25">
      <c r="R2956" s="72"/>
      <c r="S2956" s="72"/>
    </row>
    <row r="2957" spans="18:19" x14ac:dyDescent="0.25">
      <c r="R2957" s="72"/>
      <c r="S2957" s="72"/>
    </row>
    <row r="2958" spans="18:19" x14ac:dyDescent="0.25">
      <c r="R2958" s="72"/>
      <c r="S2958" s="72"/>
    </row>
    <row r="2959" spans="18:19" x14ac:dyDescent="0.25">
      <c r="R2959" s="72"/>
      <c r="S2959" s="72"/>
    </row>
    <row r="2960" spans="18:19" x14ac:dyDescent="0.25">
      <c r="R2960" s="72"/>
      <c r="S2960" s="72"/>
    </row>
    <row r="2961" spans="18:19" x14ac:dyDescent="0.25">
      <c r="R2961" s="72"/>
      <c r="S2961" s="72"/>
    </row>
    <row r="2962" spans="18:19" x14ac:dyDescent="0.25">
      <c r="R2962" s="72"/>
      <c r="S2962" s="72"/>
    </row>
    <row r="2963" spans="18:19" x14ac:dyDescent="0.25">
      <c r="R2963" s="72"/>
      <c r="S2963" s="72"/>
    </row>
    <row r="2964" spans="18:19" x14ac:dyDescent="0.25">
      <c r="R2964" s="72"/>
      <c r="S2964" s="72"/>
    </row>
    <row r="2965" spans="18:19" x14ac:dyDescent="0.25">
      <c r="R2965" s="72"/>
      <c r="S2965" s="72"/>
    </row>
    <row r="2966" spans="18:19" x14ac:dyDescent="0.25">
      <c r="R2966" s="72"/>
      <c r="S2966" s="72"/>
    </row>
    <row r="2967" spans="18:19" x14ac:dyDescent="0.25">
      <c r="R2967" s="72"/>
      <c r="S2967" s="72"/>
    </row>
    <row r="2968" spans="18:19" x14ac:dyDescent="0.25">
      <c r="R2968" s="72"/>
      <c r="S2968" s="72"/>
    </row>
    <row r="2969" spans="18:19" x14ac:dyDescent="0.25">
      <c r="R2969" s="72"/>
      <c r="S2969" s="72"/>
    </row>
    <row r="2970" spans="18:19" x14ac:dyDescent="0.25">
      <c r="R2970" s="72"/>
      <c r="S2970" s="72"/>
    </row>
    <row r="2971" spans="18:19" x14ac:dyDescent="0.25">
      <c r="R2971" s="72"/>
      <c r="S2971" s="72"/>
    </row>
    <row r="2972" spans="18:19" x14ac:dyDescent="0.25">
      <c r="R2972" s="72"/>
      <c r="S2972" s="72"/>
    </row>
    <row r="2973" spans="18:19" x14ac:dyDescent="0.25">
      <c r="R2973" s="72"/>
      <c r="S2973" s="72"/>
    </row>
    <row r="2974" spans="18:19" x14ac:dyDescent="0.25">
      <c r="R2974" s="72"/>
      <c r="S2974" s="72"/>
    </row>
    <row r="2975" spans="18:19" x14ac:dyDescent="0.25">
      <c r="R2975" s="72"/>
      <c r="S2975" s="72"/>
    </row>
    <row r="2976" spans="18:19" x14ac:dyDescent="0.25">
      <c r="R2976" s="72"/>
      <c r="S2976" s="72"/>
    </row>
    <row r="2977" spans="18:19" x14ac:dyDescent="0.25">
      <c r="R2977" s="72"/>
      <c r="S2977" s="72"/>
    </row>
    <row r="2978" spans="18:19" x14ac:dyDescent="0.25">
      <c r="R2978" s="72"/>
      <c r="S2978" s="72"/>
    </row>
    <row r="2979" spans="18:19" x14ac:dyDescent="0.25">
      <c r="R2979" s="72"/>
      <c r="S2979" s="72"/>
    </row>
    <row r="2980" spans="18:19" x14ac:dyDescent="0.25">
      <c r="R2980" s="72"/>
      <c r="S2980" s="72"/>
    </row>
    <row r="2981" spans="18:19" x14ac:dyDescent="0.25">
      <c r="R2981" s="72"/>
      <c r="S2981" s="72"/>
    </row>
    <row r="2982" spans="18:19" x14ac:dyDescent="0.25">
      <c r="R2982" s="72"/>
      <c r="S2982" s="72"/>
    </row>
    <row r="2983" spans="18:19" x14ac:dyDescent="0.25">
      <c r="R2983" s="72"/>
      <c r="S2983" s="72"/>
    </row>
    <row r="2984" spans="18:19" x14ac:dyDescent="0.25">
      <c r="R2984" s="72"/>
      <c r="S2984" s="72"/>
    </row>
    <row r="2985" spans="18:19" x14ac:dyDescent="0.25">
      <c r="R2985" s="72"/>
      <c r="S2985" s="72"/>
    </row>
    <row r="2986" spans="18:19" x14ac:dyDescent="0.25">
      <c r="R2986" s="72"/>
      <c r="S2986" s="72"/>
    </row>
    <row r="2987" spans="18:19" x14ac:dyDescent="0.25">
      <c r="R2987" s="72"/>
      <c r="S2987" s="72"/>
    </row>
    <row r="2988" spans="18:19" x14ac:dyDescent="0.25">
      <c r="R2988" s="72"/>
      <c r="S2988" s="72"/>
    </row>
    <row r="2989" spans="18:19" x14ac:dyDescent="0.25">
      <c r="R2989" s="72"/>
      <c r="S2989" s="72"/>
    </row>
    <row r="2990" spans="18:19" x14ac:dyDescent="0.25">
      <c r="R2990" s="72"/>
      <c r="S2990" s="72"/>
    </row>
    <row r="2991" spans="18:19" x14ac:dyDescent="0.25">
      <c r="R2991" s="72"/>
      <c r="S2991" s="72"/>
    </row>
    <row r="2992" spans="18:19" x14ac:dyDescent="0.25">
      <c r="R2992" s="72"/>
      <c r="S2992" s="72"/>
    </row>
    <row r="2993" spans="18:19" x14ac:dyDescent="0.25">
      <c r="R2993" s="72"/>
      <c r="S2993" s="72"/>
    </row>
    <row r="2994" spans="18:19" x14ac:dyDescent="0.25">
      <c r="R2994" s="72"/>
      <c r="S2994" s="72"/>
    </row>
    <row r="2995" spans="18:19" x14ac:dyDescent="0.25">
      <c r="R2995" s="72"/>
      <c r="S2995" s="72"/>
    </row>
    <row r="2996" spans="18:19" x14ac:dyDescent="0.25">
      <c r="R2996" s="72"/>
      <c r="S2996" s="72"/>
    </row>
    <row r="2997" spans="18:19" x14ac:dyDescent="0.25">
      <c r="R2997" s="72"/>
      <c r="S2997" s="72"/>
    </row>
    <row r="2998" spans="18:19" x14ac:dyDescent="0.25">
      <c r="R2998" s="72"/>
      <c r="S2998" s="72"/>
    </row>
    <row r="2999" spans="18:19" x14ac:dyDescent="0.25">
      <c r="R2999" s="72"/>
      <c r="S2999" s="72"/>
    </row>
    <row r="3000" spans="18:19" x14ac:dyDescent="0.25">
      <c r="R3000" s="72"/>
      <c r="S3000" s="72"/>
    </row>
    <row r="3001" spans="18:19" x14ac:dyDescent="0.25">
      <c r="R3001" s="72"/>
      <c r="S3001" s="72"/>
    </row>
    <row r="3002" spans="18:19" x14ac:dyDescent="0.25">
      <c r="R3002" s="72"/>
      <c r="S3002" s="72"/>
    </row>
    <row r="3003" spans="18:19" x14ac:dyDescent="0.25">
      <c r="R3003" s="72"/>
      <c r="S3003" s="72"/>
    </row>
    <row r="3004" spans="18:19" x14ac:dyDescent="0.25">
      <c r="R3004" s="72"/>
      <c r="S3004" s="72"/>
    </row>
    <row r="3005" spans="18:19" x14ac:dyDescent="0.25">
      <c r="R3005" s="72"/>
      <c r="S3005" s="72"/>
    </row>
    <row r="3006" spans="18:19" x14ac:dyDescent="0.25">
      <c r="R3006" s="72"/>
      <c r="S3006" s="72"/>
    </row>
    <row r="3007" spans="18:19" x14ac:dyDescent="0.25">
      <c r="R3007" s="72"/>
      <c r="S3007" s="72"/>
    </row>
    <row r="3008" spans="18:19" x14ac:dyDescent="0.25">
      <c r="R3008" s="72"/>
      <c r="S3008" s="72"/>
    </row>
    <row r="3009" spans="18:19" x14ac:dyDescent="0.25">
      <c r="R3009" s="72"/>
      <c r="S3009" s="72"/>
    </row>
    <row r="3010" spans="18:19" x14ac:dyDescent="0.25">
      <c r="R3010" s="72"/>
      <c r="S3010" s="72"/>
    </row>
    <row r="3011" spans="18:19" x14ac:dyDescent="0.25">
      <c r="R3011" s="72"/>
      <c r="S3011" s="72"/>
    </row>
    <row r="3012" spans="18:19" x14ac:dyDescent="0.25">
      <c r="R3012" s="72"/>
      <c r="S3012" s="72"/>
    </row>
    <row r="3013" spans="18:19" x14ac:dyDescent="0.25">
      <c r="R3013" s="72"/>
      <c r="S3013" s="72"/>
    </row>
    <row r="3014" spans="18:19" x14ac:dyDescent="0.25">
      <c r="R3014" s="72"/>
      <c r="S3014" s="72"/>
    </row>
    <row r="3015" spans="18:19" x14ac:dyDescent="0.25">
      <c r="R3015" s="72"/>
      <c r="S3015" s="72"/>
    </row>
    <row r="3016" spans="18:19" x14ac:dyDescent="0.25">
      <c r="R3016" s="72"/>
      <c r="S3016" s="72"/>
    </row>
    <row r="3017" spans="18:19" x14ac:dyDescent="0.25">
      <c r="R3017" s="72"/>
      <c r="S3017" s="72"/>
    </row>
    <row r="3018" spans="18:19" x14ac:dyDescent="0.25">
      <c r="R3018" s="72"/>
      <c r="S3018" s="72"/>
    </row>
    <row r="3019" spans="18:19" x14ac:dyDescent="0.25">
      <c r="R3019" s="72"/>
      <c r="S3019" s="72"/>
    </row>
    <row r="3020" spans="18:19" x14ac:dyDescent="0.25">
      <c r="R3020" s="72"/>
      <c r="S3020" s="72"/>
    </row>
    <row r="3021" spans="18:19" x14ac:dyDescent="0.25">
      <c r="R3021" s="72"/>
      <c r="S3021" s="72"/>
    </row>
    <row r="3022" spans="18:19" x14ac:dyDescent="0.25">
      <c r="R3022" s="72"/>
      <c r="S3022" s="72"/>
    </row>
    <row r="3023" spans="18:19" x14ac:dyDescent="0.25">
      <c r="R3023" s="72"/>
      <c r="S3023" s="72"/>
    </row>
    <row r="3024" spans="18:19" x14ac:dyDescent="0.25">
      <c r="R3024" s="72"/>
      <c r="S3024" s="72"/>
    </row>
    <row r="3025" spans="18:19" x14ac:dyDescent="0.25">
      <c r="R3025" s="72"/>
      <c r="S3025" s="72"/>
    </row>
    <row r="3026" spans="18:19" x14ac:dyDescent="0.25">
      <c r="R3026" s="72"/>
      <c r="S3026" s="72"/>
    </row>
    <row r="3027" spans="18:19" x14ac:dyDescent="0.25">
      <c r="R3027" s="72"/>
      <c r="S3027" s="72"/>
    </row>
    <row r="3028" spans="18:19" x14ac:dyDescent="0.25">
      <c r="R3028" s="72"/>
      <c r="S3028" s="72"/>
    </row>
    <row r="3029" spans="18:19" x14ac:dyDescent="0.25">
      <c r="R3029" s="72"/>
      <c r="S3029" s="72"/>
    </row>
    <row r="3030" spans="18:19" x14ac:dyDescent="0.25">
      <c r="R3030" s="72"/>
      <c r="S3030" s="72"/>
    </row>
    <row r="3031" spans="18:19" x14ac:dyDescent="0.25">
      <c r="R3031" s="72"/>
      <c r="S3031" s="72"/>
    </row>
    <row r="3032" spans="18:19" x14ac:dyDescent="0.25">
      <c r="R3032" s="72"/>
      <c r="S3032" s="72"/>
    </row>
    <row r="3033" spans="18:19" x14ac:dyDescent="0.25">
      <c r="R3033" s="72"/>
      <c r="S3033" s="72"/>
    </row>
    <row r="3034" spans="18:19" x14ac:dyDescent="0.25">
      <c r="R3034" s="72"/>
      <c r="S3034" s="72"/>
    </row>
    <row r="3035" spans="18:19" x14ac:dyDescent="0.25">
      <c r="R3035" s="72"/>
      <c r="S3035" s="72"/>
    </row>
    <row r="3036" spans="18:19" x14ac:dyDescent="0.25">
      <c r="R3036" s="72"/>
      <c r="S3036" s="72"/>
    </row>
    <row r="3037" spans="18:19" x14ac:dyDescent="0.25">
      <c r="R3037" s="72"/>
      <c r="S3037" s="72"/>
    </row>
    <row r="3038" spans="18:19" x14ac:dyDescent="0.25">
      <c r="R3038" s="72"/>
      <c r="S3038" s="72"/>
    </row>
    <row r="3039" spans="18:19" x14ac:dyDescent="0.25">
      <c r="R3039" s="72"/>
      <c r="S3039" s="72"/>
    </row>
    <row r="3040" spans="18:19" x14ac:dyDescent="0.25">
      <c r="R3040" s="72"/>
      <c r="S3040" s="72"/>
    </row>
    <row r="3041" spans="18:19" x14ac:dyDescent="0.25">
      <c r="R3041" s="72"/>
      <c r="S3041" s="72"/>
    </row>
    <row r="3042" spans="18:19" x14ac:dyDescent="0.25">
      <c r="R3042" s="72"/>
      <c r="S3042" s="72"/>
    </row>
    <row r="3043" spans="18:19" x14ac:dyDescent="0.25">
      <c r="R3043" s="72"/>
      <c r="S3043" s="72"/>
    </row>
    <row r="3044" spans="18:19" x14ac:dyDescent="0.25">
      <c r="R3044" s="72"/>
      <c r="S3044" s="72"/>
    </row>
    <row r="3045" spans="18:19" x14ac:dyDescent="0.25">
      <c r="R3045" s="72"/>
      <c r="S3045" s="72"/>
    </row>
    <row r="3046" spans="18:19" x14ac:dyDescent="0.25">
      <c r="R3046" s="72"/>
      <c r="S3046" s="72"/>
    </row>
    <row r="3047" spans="18:19" x14ac:dyDescent="0.25">
      <c r="R3047" s="72"/>
      <c r="S3047" s="72"/>
    </row>
    <row r="3048" spans="18:19" x14ac:dyDescent="0.25">
      <c r="R3048" s="72"/>
      <c r="S3048" s="72"/>
    </row>
    <row r="3049" spans="18:19" x14ac:dyDescent="0.25">
      <c r="R3049" s="72"/>
      <c r="S3049" s="72"/>
    </row>
    <row r="3050" spans="18:19" x14ac:dyDescent="0.25">
      <c r="R3050" s="72"/>
      <c r="S3050" s="72"/>
    </row>
    <row r="3051" spans="18:19" x14ac:dyDescent="0.25">
      <c r="R3051" s="72"/>
      <c r="S3051" s="72"/>
    </row>
    <row r="3052" spans="18:19" x14ac:dyDescent="0.25">
      <c r="R3052" s="72"/>
      <c r="S3052" s="72"/>
    </row>
    <row r="3053" spans="18:19" x14ac:dyDescent="0.25">
      <c r="R3053" s="72"/>
      <c r="S3053" s="72"/>
    </row>
    <row r="3054" spans="18:19" x14ac:dyDescent="0.25">
      <c r="R3054" s="72"/>
      <c r="S3054" s="72"/>
    </row>
    <row r="3055" spans="18:19" x14ac:dyDescent="0.25">
      <c r="R3055" s="72"/>
      <c r="S3055" s="72"/>
    </row>
    <row r="3056" spans="18:19" x14ac:dyDescent="0.25">
      <c r="R3056" s="72"/>
      <c r="S3056" s="72"/>
    </row>
    <row r="3057" spans="18:19" x14ac:dyDescent="0.25">
      <c r="R3057" s="72"/>
      <c r="S3057" s="72"/>
    </row>
    <row r="3058" spans="18:19" x14ac:dyDescent="0.25">
      <c r="R3058" s="72"/>
      <c r="S3058" s="72"/>
    </row>
    <row r="3059" spans="18:19" x14ac:dyDescent="0.25">
      <c r="R3059" s="72"/>
      <c r="S3059" s="72"/>
    </row>
    <row r="3060" spans="18:19" x14ac:dyDescent="0.25">
      <c r="R3060" s="72"/>
      <c r="S3060" s="72"/>
    </row>
    <row r="3061" spans="18:19" x14ac:dyDescent="0.25">
      <c r="R3061" s="72"/>
      <c r="S3061" s="72"/>
    </row>
    <row r="3062" spans="18:19" x14ac:dyDescent="0.25">
      <c r="R3062" s="72"/>
      <c r="S3062" s="72"/>
    </row>
    <row r="3063" spans="18:19" x14ac:dyDescent="0.25">
      <c r="R3063" s="72"/>
      <c r="S3063" s="72"/>
    </row>
    <row r="3064" spans="18:19" x14ac:dyDescent="0.25">
      <c r="R3064" s="72"/>
      <c r="S3064" s="72"/>
    </row>
    <row r="3065" spans="18:19" x14ac:dyDescent="0.25">
      <c r="R3065" s="72"/>
      <c r="S3065" s="72"/>
    </row>
    <row r="3066" spans="18:19" x14ac:dyDescent="0.25">
      <c r="R3066" s="72"/>
      <c r="S3066" s="72"/>
    </row>
    <row r="3067" spans="18:19" x14ac:dyDescent="0.25">
      <c r="R3067" s="72"/>
      <c r="S3067" s="72"/>
    </row>
    <row r="3068" spans="18:19" x14ac:dyDescent="0.25">
      <c r="R3068" s="72"/>
      <c r="S3068" s="72"/>
    </row>
    <row r="3069" spans="18:19" x14ac:dyDescent="0.25">
      <c r="R3069" s="72"/>
      <c r="S3069" s="72"/>
    </row>
    <row r="3070" spans="18:19" x14ac:dyDescent="0.25">
      <c r="R3070" s="72"/>
      <c r="S3070" s="72"/>
    </row>
    <row r="3071" spans="18:19" x14ac:dyDescent="0.25">
      <c r="R3071" s="72"/>
      <c r="S3071" s="72"/>
    </row>
    <row r="3072" spans="18:19" x14ac:dyDescent="0.25">
      <c r="R3072" s="72"/>
      <c r="S3072" s="72"/>
    </row>
    <row r="3073" spans="18:19" x14ac:dyDescent="0.25">
      <c r="R3073" s="72"/>
      <c r="S3073" s="72"/>
    </row>
    <row r="3074" spans="18:19" x14ac:dyDescent="0.25">
      <c r="R3074" s="72"/>
      <c r="S3074" s="72"/>
    </row>
    <row r="3075" spans="18:19" x14ac:dyDescent="0.25">
      <c r="R3075" s="72"/>
      <c r="S3075" s="72"/>
    </row>
    <row r="3076" spans="18:19" x14ac:dyDescent="0.25">
      <c r="R3076" s="72"/>
      <c r="S3076" s="72"/>
    </row>
    <row r="3077" spans="18:19" x14ac:dyDescent="0.25">
      <c r="R3077" s="72"/>
      <c r="S3077" s="72"/>
    </row>
    <row r="3078" spans="18:19" x14ac:dyDescent="0.25">
      <c r="R3078" s="72"/>
      <c r="S3078" s="72"/>
    </row>
    <row r="3079" spans="18:19" x14ac:dyDescent="0.25">
      <c r="R3079" s="72"/>
      <c r="S3079" s="72"/>
    </row>
    <row r="3080" spans="18:19" x14ac:dyDescent="0.25">
      <c r="R3080" s="72"/>
      <c r="S3080" s="72"/>
    </row>
    <row r="3081" spans="18:19" x14ac:dyDescent="0.25">
      <c r="R3081" s="72"/>
      <c r="S3081" s="72"/>
    </row>
    <row r="3082" spans="18:19" x14ac:dyDescent="0.25">
      <c r="R3082" s="72"/>
      <c r="S3082" s="72"/>
    </row>
    <row r="3083" spans="18:19" x14ac:dyDescent="0.25">
      <c r="R3083" s="72"/>
      <c r="S3083" s="72"/>
    </row>
    <row r="3084" spans="18:19" x14ac:dyDescent="0.25">
      <c r="R3084" s="72"/>
      <c r="S3084" s="72"/>
    </row>
    <row r="3085" spans="18:19" x14ac:dyDescent="0.25">
      <c r="R3085" s="72"/>
      <c r="S3085" s="72"/>
    </row>
    <row r="3086" spans="18:19" x14ac:dyDescent="0.25">
      <c r="R3086" s="72"/>
      <c r="S3086" s="72"/>
    </row>
    <row r="3087" spans="18:19" x14ac:dyDescent="0.25">
      <c r="R3087" s="72"/>
      <c r="S3087" s="72"/>
    </row>
    <row r="3088" spans="18:19" x14ac:dyDescent="0.25">
      <c r="R3088" s="72"/>
      <c r="S3088" s="72"/>
    </row>
    <row r="3089" spans="18:19" x14ac:dyDescent="0.25">
      <c r="R3089" s="72"/>
      <c r="S3089" s="72"/>
    </row>
    <row r="3090" spans="18:19" x14ac:dyDescent="0.25">
      <c r="R3090" s="72"/>
      <c r="S3090" s="72"/>
    </row>
    <row r="3091" spans="18:19" x14ac:dyDescent="0.25">
      <c r="R3091" s="72"/>
      <c r="S3091" s="72"/>
    </row>
    <row r="3092" spans="18:19" x14ac:dyDescent="0.25">
      <c r="R3092" s="72"/>
      <c r="S3092" s="72"/>
    </row>
    <row r="3093" spans="18:19" x14ac:dyDescent="0.25">
      <c r="R3093" s="72"/>
      <c r="S3093" s="72"/>
    </row>
    <row r="3094" spans="18:19" x14ac:dyDescent="0.25">
      <c r="R3094" s="72"/>
      <c r="S3094" s="72"/>
    </row>
    <row r="3095" spans="18:19" x14ac:dyDescent="0.25">
      <c r="R3095" s="72"/>
      <c r="S3095" s="72"/>
    </row>
    <row r="3096" spans="18:19" x14ac:dyDescent="0.25">
      <c r="R3096" s="72"/>
      <c r="S3096" s="72"/>
    </row>
    <row r="3097" spans="18:19" x14ac:dyDescent="0.25">
      <c r="R3097" s="72"/>
      <c r="S3097" s="72"/>
    </row>
    <row r="3098" spans="18:19" x14ac:dyDescent="0.25">
      <c r="R3098" s="72"/>
      <c r="S3098" s="72"/>
    </row>
    <row r="3099" spans="18:19" x14ac:dyDescent="0.25">
      <c r="R3099" s="72"/>
      <c r="S3099" s="72"/>
    </row>
    <row r="3100" spans="18:19" x14ac:dyDescent="0.25">
      <c r="R3100" s="72"/>
      <c r="S3100" s="72"/>
    </row>
    <row r="3101" spans="18:19" x14ac:dyDescent="0.25">
      <c r="R3101" s="72"/>
      <c r="S3101" s="72"/>
    </row>
    <row r="3102" spans="18:19" x14ac:dyDescent="0.25">
      <c r="R3102" s="72"/>
      <c r="S3102" s="72"/>
    </row>
    <row r="3103" spans="18:19" x14ac:dyDescent="0.25">
      <c r="R3103" s="72"/>
      <c r="S3103" s="72"/>
    </row>
    <row r="3104" spans="18:19" x14ac:dyDescent="0.25">
      <c r="R3104" s="72"/>
      <c r="S3104" s="72"/>
    </row>
    <row r="3105" spans="18:19" x14ac:dyDescent="0.25">
      <c r="R3105" s="72"/>
      <c r="S3105" s="72"/>
    </row>
    <row r="3106" spans="18:19" x14ac:dyDescent="0.25">
      <c r="R3106" s="72"/>
      <c r="S3106" s="72"/>
    </row>
    <row r="3107" spans="18:19" x14ac:dyDescent="0.25">
      <c r="R3107" s="72"/>
      <c r="S3107" s="72"/>
    </row>
    <row r="3108" spans="18:19" x14ac:dyDescent="0.25">
      <c r="R3108" s="72"/>
      <c r="S3108" s="72"/>
    </row>
    <row r="3109" spans="18:19" x14ac:dyDescent="0.25">
      <c r="R3109" s="72"/>
      <c r="S3109" s="72"/>
    </row>
    <row r="3110" spans="18:19" x14ac:dyDescent="0.25">
      <c r="R3110" s="72"/>
      <c r="S3110" s="72"/>
    </row>
    <row r="3111" spans="18:19" x14ac:dyDescent="0.25">
      <c r="R3111" s="72"/>
      <c r="S3111" s="72"/>
    </row>
    <row r="3112" spans="18:19" x14ac:dyDescent="0.25">
      <c r="R3112" s="72"/>
      <c r="S3112" s="72"/>
    </row>
    <row r="3113" spans="18:19" x14ac:dyDescent="0.25">
      <c r="R3113" s="72"/>
      <c r="S3113" s="72"/>
    </row>
    <row r="3114" spans="18:19" x14ac:dyDescent="0.25">
      <c r="R3114" s="72"/>
      <c r="S3114" s="72"/>
    </row>
    <row r="3115" spans="18:19" x14ac:dyDescent="0.25">
      <c r="R3115" s="72"/>
      <c r="S3115" s="72"/>
    </row>
    <row r="3116" spans="18:19" x14ac:dyDescent="0.25">
      <c r="R3116" s="72"/>
      <c r="S3116" s="72"/>
    </row>
    <row r="3117" spans="18:19" x14ac:dyDescent="0.25">
      <c r="R3117" s="72"/>
      <c r="S3117" s="72"/>
    </row>
    <row r="3118" spans="18:19" x14ac:dyDescent="0.25">
      <c r="R3118" s="72"/>
      <c r="S3118" s="72"/>
    </row>
    <row r="3119" spans="18:19" x14ac:dyDescent="0.25">
      <c r="R3119" s="72"/>
      <c r="S3119" s="72"/>
    </row>
    <row r="3120" spans="18:19" x14ac:dyDescent="0.25">
      <c r="R3120" s="72"/>
      <c r="S3120" s="72"/>
    </row>
    <row r="3121" spans="18:19" x14ac:dyDescent="0.25">
      <c r="R3121" s="72"/>
      <c r="S3121" s="72"/>
    </row>
    <row r="3122" spans="18:19" x14ac:dyDescent="0.25">
      <c r="R3122" s="72"/>
      <c r="S3122" s="72"/>
    </row>
    <row r="3123" spans="18:19" x14ac:dyDescent="0.25">
      <c r="R3123" s="72"/>
      <c r="S3123" s="72"/>
    </row>
    <row r="3124" spans="18:19" x14ac:dyDescent="0.25">
      <c r="R3124" s="72"/>
      <c r="S3124" s="72"/>
    </row>
    <row r="3125" spans="18:19" x14ac:dyDescent="0.25">
      <c r="R3125" s="72"/>
      <c r="S3125" s="72"/>
    </row>
    <row r="3126" spans="18:19" x14ac:dyDescent="0.25">
      <c r="R3126" s="72"/>
      <c r="S3126" s="72"/>
    </row>
    <row r="3127" spans="18:19" x14ac:dyDescent="0.25">
      <c r="R3127" s="72"/>
      <c r="S3127" s="72"/>
    </row>
    <row r="3128" spans="18:19" x14ac:dyDescent="0.25">
      <c r="R3128" s="72"/>
      <c r="S3128" s="72"/>
    </row>
    <row r="3129" spans="18:19" x14ac:dyDescent="0.25">
      <c r="R3129" s="72"/>
      <c r="S3129" s="72"/>
    </row>
    <row r="3130" spans="18:19" x14ac:dyDescent="0.25">
      <c r="R3130" s="72"/>
      <c r="S3130" s="72"/>
    </row>
    <row r="3131" spans="18:19" x14ac:dyDescent="0.25">
      <c r="R3131" s="72"/>
      <c r="S3131" s="72"/>
    </row>
    <row r="3132" spans="18:19" x14ac:dyDescent="0.25">
      <c r="R3132" s="72"/>
      <c r="S3132" s="72"/>
    </row>
    <row r="3133" spans="18:19" x14ac:dyDescent="0.25">
      <c r="R3133" s="72"/>
      <c r="S3133" s="72"/>
    </row>
    <row r="3134" spans="18:19" x14ac:dyDescent="0.25">
      <c r="R3134" s="72"/>
      <c r="S3134" s="72"/>
    </row>
    <row r="3135" spans="18:19" x14ac:dyDescent="0.25">
      <c r="R3135" s="72"/>
      <c r="S3135" s="72"/>
    </row>
    <row r="3136" spans="18:19" x14ac:dyDescent="0.25">
      <c r="R3136" s="72"/>
      <c r="S3136" s="72"/>
    </row>
    <row r="3137" spans="18:19" x14ac:dyDescent="0.25">
      <c r="R3137" s="72"/>
      <c r="S3137" s="72"/>
    </row>
    <row r="3138" spans="18:19" x14ac:dyDescent="0.25">
      <c r="R3138" s="72"/>
      <c r="S3138" s="72"/>
    </row>
    <row r="3139" spans="18:19" x14ac:dyDescent="0.25">
      <c r="R3139" s="72"/>
      <c r="S3139" s="72"/>
    </row>
    <row r="3140" spans="18:19" x14ac:dyDescent="0.25">
      <c r="R3140" s="72"/>
      <c r="S3140" s="72"/>
    </row>
    <row r="3141" spans="18:19" x14ac:dyDescent="0.25">
      <c r="R3141" s="72"/>
      <c r="S3141" s="72"/>
    </row>
    <row r="3142" spans="18:19" x14ac:dyDescent="0.25">
      <c r="R3142" s="72"/>
      <c r="S3142" s="72"/>
    </row>
    <row r="3143" spans="18:19" x14ac:dyDescent="0.25">
      <c r="R3143" s="72"/>
      <c r="S3143" s="72"/>
    </row>
    <row r="3144" spans="18:19" x14ac:dyDescent="0.25">
      <c r="R3144" s="72"/>
      <c r="S3144" s="72"/>
    </row>
    <row r="3145" spans="18:19" x14ac:dyDescent="0.25">
      <c r="R3145" s="72"/>
      <c r="S3145" s="72"/>
    </row>
    <row r="3146" spans="18:19" x14ac:dyDescent="0.25">
      <c r="R3146" s="72"/>
      <c r="S3146" s="72"/>
    </row>
    <row r="3147" spans="18:19" x14ac:dyDescent="0.25">
      <c r="R3147" s="72"/>
      <c r="S3147" s="72"/>
    </row>
    <row r="3148" spans="18:19" x14ac:dyDescent="0.25">
      <c r="R3148" s="72"/>
      <c r="S3148" s="72"/>
    </row>
    <row r="3149" spans="18:19" x14ac:dyDescent="0.25">
      <c r="R3149" s="72"/>
      <c r="S3149" s="72"/>
    </row>
    <row r="3150" spans="18:19" x14ac:dyDescent="0.25">
      <c r="R3150" s="72"/>
      <c r="S3150" s="72"/>
    </row>
    <row r="3151" spans="18:19" x14ac:dyDescent="0.25">
      <c r="R3151" s="72"/>
      <c r="S3151" s="72"/>
    </row>
    <row r="3152" spans="18:19" x14ac:dyDescent="0.25">
      <c r="R3152" s="72"/>
      <c r="S3152" s="72"/>
    </row>
    <row r="3153" spans="18:19" x14ac:dyDescent="0.25">
      <c r="R3153" s="72"/>
      <c r="S3153" s="72"/>
    </row>
    <row r="3154" spans="18:19" x14ac:dyDescent="0.25">
      <c r="R3154" s="72"/>
      <c r="S3154" s="72"/>
    </row>
    <row r="3155" spans="18:19" x14ac:dyDescent="0.25">
      <c r="R3155" s="72"/>
      <c r="S3155" s="72"/>
    </row>
    <row r="3156" spans="18:19" x14ac:dyDescent="0.25">
      <c r="R3156" s="72"/>
      <c r="S3156" s="72"/>
    </row>
    <row r="3157" spans="18:19" x14ac:dyDescent="0.25">
      <c r="R3157" s="72"/>
      <c r="S3157" s="72"/>
    </row>
    <row r="3158" spans="18:19" x14ac:dyDescent="0.25">
      <c r="R3158" s="72"/>
      <c r="S3158" s="72"/>
    </row>
    <row r="3159" spans="18:19" x14ac:dyDescent="0.25">
      <c r="R3159" s="72"/>
      <c r="S3159" s="72"/>
    </row>
    <row r="3160" spans="18:19" x14ac:dyDescent="0.25">
      <c r="R3160" s="72"/>
      <c r="S3160" s="72"/>
    </row>
    <row r="3161" spans="18:19" x14ac:dyDescent="0.25">
      <c r="R3161" s="72"/>
      <c r="S3161" s="72"/>
    </row>
    <row r="3162" spans="18:19" x14ac:dyDescent="0.25">
      <c r="R3162" s="72"/>
      <c r="S3162" s="72"/>
    </row>
    <row r="3163" spans="18:19" x14ac:dyDescent="0.25">
      <c r="R3163" s="72"/>
      <c r="S3163" s="72"/>
    </row>
    <row r="3164" spans="18:19" x14ac:dyDescent="0.25">
      <c r="R3164" s="72"/>
      <c r="S3164" s="72"/>
    </row>
    <row r="3165" spans="18:19" x14ac:dyDescent="0.25">
      <c r="R3165" s="72"/>
      <c r="S3165" s="72"/>
    </row>
    <row r="3166" spans="18:19" x14ac:dyDescent="0.25">
      <c r="R3166" s="72"/>
      <c r="S3166" s="72"/>
    </row>
    <row r="3167" spans="18:19" x14ac:dyDescent="0.25">
      <c r="R3167" s="72"/>
      <c r="S3167" s="72"/>
    </row>
    <row r="3168" spans="18:19" x14ac:dyDescent="0.25">
      <c r="R3168" s="72"/>
      <c r="S3168" s="72"/>
    </row>
    <row r="3169" spans="18:19" x14ac:dyDescent="0.25">
      <c r="R3169" s="72"/>
      <c r="S3169" s="72"/>
    </row>
    <row r="3170" spans="18:19" x14ac:dyDescent="0.25">
      <c r="R3170" s="72"/>
      <c r="S3170" s="72"/>
    </row>
    <row r="3171" spans="18:19" x14ac:dyDescent="0.25">
      <c r="R3171" s="72"/>
      <c r="S3171" s="72"/>
    </row>
    <row r="3172" spans="18:19" x14ac:dyDescent="0.25">
      <c r="R3172" s="72"/>
      <c r="S3172" s="72"/>
    </row>
    <row r="3173" spans="18:19" x14ac:dyDescent="0.25">
      <c r="R3173" s="72"/>
      <c r="S3173" s="72"/>
    </row>
    <row r="3174" spans="18:19" x14ac:dyDescent="0.25">
      <c r="R3174" s="72"/>
      <c r="S3174" s="72"/>
    </row>
    <row r="3175" spans="18:19" x14ac:dyDescent="0.25">
      <c r="R3175" s="72"/>
      <c r="S3175" s="72"/>
    </row>
    <row r="3176" spans="18:19" x14ac:dyDescent="0.25">
      <c r="R3176" s="72"/>
      <c r="S3176" s="72"/>
    </row>
    <row r="3177" spans="18:19" x14ac:dyDescent="0.25">
      <c r="R3177" s="72"/>
      <c r="S3177" s="72"/>
    </row>
    <row r="3178" spans="18:19" x14ac:dyDescent="0.25">
      <c r="R3178" s="72"/>
      <c r="S3178" s="72"/>
    </row>
    <row r="3179" spans="18:19" x14ac:dyDescent="0.25">
      <c r="R3179" s="72"/>
      <c r="S3179" s="72"/>
    </row>
    <row r="3180" spans="18:19" x14ac:dyDescent="0.25">
      <c r="R3180" s="72"/>
      <c r="S3180" s="72"/>
    </row>
    <row r="3181" spans="18:19" x14ac:dyDescent="0.25">
      <c r="R3181" s="72"/>
      <c r="S3181" s="72"/>
    </row>
    <row r="3182" spans="18:19" x14ac:dyDescent="0.25">
      <c r="R3182" s="72"/>
      <c r="S3182" s="72"/>
    </row>
    <row r="3183" spans="18:19" x14ac:dyDescent="0.25">
      <c r="R3183" s="72"/>
      <c r="S3183" s="72"/>
    </row>
    <row r="3184" spans="18:19" x14ac:dyDescent="0.25">
      <c r="R3184" s="72"/>
      <c r="S3184" s="72"/>
    </row>
    <row r="3185" spans="18:19" x14ac:dyDescent="0.25">
      <c r="R3185" s="72"/>
      <c r="S3185" s="72"/>
    </row>
    <row r="3186" spans="18:19" x14ac:dyDescent="0.25">
      <c r="R3186" s="72"/>
      <c r="S3186" s="72"/>
    </row>
    <row r="3187" spans="18:19" x14ac:dyDescent="0.25">
      <c r="R3187" s="72"/>
      <c r="S3187" s="72"/>
    </row>
    <row r="3188" spans="18:19" x14ac:dyDescent="0.25">
      <c r="R3188" s="72"/>
      <c r="S3188" s="72"/>
    </row>
    <row r="3189" spans="18:19" x14ac:dyDescent="0.25">
      <c r="R3189" s="72"/>
      <c r="S3189" s="72"/>
    </row>
    <row r="3190" spans="18:19" x14ac:dyDescent="0.25">
      <c r="R3190" s="72"/>
      <c r="S3190" s="72"/>
    </row>
    <row r="3191" spans="18:19" x14ac:dyDescent="0.25">
      <c r="R3191" s="72"/>
      <c r="S3191" s="72"/>
    </row>
    <row r="3192" spans="18:19" x14ac:dyDescent="0.25">
      <c r="R3192" s="72"/>
      <c r="S3192" s="72"/>
    </row>
    <row r="3193" spans="18:19" x14ac:dyDescent="0.25">
      <c r="R3193" s="72"/>
      <c r="S3193" s="72"/>
    </row>
    <row r="3194" spans="18:19" x14ac:dyDescent="0.25">
      <c r="R3194" s="72"/>
      <c r="S3194" s="72"/>
    </row>
    <row r="3195" spans="18:19" x14ac:dyDescent="0.25">
      <c r="R3195" s="72"/>
      <c r="S3195" s="72"/>
    </row>
    <row r="3196" spans="18:19" x14ac:dyDescent="0.25">
      <c r="R3196" s="72"/>
      <c r="S3196" s="72"/>
    </row>
    <row r="3197" spans="18:19" x14ac:dyDescent="0.25">
      <c r="R3197" s="72"/>
      <c r="S3197" s="72"/>
    </row>
    <row r="3198" spans="18:19" x14ac:dyDescent="0.25">
      <c r="R3198" s="72"/>
      <c r="S3198" s="72"/>
    </row>
    <row r="3199" spans="18:19" x14ac:dyDescent="0.25">
      <c r="R3199" s="72"/>
      <c r="S3199" s="72"/>
    </row>
    <row r="3200" spans="18:19" x14ac:dyDescent="0.25">
      <c r="R3200" s="72"/>
      <c r="S3200" s="72"/>
    </row>
    <row r="3201" spans="18:19" x14ac:dyDescent="0.25">
      <c r="R3201" s="72"/>
      <c r="S3201" s="72"/>
    </row>
    <row r="3202" spans="18:19" x14ac:dyDescent="0.25">
      <c r="R3202" s="72"/>
      <c r="S3202" s="72"/>
    </row>
    <row r="3203" spans="18:19" x14ac:dyDescent="0.25">
      <c r="R3203" s="72"/>
      <c r="S3203" s="72"/>
    </row>
    <row r="3204" spans="18:19" x14ac:dyDescent="0.25">
      <c r="R3204" s="72"/>
      <c r="S3204" s="72"/>
    </row>
    <row r="3205" spans="18:19" x14ac:dyDescent="0.25">
      <c r="R3205" s="72"/>
      <c r="S3205" s="72"/>
    </row>
    <row r="3206" spans="18:19" x14ac:dyDescent="0.25">
      <c r="R3206" s="72"/>
      <c r="S3206" s="72"/>
    </row>
    <row r="3207" spans="18:19" x14ac:dyDescent="0.25">
      <c r="R3207" s="72"/>
      <c r="S3207" s="72"/>
    </row>
    <row r="3208" spans="18:19" x14ac:dyDescent="0.25">
      <c r="R3208" s="72"/>
      <c r="S3208" s="72"/>
    </row>
    <row r="3209" spans="18:19" x14ac:dyDescent="0.25">
      <c r="R3209" s="72"/>
      <c r="S3209" s="72"/>
    </row>
    <row r="3210" spans="18:19" x14ac:dyDescent="0.25">
      <c r="R3210" s="72"/>
      <c r="S3210" s="72"/>
    </row>
    <row r="3211" spans="18:19" x14ac:dyDescent="0.25">
      <c r="R3211" s="72"/>
      <c r="S3211" s="72"/>
    </row>
    <row r="3212" spans="18:19" x14ac:dyDescent="0.25">
      <c r="R3212" s="72"/>
      <c r="S3212" s="72"/>
    </row>
    <row r="3213" spans="18:19" x14ac:dyDescent="0.25">
      <c r="R3213" s="72"/>
      <c r="S3213" s="72"/>
    </row>
    <row r="3214" spans="18:19" x14ac:dyDescent="0.25">
      <c r="R3214" s="72"/>
      <c r="S3214" s="72"/>
    </row>
    <row r="3215" spans="18:19" x14ac:dyDescent="0.25">
      <c r="R3215" s="72"/>
      <c r="S3215" s="72"/>
    </row>
    <row r="3216" spans="18:19" x14ac:dyDescent="0.25">
      <c r="R3216" s="72"/>
      <c r="S3216" s="72"/>
    </row>
    <row r="3217" spans="18:19" x14ac:dyDescent="0.25">
      <c r="R3217" s="72"/>
      <c r="S3217" s="72"/>
    </row>
    <row r="3218" spans="18:19" x14ac:dyDescent="0.25">
      <c r="R3218" s="72"/>
      <c r="S3218" s="72"/>
    </row>
    <row r="3219" spans="18:19" x14ac:dyDescent="0.25">
      <c r="R3219" s="72"/>
      <c r="S3219" s="72"/>
    </row>
    <row r="3220" spans="18:19" x14ac:dyDescent="0.25">
      <c r="R3220" s="72"/>
      <c r="S3220" s="72"/>
    </row>
    <row r="3221" spans="18:19" x14ac:dyDescent="0.25">
      <c r="R3221" s="72"/>
      <c r="S3221" s="72"/>
    </row>
    <row r="3222" spans="18:19" x14ac:dyDescent="0.25">
      <c r="R3222" s="72"/>
      <c r="S3222" s="72"/>
    </row>
    <row r="3223" spans="18:19" x14ac:dyDescent="0.25">
      <c r="R3223" s="72"/>
      <c r="S3223" s="72"/>
    </row>
    <row r="3224" spans="18:19" x14ac:dyDescent="0.25">
      <c r="R3224" s="72"/>
      <c r="S3224" s="72"/>
    </row>
    <row r="3225" spans="18:19" x14ac:dyDescent="0.25">
      <c r="R3225" s="72"/>
      <c r="S3225" s="72"/>
    </row>
    <row r="3226" spans="18:19" x14ac:dyDescent="0.25">
      <c r="R3226" s="72"/>
      <c r="S3226" s="72"/>
    </row>
    <row r="3227" spans="18:19" x14ac:dyDescent="0.25">
      <c r="R3227" s="72"/>
      <c r="S3227" s="72"/>
    </row>
    <row r="3228" spans="18:19" x14ac:dyDescent="0.25">
      <c r="R3228" s="72"/>
      <c r="S3228" s="72"/>
    </row>
    <row r="3229" spans="18:19" x14ac:dyDescent="0.25">
      <c r="R3229" s="72"/>
      <c r="S3229" s="72"/>
    </row>
    <row r="3230" spans="18:19" x14ac:dyDescent="0.25">
      <c r="R3230" s="72"/>
      <c r="S3230" s="72"/>
    </row>
    <row r="3231" spans="18:19" x14ac:dyDescent="0.25">
      <c r="R3231" s="72"/>
      <c r="S3231" s="72"/>
    </row>
    <row r="3232" spans="18:19" x14ac:dyDescent="0.25">
      <c r="R3232" s="72"/>
      <c r="S3232" s="72"/>
    </row>
    <row r="3233" spans="18:19" x14ac:dyDescent="0.25">
      <c r="R3233" s="72"/>
      <c r="S3233" s="72"/>
    </row>
    <row r="3234" spans="18:19" x14ac:dyDescent="0.25">
      <c r="R3234" s="72"/>
      <c r="S3234" s="72"/>
    </row>
    <row r="3235" spans="18:19" x14ac:dyDescent="0.25">
      <c r="R3235" s="72"/>
      <c r="S3235" s="72"/>
    </row>
    <row r="3236" spans="18:19" x14ac:dyDescent="0.25">
      <c r="R3236" s="72"/>
      <c r="S3236" s="72"/>
    </row>
    <row r="3237" spans="18:19" x14ac:dyDescent="0.25">
      <c r="R3237" s="72"/>
      <c r="S3237" s="72"/>
    </row>
    <row r="3238" spans="18:19" x14ac:dyDescent="0.25">
      <c r="R3238" s="72"/>
      <c r="S3238" s="72"/>
    </row>
    <row r="3239" spans="18:19" x14ac:dyDescent="0.25">
      <c r="R3239" s="72"/>
      <c r="S3239" s="72"/>
    </row>
    <row r="3240" spans="18:19" x14ac:dyDescent="0.25">
      <c r="R3240" s="72"/>
      <c r="S3240" s="72"/>
    </row>
    <row r="3241" spans="18:19" x14ac:dyDescent="0.25">
      <c r="R3241" s="72"/>
      <c r="S3241" s="72"/>
    </row>
    <row r="3242" spans="18:19" x14ac:dyDescent="0.25">
      <c r="R3242" s="72"/>
      <c r="S3242" s="72"/>
    </row>
    <row r="3243" spans="18:19" x14ac:dyDescent="0.25">
      <c r="R3243" s="72"/>
      <c r="S3243" s="72"/>
    </row>
    <row r="3244" spans="18:19" x14ac:dyDescent="0.25">
      <c r="R3244" s="72"/>
      <c r="S3244" s="72"/>
    </row>
    <row r="3245" spans="18:19" x14ac:dyDescent="0.25">
      <c r="R3245" s="72"/>
      <c r="S3245" s="72"/>
    </row>
    <row r="3246" spans="18:19" x14ac:dyDescent="0.25">
      <c r="R3246" s="72"/>
      <c r="S3246" s="72"/>
    </row>
    <row r="3247" spans="18:19" x14ac:dyDescent="0.25">
      <c r="R3247" s="72"/>
      <c r="S3247" s="72"/>
    </row>
    <row r="3248" spans="18:19" x14ac:dyDescent="0.25">
      <c r="R3248" s="72"/>
      <c r="S3248" s="72"/>
    </row>
    <row r="3249" spans="18:19" x14ac:dyDescent="0.25">
      <c r="R3249" s="72"/>
      <c r="S3249" s="72"/>
    </row>
    <row r="3250" spans="18:19" x14ac:dyDescent="0.25">
      <c r="R3250" s="72"/>
      <c r="S3250" s="72"/>
    </row>
    <row r="3251" spans="18:19" x14ac:dyDescent="0.25">
      <c r="R3251" s="72"/>
      <c r="S3251" s="72"/>
    </row>
    <row r="3252" spans="18:19" x14ac:dyDescent="0.25">
      <c r="R3252" s="72"/>
      <c r="S3252" s="72"/>
    </row>
    <row r="3253" spans="18:19" x14ac:dyDescent="0.25">
      <c r="R3253" s="72"/>
      <c r="S3253" s="72"/>
    </row>
    <row r="3254" spans="18:19" x14ac:dyDescent="0.25">
      <c r="R3254" s="72"/>
      <c r="S3254" s="72"/>
    </row>
    <row r="3255" spans="18:19" x14ac:dyDescent="0.25">
      <c r="R3255" s="72"/>
      <c r="S3255" s="72"/>
    </row>
    <row r="3256" spans="18:19" x14ac:dyDescent="0.25">
      <c r="R3256" s="72"/>
      <c r="S3256" s="72"/>
    </row>
    <row r="3257" spans="18:19" x14ac:dyDescent="0.25">
      <c r="R3257" s="72"/>
      <c r="S3257" s="72"/>
    </row>
    <row r="3258" spans="18:19" x14ac:dyDescent="0.25">
      <c r="R3258" s="72"/>
      <c r="S3258" s="72"/>
    </row>
    <row r="3259" spans="18:19" x14ac:dyDescent="0.25">
      <c r="R3259" s="72"/>
      <c r="S3259" s="72"/>
    </row>
    <row r="3260" spans="18:19" x14ac:dyDescent="0.25">
      <c r="R3260" s="72"/>
      <c r="S3260" s="72"/>
    </row>
    <row r="3261" spans="18:19" x14ac:dyDescent="0.25">
      <c r="R3261" s="72"/>
      <c r="S3261" s="72"/>
    </row>
    <row r="3262" spans="18:19" x14ac:dyDescent="0.25">
      <c r="R3262" s="72"/>
      <c r="S3262" s="72"/>
    </row>
    <row r="3263" spans="18:19" x14ac:dyDescent="0.25">
      <c r="R3263" s="72"/>
      <c r="S3263" s="72"/>
    </row>
    <row r="3264" spans="18:19" x14ac:dyDescent="0.25">
      <c r="R3264" s="72"/>
      <c r="S3264" s="72"/>
    </row>
    <row r="3265" spans="18:19" x14ac:dyDescent="0.25">
      <c r="R3265" s="72"/>
      <c r="S3265" s="72"/>
    </row>
    <row r="3266" spans="18:19" x14ac:dyDescent="0.25">
      <c r="R3266" s="72"/>
      <c r="S3266" s="72"/>
    </row>
    <row r="3267" spans="18:19" x14ac:dyDescent="0.25">
      <c r="R3267" s="72"/>
      <c r="S3267" s="72"/>
    </row>
    <row r="3268" spans="18:19" x14ac:dyDescent="0.25">
      <c r="R3268" s="72"/>
      <c r="S3268" s="72"/>
    </row>
    <row r="3269" spans="18:19" x14ac:dyDescent="0.25">
      <c r="R3269" s="72"/>
      <c r="S3269" s="72"/>
    </row>
    <row r="3270" spans="18:19" x14ac:dyDescent="0.25">
      <c r="R3270" s="72"/>
      <c r="S3270" s="72"/>
    </row>
    <row r="3271" spans="18:19" x14ac:dyDescent="0.25">
      <c r="R3271" s="72"/>
      <c r="S3271" s="72"/>
    </row>
    <row r="3272" spans="18:19" x14ac:dyDescent="0.25">
      <c r="R3272" s="72"/>
      <c r="S3272" s="72"/>
    </row>
    <row r="3273" spans="18:19" x14ac:dyDescent="0.25">
      <c r="R3273" s="72"/>
      <c r="S3273" s="72"/>
    </row>
    <row r="3274" spans="18:19" x14ac:dyDescent="0.25">
      <c r="R3274" s="72"/>
      <c r="S3274" s="72"/>
    </row>
    <row r="3275" spans="18:19" x14ac:dyDescent="0.25">
      <c r="R3275" s="72"/>
      <c r="S3275" s="72"/>
    </row>
    <row r="3276" spans="18:19" x14ac:dyDescent="0.25">
      <c r="R3276" s="72"/>
      <c r="S3276" s="72"/>
    </row>
    <row r="3277" spans="18:19" x14ac:dyDescent="0.25">
      <c r="R3277" s="72"/>
      <c r="S3277" s="72"/>
    </row>
    <row r="3278" spans="18:19" x14ac:dyDescent="0.25">
      <c r="R3278" s="72"/>
      <c r="S3278" s="72"/>
    </row>
    <row r="3279" spans="18:19" x14ac:dyDescent="0.25">
      <c r="R3279" s="72"/>
      <c r="S3279" s="72"/>
    </row>
    <row r="3280" spans="18:19" x14ac:dyDescent="0.25">
      <c r="R3280" s="72"/>
      <c r="S3280" s="72"/>
    </row>
    <row r="3281" spans="18:19" x14ac:dyDescent="0.25">
      <c r="R3281" s="72"/>
      <c r="S3281" s="72"/>
    </row>
    <row r="3282" spans="18:19" x14ac:dyDescent="0.25">
      <c r="R3282" s="72"/>
      <c r="S3282" s="72"/>
    </row>
    <row r="3283" spans="18:19" x14ac:dyDescent="0.25">
      <c r="R3283" s="72"/>
      <c r="S3283" s="72"/>
    </row>
    <row r="3284" spans="18:19" x14ac:dyDescent="0.25">
      <c r="R3284" s="72"/>
      <c r="S3284" s="72"/>
    </row>
    <row r="3285" spans="18:19" x14ac:dyDescent="0.25">
      <c r="R3285" s="72"/>
      <c r="S3285" s="72"/>
    </row>
    <row r="3286" spans="18:19" x14ac:dyDescent="0.25">
      <c r="R3286" s="72"/>
      <c r="S3286" s="72"/>
    </row>
    <row r="3287" spans="18:19" x14ac:dyDescent="0.25">
      <c r="R3287" s="72"/>
      <c r="S3287" s="72"/>
    </row>
    <row r="3288" spans="18:19" x14ac:dyDescent="0.25">
      <c r="R3288" s="72"/>
      <c r="S3288" s="72"/>
    </row>
    <row r="3289" spans="18:19" x14ac:dyDescent="0.25">
      <c r="R3289" s="72"/>
      <c r="S3289" s="72"/>
    </row>
    <row r="3290" spans="18:19" x14ac:dyDescent="0.25">
      <c r="R3290" s="72"/>
      <c r="S3290" s="72"/>
    </row>
    <row r="3291" spans="18:19" x14ac:dyDescent="0.25">
      <c r="R3291" s="72"/>
      <c r="S3291" s="72"/>
    </row>
    <row r="3292" spans="18:19" x14ac:dyDescent="0.25">
      <c r="R3292" s="72"/>
      <c r="S3292" s="72"/>
    </row>
    <row r="3293" spans="18:19" x14ac:dyDescent="0.25">
      <c r="R3293" s="72"/>
      <c r="S3293" s="72"/>
    </row>
    <row r="3294" spans="18:19" x14ac:dyDescent="0.25">
      <c r="R3294" s="72"/>
      <c r="S3294" s="72"/>
    </row>
    <row r="3295" spans="18:19" x14ac:dyDescent="0.25">
      <c r="R3295" s="72"/>
      <c r="S3295" s="72"/>
    </row>
    <row r="3296" spans="18:19" x14ac:dyDescent="0.25">
      <c r="R3296" s="72"/>
      <c r="S3296" s="72"/>
    </row>
    <row r="3297" spans="18:19" x14ac:dyDescent="0.25">
      <c r="R3297" s="72"/>
      <c r="S3297" s="72"/>
    </row>
    <row r="3298" spans="18:19" x14ac:dyDescent="0.25">
      <c r="R3298" s="72"/>
      <c r="S3298" s="72"/>
    </row>
    <row r="3299" spans="18:19" x14ac:dyDescent="0.25">
      <c r="R3299" s="72"/>
      <c r="S3299" s="72"/>
    </row>
    <row r="3300" spans="18:19" x14ac:dyDescent="0.25">
      <c r="R3300" s="72"/>
      <c r="S3300" s="72"/>
    </row>
    <row r="3301" spans="18:19" x14ac:dyDescent="0.25">
      <c r="R3301" s="72"/>
      <c r="S3301" s="72"/>
    </row>
    <row r="3302" spans="18:19" x14ac:dyDescent="0.25">
      <c r="R3302" s="72"/>
      <c r="S3302" s="72"/>
    </row>
    <row r="3303" spans="18:19" x14ac:dyDescent="0.25">
      <c r="R3303" s="72"/>
      <c r="S3303" s="72"/>
    </row>
    <row r="3304" spans="18:19" x14ac:dyDescent="0.25">
      <c r="R3304" s="72"/>
      <c r="S3304" s="72"/>
    </row>
    <row r="3305" spans="18:19" x14ac:dyDescent="0.25">
      <c r="R3305" s="72"/>
      <c r="S3305" s="72"/>
    </row>
    <row r="3306" spans="18:19" x14ac:dyDescent="0.25">
      <c r="R3306" s="72"/>
      <c r="S3306" s="72"/>
    </row>
    <row r="3307" spans="18:19" x14ac:dyDescent="0.25">
      <c r="R3307" s="72"/>
      <c r="S3307" s="72"/>
    </row>
    <row r="3308" spans="18:19" x14ac:dyDescent="0.25">
      <c r="R3308" s="72"/>
      <c r="S3308" s="72"/>
    </row>
    <row r="3309" spans="18:19" x14ac:dyDescent="0.25">
      <c r="R3309" s="72"/>
      <c r="S3309" s="72"/>
    </row>
    <row r="3310" spans="18:19" x14ac:dyDescent="0.25">
      <c r="R3310" s="72"/>
      <c r="S3310" s="72"/>
    </row>
    <row r="3311" spans="18:19" x14ac:dyDescent="0.25">
      <c r="R3311" s="72"/>
      <c r="S3311" s="72"/>
    </row>
    <row r="3312" spans="18:19" x14ac:dyDescent="0.25">
      <c r="R3312" s="72"/>
      <c r="S3312" s="72"/>
    </row>
    <row r="3313" spans="18:19" x14ac:dyDescent="0.25">
      <c r="R3313" s="72"/>
      <c r="S3313" s="72"/>
    </row>
    <row r="3314" spans="18:19" x14ac:dyDescent="0.25">
      <c r="R3314" s="72"/>
      <c r="S3314" s="72"/>
    </row>
    <row r="3315" spans="18:19" x14ac:dyDescent="0.25">
      <c r="R3315" s="72"/>
      <c r="S3315" s="72"/>
    </row>
    <row r="3316" spans="18:19" x14ac:dyDescent="0.25">
      <c r="R3316" s="72"/>
      <c r="S3316" s="72"/>
    </row>
    <row r="3317" spans="18:19" x14ac:dyDescent="0.25">
      <c r="R3317" s="72"/>
      <c r="S3317" s="72"/>
    </row>
    <row r="3318" spans="18:19" x14ac:dyDescent="0.25">
      <c r="R3318" s="72"/>
      <c r="S3318" s="72"/>
    </row>
    <row r="3319" spans="18:19" x14ac:dyDescent="0.25">
      <c r="R3319" s="72"/>
      <c r="S3319" s="72"/>
    </row>
    <row r="3320" spans="18:19" x14ac:dyDescent="0.25">
      <c r="R3320" s="72"/>
      <c r="S3320" s="72"/>
    </row>
    <row r="3321" spans="18:19" x14ac:dyDescent="0.25">
      <c r="R3321" s="72"/>
      <c r="S3321" s="72"/>
    </row>
    <row r="3322" spans="18:19" x14ac:dyDescent="0.25">
      <c r="R3322" s="72"/>
      <c r="S3322" s="72"/>
    </row>
    <row r="3323" spans="18:19" x14ac:dyDescent="0.25">
      <c r="R3323" s="72"/>
      <c r="S3323" s="72"/>
    </row>
    <row r="3324" spans="18:19" x14ac:dyDescent="0.25">
      <c r="R3324" s="72"/>
      <c r="S3324" s="72"/>
    </row>
    <row r="3325" spans="18:19" x14ac:dyDescent="0.25">
      <c r="R3325" s="72"/>
      <c r="S3325" s="72"/>
    </row>
    <row r="3326" spans="18:19" x14ac:dyDescent="0.25">
      <c r="R3326" s="72"/>
      <c r="S3326" s="72"/>
    </row>
    <row r="3327" spans="18:19" x14ac:dyDescent="0.25">
      <c r="R3327" s="72"/>
      <c r="S3327" s="72"/>
    </row>
    <row r="3328" spans="18:19" x14ac:dyDescent="0.25">
      <c r="R3328" s="72"/>
      <c r="S3328" s="72"/>
    </row>
    <row r="3329" spans="18:19" x14ac:dyDescent="0.25">
      <c r="R3329" s="72"/>
      <c r="S3329" s="72"/>
    </row>
    <row r="3330" spans="18:19" x14ac:dyDescent="0.25">
      <c r="R3330" s="72"/>
      <c r="S3330" s="72"/>
    </row>
    <row r="3331" spans="18:19" x14ac:dyDescent="0.25">
      <c r="R3331" s="72"/>
      <c r="S3331" s="72"/>
    </row>
    <row r="3332" spans="18:19" x14ac:dyDescent="0.25">
      <c r="R3332" s="72"/>
      <c r="S3332" s="72"/>
    </row>
    <row r="3333" spans="18:19" x14ac:dyDescent="0.25">
      <c r="R3333" s="72"/>
      <c r="S3333" s="72"/>
    </row>
    <row r="3334" spans="18:19" x14ac:dyDescent="0.25">
      <c r="R3334" s="72"/>
      <c r="S3334" s="72"/>
    </row>
    <row r="3335" spans="18:19" x14ac:dyDescent="0.25">
      <c r="R3335" s="72"/>
      <c r="S3335" s="72"/>
    </row>
    <row r="3336" spans="18:19" x14ac:dyDescent="0.25">
      <c r="R3336" s="72"/>
      <c r="S3336" s="72"/>
    </row>
    <row r="3337" spans="18:19" x14ac:dyDescent="0.25">
      <c r="R3337" s="72"/>
      <c r="S3337" s="72"/>
    </row>
    <row r="3338" spans="18:19" x14ac:dyDescent="0.25">
      <c r="R3338" s="72"/>
      <c r="S3338" s="72"/>
    </row>
    <row r="3339" spans="18:19" x14ac:dyDescent="0.25">
      <c r="R3339" s="72"/>
      <c r="S3339" s="72"/>
    </row>
    <row r="3340" spans="18:19" x14ac:dyDescent="0.25">
      <c r="R3340" s="72"/>
      <c r="S3340" s="72"/>
    </row>
    <row r="3341" spans="18:19" x14ac:dyDescent="0.25">
      <c r="R3341" s="72"/>
      <c r="S3341" s="72"/>
    </row>
    <row r="3342" spans="18:19" x14ac:dyDescent="0.25">
      <c r="R3342" s="72"/>
      <c r="S3342" s="72"/>
    </row>
    <row r="3343" spans="18:19" x14ac:dyDescent="0.25">
      <c r="R3343" s="72"/>
      <c r="S3343" s="72"/>
    </row>
    <row r="3344" spans="18:19" x14ac:dyDescent="0.25">
      <c r="R3344" s="72"/>
      <c r="S3344" s="72"/>
    </row>
    <row r="3345" spans="18:19" x14ac:dyDescent="0.25">
      <c r="R3345" s="72"/>
      <c r="S3345" s="72"/>
    </row>
    <row r="3346" spans="18:19" x14ac:dyDescent="0.25">
      <c r="R3346" s="72"/>
      <c r="S3346" s="72"/>
    </row>
    <row r="3347" spans="18:19" x14ac:dyDescent="0.25">
      <c r="R3347" s="72"/>
      <c r="S3347" s="72"/>
    </row>
    <row r="3348" spans="18:19" x14ac:dyDescent="0.25">
      <c r="R3348" s="72"/>
      <c r="S3348" s="72"/>
    </row>
    <row r="3349" spans="18:19" x14ac:dyDescent="0.25">
      <c r="R3349" s="72"/>
      <c r="S3349" s="72"/>
    </row>
    <row r="3350" spans="18:19" x14ac:dyDescent="0.25">
      <c r="R3350" s="72"/>
      <c r="S3350" s="72"/>
    </row>
    <row r="3351" spans="18:19" x14ac:dyDescent="0.25">
      <c r="R3351" s="72"/>
      <c r="S3351" s="72"/>
    </row>
    <row r="3352" spans="18:19" x14ac:dyDescent="0.25">
      <c r="R3352" s="72"/>
      <c r="S3352" s="72"/>
    </row>
    <row r="3353" spans="18:19" x14ac:dyDescent="0.25">
      <c r="R3353" s="72"/>
      <c r="S3353" s="72"/>
    </row>
    <row r="3354" spans="18:19" x14ac:dyDescent="0.25">
      <c r="R3354" s="72"/>
      <c r="S3354" s="72"/>
    </row>
    <row r="3355" spans="18:19" x14ac:dyDescent="0.25">
      <c r="R3355" s="72"/>
      <c r="S3355" s="72"/>
    </row>
    <row r="3356" spans="18:19" x14ac:dyDescent="0.25">
      <c r="R3356" s="72"/>
      <c r="S3356" s="72"/>
    </row>
    <row r="3357" spans="18:19" x14ac:dyDescent="0.25">
      <c r="R3357" s="72"/>
      <c r="S3357" s="72"/>
    </row>
    <row r="3358" spans="18:19" x14ac:dyDescent="0.25">
      <c r="R3358" s="72"/>
      <c r="S3358" s="72"/>
    </row>
    <row r="3359" spans="18:19" x14ac:dyDescent="0.25">
      <c r="R3359" s="72"/>
      <c r="S3359" s="72"/>
    </row>
    <row r="3360" spans="18:19" x14ac:dyDescent="0.25">
      <c r="R3360" s="72"/>
      <c r="S3360" s="72"/>
    </row>
    <row r="3361" spans="18:19" x14ac:dyDescent="0.25">
      <c r="R3361" s="72"/>
      <c r="S3361" s="72"/>
    </row>
    <row r="3362" spans="18:19" x14ac:dyDescent="0.25">
      <c r="R3362" s="72"/>
      <c r="S3362" s="72"/>
    </row>
    <row r="3363" spans="18:19" x14ac:dyDescent="0.25">
      <c r="R3363" s="72"/>
      <c r="S3363" s="72"/>
    </row>
    <row r="3364" spans="18:19" x14ac:dyDescent="0.25">
      <c r="R3364" s="72"/>
      <c r="S3364" s="72"/>
    </row>
    <row r="3365" spans="18:19" x14ac:dyDescent="0.25">
      <c r="R3365" s="72"/>
      <c r="S3365" s="72"/>
    </row>
    <row r="3366" spans="18:19" x14ac:dyDescent="0.25">
      <c r="R3366" s="72"/>
      <c r="S3366" s="72"/>
    </row>
    <row r="3367" spans="18:19" x14ac:dyDescent="0.25">
      <c r="R3367" s="72"/>
      <c r="S3367" s="72"/>
    </row>
    <row r="3368" spans="18:19" x14ac:dyDescent="0.25">
      <c r="R3368" s="72"/>
      <c r="S3368" s="72"/>
    </row>
    <row r="3369" spans="18:19" x14ac:dyDescent="0.25">
      <c r="R3369" s="72"/>
      <c r="S3369" s="72"/>
    </row>
    <row r="3370" spans="18:19" x14ac:dyDescent="0.25">
      <c r="R3370" s="72"/>
      <c r="S3370" s="72"/>
    </row>
    <row r="3371" spans="18:19" x14ac:dyDescent="0.25">
      <c r="R3371" s="72"/>
      <c r="S3371" s="72"/>
    </row>
    <row r="3372" spans="18:19" x14ac:dyDescent="0.25">
      <c r="R3372" s="72"/>
      <c r="S3372" s="72"/>
    </row>
    <row r="3373" spans="18:19" x14ac:dyDescent="0.25">
      <c r="R3373" s="72"/>
      <c r="S3373" s="72"/>
    </row>
    <row r="3374" spans="18:19" x14ac:dyDescent="0.25">
      <c r="R3374" s="72"/>
      <c r="S3374" s="72"/>
    </row>
    <row r="3375" spans="18:19" x14ac:dyDescent="0.25">
      <c r="R3375" s="72"/>
      <c r="S3375" s="72"/>
    </row>
    <row r="3376" spans="18:19" x14ac:dyDescent="0.25">
      <c r="R3376" s="72"/>
      <c r="S3376" s="72"/>
    </row>
    <row r="3377" spans="18:19" x14ac:dyDescent="0.25">
      <c r="R3377" s="72"/>
      <c r="S3377" s="72"/>
    </row>
    <row r="3378" spans="18:19" x14ac:dyDescent="0.25">
      <c r="R3378" s="72"/>
      <c r="S3378" s="72"/>
    </row>
    <row r="3379" spans="18:19" x14ac:dyDescent="0.25">
      <c r="R3379" s="72"/>
      <c r="S3379" s="72"/>
    </row>
    <row r="3380" spans="18:19" x14ac:dyDescent="0.25">
      <c r="R3380" s="72"/>
      <c r="S3380" s="72"/>
    </row>
    <row r="3381" spans="18:19" x14ac:dyDescent="0.25">
      <c r="R3381" s="72"/>
      <c r="S3381" s="72"/>
    </row>
    <row r="3382" spans="18:19" x14ac:dyDescent="0.25">
      <c r="R3382" s="72"/>
      <c r="S3382" s="72"/>
    </row>
    <row r="3383" spans="18:19" x14ac:dyDescent="0.25">
      <c r="R3383" s="72"/>
      <c r="S3383" s="72"/>
    </row>
    <row r="3384" spans="18:19" x14ac:dyDescent="0.25">
      <c r="R3384" s="72"/>
      <c r="S3384" s="72"/>
    </row>
    <row r="3385" spans="18:19" x14ac:dyDescent="0.25">
      <c r="R3385" s="72"/>
      <c r="S3385" s="72"/>
    </row>
    <row r="3386" spans="18:19" x14ac:dyDescent="0.25">
      <c r="R3386" s="72"/>
      <c r="S3386" s="72"/>
    </row>
    <row r="3387" spans="18:19" x14ac:dyDescent="0.25">
      <c r="R3387" s="72"/>
      <c r="S3387" s="72"/>
    </row>
    <row r="3388" spans="18:19" x14ac:dyDescent="0.25">
      <c r="R3388" s="72"/>
      <c r="S3388" s="72"/>
    </row>
    <row r="3389" spans="18:19" x14ac:dyDescent="0.25">
      <c r="R3389" s="72"/>
      <c r="S3389" s="72"/>
    </row>
    <row r="3390" spans="18:19" x14ac:dyDescent="0.25">
      <c r="R3390" s="72"/>
      <c r="S3390" s="72"/>
    </row>
    <row r="3391" spans="18:19" x14ac:dyDescent="0.25">
      <c r="R3391" s="72"/>
      <c r="S3391" s="72"/>
    </row>
    <row r="3392" spans="18:19" x14ac:dyDescent="0.25">
      <c r="R3392" s="72"/>
      <c r="S3392" s="72"/>
    </row>
    <row r="3393" spans="18:19" x14ac:dyDescent="0.25">
      <c r="R3393" s="72"/>
      <c r="S3393" s="72"/>
    </row>
    <row r="3394" spans="18:19" x14ac:dyDescent="0.25">
      <c r="R3394" s="72"/>
      <c r="S3394" s="72"/>
    </row>
    <row r="3395" spans="18:19" x14ac:dyDescent="0.25">
      <c r="R3395" s="72"/>
      <c r="S3395" s="72"/>
    </row>
    <row r="3396" spans="18:19" x14ac:dyDescent="0.25">
      <c r="R3396" s="72"/>
      <c r="S3396" s="72"/>
    </row>
    <row r="3397" spans="18:19" x14ac:dyDescent="0.25">
      <c r="R3397" s="72"/>
      <c r="S3397" s="72"/>
    </row>
    <row r="3398" spans="18:19" x14ac:dyDescent="0.25">
      <c r="R3398" s="72"/>
      <c r="S3398" s="72"/>
    </row>
    <row r="3399" spans="18:19" x14ac:dyDescent="0.25">
      <c r="R3399" s="72"/>
      <c r="S3399" s="72"/>
    </row>
    <row r="3400" spans="18:19" x14ac:dyDescent="0.25">
      <c r="R3400" s="72"/>
      <c r="S3400" s="72"/>
    </row>
    <row r="3401" spans="18:19" x14ac:dyDescent="0.25">
      <c r="R3401" s="72"/>
      <c r="S3401" s="72"/>
    </row>
    <row r="3402" spans="18:19" x14ac:dyDescent="0.25">
      <c r="R3402" s="72"/>
      <c r="S3402" s="72"/>
    </row>
    <row r="3403" spans="18:19" x14ac:dyDescent="0.25">
      <c r="R3403" s="72"/>
      <c r="S3403" s="72"/>
    </row>
    <row r="3404" spans="18:19" x14ac:dyDescent="0.25">
      <c r="R3404" s="72"/>
      <c r="S3404" s="72"/>
    </row>
    <row r="3405" spans="18:19" x14ac:dyDescent="0.25">
      <c r="R3405" s="72"/>
      <c r="S3405" s="72"/>
    </row>
    <row r="3406" spans="18:19" x14ac:dyDescent="0.25">
      <c r="R3406" s="72"/>
      <c r="S3406" s="72"/>
    </row>
    <row r="3407" spans="18:19" x14ac:dyDescent="0.25">
      <c r="R3407" s="72"/>
      <c r="S3407" s="72"/>
    </row>
    <row r="3408" spans="18:19" x14ac:dyDescent="0.25">
      <c r="R3408" s="72"/>
      <c r="S3408" s="72"/>
    </row>
    <row r="3409" spans="18:19" x14ac:dyDescent="0.25">
      <c r="R3409" s="72"/>
      <c r="S3409" s="72"/>
    </row>
    <row r="3410" spans="18:19" x14ac:dyDescent="0.25">
      <c r="R3410" s="72"/>
      <c r="S3410" s="72"/>
    </row>
    <row r="3411" spans="18:19" x14ac:dyDescent="0.25">
      <c r="R3411" s="72"/>
      <c r="S3411" s="72"/>
    </row>
    <row r="3412" spans="18:19" x14ac:dyDescent="0.25">
      <c r="R3412" s="72"/>
      <c r="S3412" s="72"/>
    </row>
    <row r="3413" spans="18:19" x14ac:dyDescent="0.25">
      <c r="R3413" s="72"/>
      <c r="S3413" s="72"/>
    </row>
    <row r="3414" spans="18:19" x14ac:dyDescent="0.25">
      <c r="R3414" s="72"/>
      <c r="S3414" s="72"/>
    </row>
    <row r="3415" spans="18:19" x14ac:dyDescent="0.25">
      <c r="R3415" s="72"/>
      <c r="S3415" s="72"/>
    </row>
    <row r="3416" spans="18:19" x14ac:dyDescent="0.25">
      <c r="R3416" s="72"/>
      <c r="S3416" s="72"/>
    </row>
    <row r="3417" spans="18:19" x14ac:dyDescent="0.25">
      <c r="R3417" s="72"/>
      <c r="S3417" s="72"/>
    </row>
    <row r="3418" spans="18:19" x14ac:dyDescent="0.25">
      <c r="R3418" s="72"/>
      <c r="S3418" s="72"/>
    </row>
    <row r="3419" spans="18:19" x14ac:dyDescent="0.25">
      <c r="R3419" s="72"/>
      <c r="S3419" s="72"/>
    </row>
    <row r="3420" spans="18:19" x14ac:dyDescent="0.25">
      <c r="R3420" s="72"/>
      <c r="S3420" s="72"/>
    </row>
    <row r="3421" spans="18:19" x14ac:dyDescent="0.25">
      <c r="R3421" s="72"/>
      <c r="S3421" s="72"/>
    </row>
    <row r="3422" spans="18:19" x14ac:dyDescent="0.25">
      <c r="R3422" s="72"/>
      <c r="S3422" s="72"/>
    </row>
    <row r="3423" spans="18:19" x14ac:dyDescent="0.25">
      <c r="R3423" s="72"/>
      <c r="S3423" s="72"/>
    </row>
    <row r="3424" spans="18:19" x14ac:dyDescent="0.25">
      <c r="R3424" s="72"/>
      <c r="S3424" s="72"/>
    </row>
    <row r="3425" spans="18:19" x14ac:dyDescent="0.25">
      <c r="R3425" s="72"/>
      <c r="S3425" s="72"/>
    </row>
    <row r="3426" spans="18:19" x14ac:dyDescent="0.25">
      <c r="R3426" s="72"/>
      <c r="S3426" s="72"/>
    </row>
    <row r="3427" spans="18:19" x14ac:dyDescent="0.25">
      <c r="R3427" s="72"/>
      <c r="S3427" s="72"/>
    </row>
    <row r="3428" spans="18:19" x14ac:dyDescent="0.25">
      <c r="R3428" s="72"/>
      <c r="S3428" s="72"/>
    </row>
    <row r="3429" spans="18:19" x14ac:dyDescent="0.25">
      <c r="R3429" s="72"/>
      <c r="S3429" s="72"/>
    </row>
    <row r="3430" spans="18:19" x14ac:dyDescent="0.25">
      <c r="R3430" s="72"/>
      <c r="S3430" s="72"/>
    </row>
    <row r="3431" spans="18:19" x14ac:dyDescent="0.25">
      <c r="R3431" s="72"/>
      <c r="S3431" s="72"/>
    </row>
    <row r="3432" spans="18:19" x14ac:dyDescent="0.25">
      <c r="R3432" s="72"/>
      <c r="S3432" s="72"/>
    </row>
    <row r="3433" spans="18:19" x14ac:dyDescent="0.25">
      <c r="R3433" s="72"/>
      <c r="S3433" s="72"/>
    </row>
    <row r="3434" spans="18:19" x14ac:dyDescent="0.25">
      <c r="R3434" s="72"/>
      <c r="S3434" s="72"/>
    </row>
    <row r="3435" spans="18:19" x14ac:dyDescent="0.25">
      <c r="R3435" s="72"/>
      <c r="S3435" s="72"/>
    </row>
    <row r="3436" spans="18:19" x14ac:dyDescent="0.25">
      <c r="R3436" s="72"/>
      <c r="S3436" s="72"/>
    </row>
    <row r="3437" spans="18:19" x14ac:dyDescent="0.25">
      <c r="R3437" s="72"/>
      <c r="S3437" s="72"/>
    </row>
    <row r="3438" spans="18:19" x14ac:dyDescent="0.25">
      <c r="R3438" s="72"/>
      <c r="S3438" s="72"/>
    </row>
    <row r="3439" spans="18:19" x14ac:dyDescent="0.25">
      <c r="R3439" s="72"/>
      <c r="S3439" s="72"/>
    </row>
    <row r="3440" spans="18:19" x14ac:dyDescent="0.25">
      <c r="R3440" s="72"/>
      <c r="S3440" s="72"/>
    </row>
    <row r="3441" spans="18:19" x14ac:dyDescent="0.25">
      <c r="R3441" s="72"/>
      <c r="S3441" s="72"/>
    </row>
    <row r="3442" spans="18:19" x14ac:dyDescent="0.25">
      <c r="R3442" s="72"/>
      <c r="S3442" s="72"/>
    </row>
    <row r="3443" spans="18:19" x14ac:dyDescent="0.25">
      <c r="R3443" s="72"/>
      <c r="S3443" s="72"/>
    </row>
    <row r="3444" spans="18:19" x14ac:dyDescent="0.25">
      <c r="R3444" s="72"/>
      <c r="S3444" s="72"/>
    </row>
    <row r="3445" spans="18:19" x14ac:dyDescent="0.25">
      <c r="R3445" s="72"/>
      <c r="S3445" s="72"/>
    </row>
    <row r="3446" spans="18:19" x14ac:dyDescent="0.25">
      <c r="R3446" s="72"/>
      <c r="S3446" s="72"/>
    </row>
    <row r="3447" spans="18:19" x14ac:dyDescent="0.25">
      <c r="R3447" s="72"/>
      <c r="S3447" s="72"/>
    </row>
    <row r="3448" spans="18:19" x14ac:dyDescent="0.25">
      <c r="R3448" s="72"/>
      <c r="S3448" s="72"/>
    </row>
    <row r="3449" spans="18:19" x14ac:dyDescent="0.25">
      <c r="R3449" s="72"/>
      <c r="S3449" s="72"/>
    </row>
    <row r="3450" spans="18:19" x14ac:dyDescent="0.25">
      <c r="R3450" s="72"/>
      <c r="S3450" s="72"/>
    </row>
    <row r="3451" spans="18:19" x14ac:dyDescent="0.25">
      <c r="R3451" s="72"/>
      <c r="S3451" s="72"/>
    </row>
    <row r="3452" spans="18:19" x14ac:dyDescent="0.25">
      <c r="R3452" s="72"/>
      <c r="S3452" s="72"/>
    </row>
    <row r="3453" spans="18:19" x14ac:dyDescent="0.25">
      <c r="R3453" s="72"/>
      <c r="S3453" s="72"/>
    </row>
    <row r="3454" spans="18:19" x14ac:dyDescent="0.25">
      <c r="R3454" s="72"/>
      <c r="S3454" s="72"/>
    </row>
    <row r="3455" spans="18:19" x14ac:dyDescent="0.25">
      <c r="R3455" s="72"/>
      <c r="S3455" s="72"/>
    </row>
    <row r="3456" spans="18:19" x14ac:dyDescent="0.25">
      <c r="R3456" s="72"/>
      <c r="S3456" s="72"/>
    </row>
    <row r="3457" spans="18:19" x14ac:dyDescent="0.25">
      <c r="R3457" s="72"/>
      <c r="S3457" s="72"/>
    </row>
    <row r="3458" spans="18:19" x14ac:dyDescent="0.25">
      <c r="R3458" s="72"/>
      <c r="S3458" s="72"/>
    </row>
    <row r="3459" spans="18:19" x14ac:dyDescent="0.25">
      <c r="R3459" s="72"/>
      <c r="S3459" s="72"/>
    </row>
    <row r="3460" spans="18:19" x14ac:dyDescent="0.25">
      <c r="R3460" s="72"/>
      <c r="S3460" s="72"/>
    </row>
    <row r="3461" spans="18:19" x14ac:dyDescent="0.25">
      <c r="R3461" s="72"/>
      <c r="S3461" s="72"/>
    </row>
    <row r="3462" spans="18:19" x14ac:dyDescent="0.25">
      <c r="R3462" s="72"/>
      <c r="S3462" s="72"/>
    </row>
    <row r="3463" spans="18:19" x14ac:dyDescent="0.25">
      <c r="R3463" s="72"/>
      <c r="S3463" s="72"/>
    </row>
    <row r="3464" spans="18:19" x14ac:dyDescent="0.25">
      <c r="R3464" s="72"/>
      <c r="S3464" s="72"/>
    </row>
    <row r="3465" spans="18:19" x14ac:dyDescent="0.25">
      <c r="R3465" s="72"/>
      <c r="S3465" s="72"/>
    </row>
    <row r="3466" spans="18:19" x14ac:dyDescent="0.25">
      <c r="R3466" s="72"/>
      <c r="S3466" s="72"/>
    </row>
    <row r="3467" spans="18:19" x14ac:dyDescent="0.25">
      <c r="R3467" s="72"/>
      <c r="S3467" s="72"/>
    </row>
    <row r="3468" spans="18:19" x14ac:dyDescent="0.25">
      <c r="R3468" s="72"/>
      <c r="S3468" s="72"/>
    </row>
    <row r="3469" spans="18:19" x14ac:dyDescent="0.25">
      <c r="R3469" s="72"/>
      <c r="S3469" s="72"/>
    </row>
    <row r="3470" spans="18:19" x14ac:dyDescent="0.25">
      <c r="R3470" s="72"/>
      <c r="S3470" s="72"/>
    </row>
    <row r="3471" spans="18:19" x14ac:dyDescent="0.25">
      <c r="R3471" s="72"/>
      <c r="S3471" s="72"/>
    </row>
    <row r="3472" spans="18:19" x14ac:dyDescent="0.25">
      <c r="R3472" s="72"/>
      <c r="S3472" s="72"/>
    </row>
    <row r="3473" spans="18:19" x14ac:dyDescent="0.25">
      <c r="R3473" s="72"/>
      <c r="S3473" s="72"/>
    </row>
    <row r="3474" spans="18:19" x14ac:dyDescent="0.25">
      <c r="R3474" s="72"/>
      <c r="S3474" s="72"/>
    </row>
    <row r="3475" spans="18:19" x14ac:dyDescent="0.25">
      <c r="R3475" s="72"/>
      <c r="S3475" s="72"/>
    </row>
    <row r="3476" spans="18:19" x14ac:dyDescent="0.25">
      <c r="R3476" s="72"/>
      <c r="S3476" s="72"/>
    </row>
    <row r="3477" spans="18:19" x14ac:dyDescent="0.25">
      <c r="R3477" s="72"/>
      <c r="S3477" s="72"/>
    </row>
    <row r="3478" spans="18:19" x14ac:dyDescent="0.25">
      <c r="R3478" s="72"/>
      <c r="S3478" s="72"/>
    </row>
    <row r="3479" spans="18:19" x14ac:dyDescent="0.25">
      <c r="R3479" s="72"/>
      <c r="S3479" s="72"/>
    </row>
    <row r="3480" spans="18:19" x14ac:dyDescent="0.25">
      <c r="R3480" s="72"/>
      <c r="S3480" s="72"/>
    </row>
    <row r="3481" spans="18:19" x14ac:dyDescent="0.25">
      <c r="R3481" s="72"/>
      <c r="S3481" s="72"/>
    </row>
    <row r="3482" spans="18:19" x14ac:dyDescent="0.25">
      <c r="R3482" s="72"/>
      <c r="S3482" s="72"/>
    </row>
    <row r="3483" spans="18:19" x14ac:dyDescent="0.25">
      <c r="R3483" s="72"/>
      <c r="S3483" s="72"/>
    </row>
    <row r="3484" spans="18:19" x14ac:dyDescent="0.25">
      <c r="R3484" s="72"/>
      <c r="S3484" s="72"/>
    </row>
    <row r="3485" spans="18:19" x14ac:dyDescent="0.25">
      <c r="R3485" s="72"/>
      <c r="S3485" s="72"/>
    </row>
    <row r="3486" spans="18:19" x14ac:dyDescent="0.25">
      <c r="R3486" s="72"/>
      <c r="S3486" s="72"/>
    </row>
    <row r="3487" spans="18:19" x14ac:dyDescent="0.25">
      <c r="R3487" s="72"/>
      <c r="S3487" s="72"/>
    </row>
    <row r="3488" spans="18:19" x14ac:dyDescent="0.25">
      <c r="R3488" s="72"/>
      <c r="S3488" s="72"/>
    </row>
    <row r="3489" spans="18:19" x14ac:dyDescent="0.25">
      <c r="R3489" s="72"/>
      <c r="S3489" s="72"/>
    </row>
    <row r="3490" spans="18:19" x14ac:dyDescent="0.25">
      <c r="R3490" s="72"/>
      <c r="S3490" s="72"/>
    </row>
    <row r="3491" spans="18:19" x14ac:dyDescent="0.25">
      <c r="R3491" s="72"/>
      <c r="S3491" s="72"/>
    </row>
    <row r="3492" spans="18:19" x14ac:dyDescent="0.25">
      <c r="R3492" s="72"/>
      <c r="S3492" s="72"/>
    </row>
    <row r="3493" spans="18:19" x14ac:dyDescent="0.25">
      <c r="R3493" s="72"/>
      <c r="S3493" s="72"/>
    </row>
    <row r="3494" spans="18:19" x14ac:dyDescent="0.25">
      <c r="R3494" s="72"/>
      <c r="S3494" s="72"/>
    </row>
    <row r="3495" spans="18:19" x14ac:dyDescent="0.25">
      <c r="R3495" s="72"/>
      <c r="S3495" s="72"/>
    </row>
    <row r="3496" spans="18:19" x14ac:dyDescent="0.25">
      <c r="R3496" s="72"/>
      <c r="S3496" s="72"/>
    </row>
    <row r="3497" spans="18:19" x14ac:dyDescent="0.25">
      <c r="R3497" s="72"/>
      <c r="S3497" s="72"/>
    </row>
    <row r="3498" spans="18:19" x14ac:dyDescent="0.25">
      <c r="R3498" s="72"/>
      <c r="S3498" s="72"/>
    </row>
    <row r="3499" spans="18:19" x14ac:dyDescent="0.25">
      <c r="R3499" s="72"/>
      <c r="S3499" s="72"/>
    </row>
    <row r="3500" spans="18:19" x14ac:dyDescent="0.25">
      <c r="R3500" s="72"/>
      <c r="S3500" s="72"/>
    </row>
    <row r="3501" spans="18:19" x14ac:dyDescent="0.25">
      <c r="R3501" s="72"/>
      <c r="S3501" s="72"/>
    </row>
    <row r="3502" spans="18:19" x14ac:dyDescent="0.25">
      <c r="R3502" s="72"/>
      <c r="S3502" s="72"/>
    </row>
    <row r="3503" spans="18:19" x14ac:dyDescent="0.25">
      <c r="R3503" s="72"/>
      <c r="S3503" s="72"/>
    </row>
    <row r="3504" spans="18:19" x14ac:dyDescent="0.25">
      <c r="R3504" s="72"/>
      <c r="S3504" s="72"/>
    </row>
    <row r="3505" spans="18:19" x14ac:dyDescent="0.25">
      <c r="R3505" s="72"/>
      <c r="S3505" s="72"/>
    </row>
    <row r="3506" spans="18:19" x14ac:dyDescent="0.25">
      <c r="R3506" s="72"/>
      <c r="S3506" s="72"/>
    </row>
    <row r="3507" spans="18:19" x14ac:dyDescent="0.25">
      <c r="R3507" s="72"/>
      <c r="S3507" s="72"/>
    </row>
    <row r="3508" spans="18:19" x14ac:dyDescent="0.25">
      <c r="R3508" s="72"/>
      <c r="S3508" s="72"/>
    </row>
    <row r="3509" spans="18:19" x14ac:dyDescent="0.25">
      <c r="R3509" s="72"/>
      <c r="S3509" s="72"/>
    </row>
    <row r="3510" spans="18:19" x14ac:dyDescent="0.25">
      <c r="R3510" s="72"/>
      <c r="S3510" s="72"/>
    </row>
    <row r="3511" spans="18:19" x14ac:dyDescent="0.25">
      <c r="R3511" s="72"/>
      <c r="S3511" s="72"/>
    </row>
    <row r="3512" spans="18:19" x14ac:dyDescent="0.25">
      <c r="R3512" s="72"/>
      <c r="S3512" s="72"/>
    </row>
    <row r="3513" spans="18:19" x14ac:dyDescent="0.25">
      <c r="R3513" s="72"/>
      <c r="S3513" s="72"/>
    </row>
    <row r="3514" spans="18:19" x14ac:dyDescent="0.25">
      <c r="R3514" s="72"/>
      <c r="S3514" s="72"/>
    </row>
    <row r="3515" spans="18:19" x14ac:dyDescent="0.25">
      <c r="R3515" s="72"/>
      <c r="S3515" s="72"/>
    </row>
    <row r="3516" spans="18:19" x14ac:dyDescent="0.25">
      <c r="R3516" s="72"/>
      <c r="S3516" s="72"/>
    </row>
    <row r="3517" spans="18:19" x14ac:dyDescent="0.25">
      <c r="R3517" s="72"/>
      <c r="S3517" s="72"/>
    </row>
    <row r="3518" spans="18:19" x14ac:dyDescent="0.25">
      <c r="R3518" s="72"/>
      <c r="S3518" s="72"/>
    </row>
    <row r="3519" spans="18:19" x14ac:dyDescent="0.25">
      <c r="R3519" s="72"/>
      <c r="S3519" s="72"/>
    </row>
    <row r="3520" spans="18:19" x14ac:dyDescent="0.25">
      <c r="R3520" s="72"/>
      <c r="S3520" s="72"/>
    </row>
    <row r="3521" spans="18:19" x14ac:dyDescent="0.25">
      <c r="R3521" s="72"/>
      <c r="S3521" s="72"/>
    </row>
    <row r="3522" spans="18:19" x14ac:dyDescent="0.25">
      <c r="R3522" s="72"/>
      <c r="S3522" s="72"/>
    </row>
    <row r="3523" spans="18:19" x14ac:dyDescent="0.25">
      <c r="R3523" s="72"/>
      <c r="S3523" s="72"/>
    </row>
    <row r="3524" spans="18:19" x14ac:dyDescent="0.25">
      <c r="R3524" s="72"/>
      <c r="S3524" s="72"/>
    </row>
    <row r="3525" spans="18:19" x14ac:dyDescent="0.25">
      <c r="R3525" s="72"/>
      <c r="S3525" s="72"/>
    </row>
    <row r="3526" spans="18:19" x14ac:dyDescent="0.25">
      <c r="R3526" s="72"/>
      <c r="S3526" s="72"/>
    </row>
    <row r="3527" spans="18:19" x14ac:dyDescent="0.25">
      <c r="R3527" s="72"/>
      <c r="S3527" s="72"/>
    </row>
    <row r="3528" spans="18:19" x14ac:dyDescent="0.25">
      <c r="R3528" s="72"/>
      <c r="S3528" s="72"/>
    </row>
    <row r="3529" spans="18:19" x14ac:dyDescent="0.25">
      <c r="R3529" s="72"/>
      <c r="S3529" s="72"/>
    </row>
    <row r="3530" spans="18:19" x14ac:dyDescent="0.25">
      <c r="R3530" s="72"/>
      <c r="S3530" s="72"/>
    </row>
    <row r="3531" spans="18:19" x14ac:dyDescent="0.25">
      <c r="R3531" s="72"/>
      <c r="S3531" s="72"/>
    </row>
    <row r="3532" spans="18:19" x14ac:dyDescent="0.25">
      <c r="R3532" s="72"/>
      <c r="S3532" s="72"/>
    </row>
    <row r="3533" spans="18:19" x14ac:dyDescent="0.25">
      <c r="R3533" s="72"/>
      <c r="S3533" s="72"/>
    </row>
    <row r="3534" spans="18:19" x14ac:dyDescent="0.25">
      <c r="R3534" s="72"/>
      <c r="S3534" s="72"/>
    </row>
    <row r="3535" spans="18:19" x14ac:dyDescent="0.25">
      <c r="R3535" s="72"/>
      <c r="S3535" s="72"/>
    </row>
    <row r="3536" spans="18:19" x14ac:dyDescent="0.25">
      <c r="R3536" s="72"/>
      <c r="S3536" s="72"/>
    </row>
    <row r="3537" spans="18:19" x14ac:dyDescent="0.25">
      <c r="R3537" s="72"/>
      <c r="S3537" s="72"/>
    </row>
    <row r="3538" spans="18:19" x14ac:dyDescent="0.25">
      <c r="R3538" s="72"/>
      <c r="S3538" s="72"/>
    </row>
    <row r="3539" spans="18:19" x14ac:dyDescent="0.25">
      <c r="R3539" s="72"/>
      <c r="S3539" s="72"/>
    </row>
    <row r="3540" spans="18:19" x14ac:dyDescent="0.25">
      <c r="R3540" s="72"/>
      <c r="S3540" s="72"/>
    </row>
    <row r="3541" spans="18:19" x14ac:dyDescent="0.25">
      <c r="R3541" s="72"/>
      <c r="S3541" s="72"/>
    </row>
    <row r="3542" spans="18:19" x14ac:dyDescent="0.25">
      <c r="R3542" s="72"/>
      <c r="S3542" s="72"/>
    </row>
    <row r="3543" spans="18:19" x14ac:dyDescent="0.25">
      <c r="R3543" s="72"/>
      <c r="S3543" s="72"/>
    </row>
    <row r="3544" spans="18:19" x14ac:dyDescent="0.25">
      <c r="R3544" s="72"/>
      <c r="S3544" s="72"/>
    </row>
    <row r="3545" spans="18:19" x14ac:dyDescent="0.25">
      <c r="R3545" s="72"/>
      <c r="S3545" s="72"/>
    </row>
    <row r="3546" spans="18:19" x14ac:dyDescent="0.25">
      <c r="R3546" s="72"/>
      <c r="S3546" s="72"/>
    </row>
    <row r="3547" spans="18:19" x14ac:dyDescent="0.25">
      <c r="R3547" s="72"/>
      <c r="S3547" s="72"/>
    </row>
    <row r="3548" spans="18:19" x14ac:dyDescent="0.25">
      <c r="R3548" s="72"/>
      <c r="S3548" s="72"/>
    </row>
    <row r="3549" spans="18:19" x14ac:dyDescent="0.25">
      <c r="R3549" s="72"/>
      <c r="S3549" s="72"/>
    </row>
    <row r="3550" spans="18:19" x14ac:dyDescent="0.25">
      <c r="R3550" s="72"/>
      <c r="S3550" s="72"/>
    </row>
    <row r="3551" spans="18:19" x14ac:dyDescent="0.25">
      <c r="R3551" s="72"/>
      <c r="S3551" s="72"/>
    </row>
    <row r="3552" spans="18:19" x14ac:dyDescent="0.25">
      <c r="R3552" s="72"/>
      <c r="S3552" s="72"/>
    </row>
    <row r="3553" spans="18:19" x14ac:dyDescent="0.25">
      <c r="R3553" s="72"/>
      <c r="S3553" s="72"/>
    </row>
    <row r="3554" spans="18:19" x14ac:dyDescent="0.25">
      <c r="R3554" s="72"/>
      <c r="S3554" s="72"/>
    </row>
    <row r="3555" spans="18:19" x14ac:dyDescent="0.25">
      <c r="R3555" s="72"/>
      <c r="S3555" s="72"/>
    </row>
    <row r="3556" spans="18:19" x14ac:dyDescent="0.25">
      <c r="R3556" s="72"/>
      <c r="S3556" s="72"/>
    </row>
    <row r="3557" spans="18:19" x14ac:dyDescent="0.25">
      <c r="R3557" s="72"/>
      <c r="S3557" s="72"/>
    </row>
    <row r="3558" spans="18:19" x14ac:dyDescent="0.25">
      <c r="R3558" s="72"/>
      <c r="S3558" s="72"/>
    </row>
    <row r="3559" spans="18:19" x14ac:dyDescent="0.25">
      <c r="R3559" s="72"/>
      <c r="S3559" s="72"/>
    </row>
    <row r="3560" spans="18:19" x14ac:dyDescent="0.25">
      <c r="R3560" s="72"/>
      <c r="S3560" s="72"/>
    </row>
    <row r="3561" spans="18:19" x14ac:dyDescent="0.25">
      <c r="R3561" s="72"/>
      <c r="S3561" s="72"/>
    </row>
    <row r="3562" spans="18:19" x14ac:dyDescent="0.25">
      <c r="R3562" s="72"/>
      <c r="S3562" s="72"/>
    </row>
    <row r="3563" spans="18:19" x14ac:dyDescent="0.25">
      <c r="R3563" s="72"/>
      <c r="S3563" s="72"/>
    </row>
    <row r="3564" spans="18:19" x14ac:dyDescent="0.25">
      <c r="R3564" s="72"/>
      <c r="S3564" s="72"/>
    </row>
    <row r="3565" spans="18:19" x14ac:dyDescent="0.25">
      <c r="R3565" s="72"/>
      <c r="S3565" s="72"/>
    </row>
    <row r="3566" spans="18:19" x14ac:dyDescent="0.25">
      <c r="R3566" s="72"/>
      <c r="S3566" s="72"/>
    </row>
    <row r="3567" spans="18:19" x14ac:dyDescent="0.25">
      <c r="R3567" s="72"/>
      <c r="S3567" s="72"/>
    </row>
    <row r="3568" spans="18:19" x14ac:dyDescent="0.25">
      <c r="R3568" s="72"/>
      <c r="S3568" s="72"/>
    </row>
    <row r="3569" spans="18:19" x14ac:dyDescent="0.25">
      <c r="R3569" s="72"/>
      <c r="S3569" s="72"/>
    </row>
    <row r="3570" spans="18:19" x14ac:dyDescent="0.25">
      <c r="R3570" s="72"/>
      <c r="S3570" s="72"/>
    </row>
    <row r="3571" spans="18:19" x14ac:dyDescent="0.25">
      <c r="R3571" s="72"/>
      <c r="S3571" s="72"/>
    </row>
    <row r="3572" spans="18:19" x14ac:dyDescent="0.25">
      <c r="R3572" s="72"/>
      <c r="S3572" s="72"/>
    </row>
    <row r="3573" spans="18:19" x14ac:dyDescent="0.25">
      <c r="R3573" s="72"/>
      <c r="S3573" s="72"/>
    </row>
    <row r="3574" spans="18:19" x14ac:dyDescent="0.25">
      <c r="R3574" s="72"/>
      <c r="S3574" s="72"/>
    </row>
    <row r="3575" spans="18:19" x14ac:dyDescent="0.25">
      <c r="R3575" s="72"/>
      <c r="S3575" s="72"/>
    </row>
    <row r="3576" spans="18:19" x14ac:dyDescent="0.25">
      <c r="R3576" s="72"/>
      <c r="S3576" s="72"/>
    </row>
    <row r="3577" spans="18:19" x14ac:dyDescent="0.25">
      <c r="R3577" s="72"/>
      <c r="S3577" s="72"/>
    </row>
    <row r="3578" spans="18:19" x14ac:dyDescent="0.25">
      <c r="R3578" s="72"/>
      <c r="S3578" s="72"/>
    </row>
    <row r="3579" spans="18:19" x14ac:dyDescent="0.25">
      <c r="R3579" s="72"/>
      <c r="S3579" s="72"/>
    </row>
    <row r="3580" spans="18:19" x14ac:dyDescent="0.25">
      <c r="R3580" s="72"/>
      <c r="S3580" s="72"/>
    </row>
    <row r="3581" spans="18:19" x14ac:dyDescent="0.25">
      <c r="R3581" s="72"/>
      <c r="S3581" s="72"/>
    </row>
    <row r="3582" spans="18:19" x14ac:dyDescent="0.25">
      <c r="R3582" s="72"/>
      <c r="S3582" s="72"/>
    </row>
    <row r="3583" spans="18:19" x14ac:dyDescent="0.25">
      <c r="R3583" s="72"/>
      <c r="S3583" s="72"/>
    </row>
    <row r="3584" spans="18:19" x14ac:dyDescent="0.25">
      <c r="R3584" s="72"/>
      <c r="S3584" s="72"/>
    </row>
    <row r="3585" spans="18:19" x14ac:dyDescent="0.25">
      <c r="R3585" s="72"/>
      <c r="S3585" s="72"/>
    </row>
    <row r="3586" spans="18:19" x14ac:dyDescent="0.25">
      <c r="R3586" s="72"/>
      <c r="S3586" s="72"/>
    </row>
    <row r="3587" spans="18:19" x14ac:dyDescent="0.25">
      <c r="R3587" s="72"/>
      <c r="S3587" s="72"/>
    </row>
    <row r="3588" spans="18:19" x14ac:dyDescent="0.25">
      <c r="R3588" s="72"/>
      <c r="S3588" s="72"/>
    </row>
    <row r="3589" spans="18:19" x14ac:dyDescent="0.25">
      <c r="R3589" s="72"/>
      <c r="S3589" s="72"/>
    </row>
    <row r="3590" spans="18:19" x14ac:dyDescent="0.25">
      <c r="R3590" s="72"/>
      <c r="S3590" s="72"/>
    </row>
    <row r="3591" spans="18:19" x14ac:dyDescent="0.25">
      <c r="R3591" s="72"/>
      <c r="S3591" s="72"/>
    </row>
    <row r="3592" spans="18:19" x14ac:dyDescent="0.25">
      <c r="R3592" s="72"/>
      <c r="S3592" s="72"/>
    </row>
    <row r="3593" spans="18:19" x14ac:dyDescent="0.25">
      <c r="R3593" s="72"/>
      <c r="S3593" s="72"/>
    </row>
    <row r="3594" spans="18:19" x14ac:dyDescent="0.25">
      <c r="R3594" s="72"/>
      <c r="S3594" s="72"/>
    </row>
    <row r="3595" spans="18:19" x14ac:dyDescent="0.25">
      <c r="R3595" s="72"/>
      <c r="S3595" s="72"/>
    </row>
    <row r="3596" spans="18:19" x14ac:dyDescent="0.25">
      <c r="R3596" s="72"/>
      <c r="S3596" s="72"/>
    </row>
    <row r="3597" spans="18:19" x14ac:dyDescent="0.25">
      <c r="R3597" s="72"/>
      <c r="S3597" s="72"/>
    </row>
    <row r="3598" spans="18:19" x14ac:dyDescent="0.25">
      <c r="R3598" s="72"/>
      <c r="S3598" s="72"/>
    </row>
    <row r="3599" spans="18:19" x14ac:dyDescent="0.25">
      <c r="R3599" s="72"/>
      <c r="S3599" s="72"/>
    </row>
    <row r="3600" spans="18:19" x14ac:dyDescent="0.25">
      <c r="R3600" s="72"/>
      <c r="S3600" s="72"/>
    </row>
    <row r="3601" spans="18:19" x14ac:dyDescent="0.25">
      <c r="R3601" s="72"/>
      <c r="S3601" s="72"/>
    </row>
    <row r="3602" spans="18:19" x14ac:dyDescent="0.25">
      <c r="R3602" s="72"/>
      <c r="S3602" s="72"/>
    </row>
    <row r="3603" spans="18:19" x14ac:dyDescent="0.25">
      <c r="R3603" s="72"/>
      <c r="S3603" s="72"/>
    </row>
    <row r="3604" spans="18:19" x14ac:dyDescent="0.25">
      <c r="R3604" s="72"/>
      <c r="S3604" s="72"/>
    </row>
    <row r="3605" spans="18:19" x14ac:dyDescent="0.25">
      <c r="R3605" s="72"/>
      <c r="S3605" s="72"/>
    </row>
    <row r="3606" spans="18:19" x14ac:dyDescent="0.25">
      <c r="R3606" s="72"/>
      <c r="S3606" s="72"/>
    </row>
    <row r="3607" spans="18:19" x14ac:dyDescent="0.25">
      <c r="R3607" s="72"/>
      <c r="S3607" s="72"/>
    </row>
    <row r="3608" spans="18:19" x14ac:dyDescent="0.25">
      <c r="R3608" s="72"/>
      <c r="S3608" s="72"/>
    </row>
    <row r="3609" spans="18:19" x14ac:dyDescent="0.25">
      <c r="R3609" s="72"/>
      <c r="S3609" s="72"/>
    </row>
    <row r="3610" spans="18:19" x14ac:dyDescent="0.25">
      <c r="R3610" s="72"/>
      <c r="S3610" s="72"/>
    </row>
    <row r="3611" spans="18:19" x14ac:dyDescent="0.25">
      <c r="R3611" s="72"/>
      <c r="S3611" s="72"/>
    </row>
    <row r="3612" spans="18:19" x14ac:dyDescent="0.25">
      <c r="R3612" s="72"/>
      <c r="S3612" s="72"/>
    </row>
    <row r="3613" spans="18:19" x14ac:dyDescent="0.25">
      <c r="R3613" s="72"/>
      <c r="S3613" s="72"/>
    </row>
    <row r="3614" spans="18:19" x14ac:dyDescent="0.25">
      <c r="R3614" s="72"/>
      <c r="S3614" s="72"/>
    </row>
    <row r="3615" spans="18:19" x14ac:dyDescent="0.25">
      <c r="R3615" s="72"/>
      <c r="S3615" s="72"/>
    </row>
    <row r="3616" spans="18:19" x14ac:dyDescent="0.25">
      <c r="R3616" s="72"/>
      <c r="S3616" s="72"/>
    </row>
    <row r="3617" spans="18:19" x14ac:dyDescent="0.25">
      <c r="R3617" s="72"/>
      <c r="S3617" s="72"/>
    </row>
    <row r="3618" spans="18:19" x14ac:dyDescent="0.25">
      <c r="R3618" s="72"/>
      <c r="S3618" s="72"/>
    </row>
    <row r="3619" spans="18:19" x14ac:dyDescent="0.25">
      <c r="R3619" s="72"/>
      <c r="S3619" s="72"/>
    </row>
    <row r="3620" spans="18:19" x14ac:dyDescent="0.25">
      <c r="R3620" s="72"/>
      <c r="S3620" s="72"/>
    </row>
    <row r="3621" spans="18:19" x14ac:dyDescent="0.25">
      <c r="R3621" s="72"/>
      <c r="S3621" s="72"/>
    </row>
    <row r="3622" spans="18:19" x14ac:dyDescent="0.25">
      <c r="R3622" s="72"/>
      <c r="S3622" s="72"/>
    </row>
    <row r="3623" spans="18:19" x14ac:dyDescent="0.25">
      <c r="R3623" s="72"/>
      <c r="S3623" s="72"/>
    </row>
    <row r="3624" spans="18:19" x14ac:dyDescent="0.25">
      <c r="R3624" s="72"/>
      <c r="S3624" s="72"/>
    </row>
    <row r="3625" spans="18:19" x14ac:dyDescent="0.25">
      <c r="R3625" s="72"/>
      <c r="S3625" s="72"/>
    </row>
    <row r="3626" spans="18:19" x14ac:dyDescent="0.25">
      <c r="R3626" s="72"/>
      <c r="S3626" s="72"/>
    </row>
    <row r="3627" spans="18:19" x14ac:dyDescent="0.25">
      <c r="R3627" s="72"/>
      <c r="S3627" s="72"/>
    </row>
    <row r="3628" spans="18:19" x14ac:dyDescent="0.25">
      <c r="R3628" s="72"/>
      <c r="S3628" s="72"/>
    </row>
    <row r="3629" spans="18:19" x14ac:dyDescent="0.25">
      <c r="R3629" s="72"/>
      <c r="S3629" s="72"/>
    </row>
    <row r="3630" spans="18:19" x14ac:dyDescent="0.25">
      <c r="R3630" s="72"/>
      <c r="S3630" s="72"/>
    </row>
    <row r="3631" spans="18:19" x14ac:dyDescent="0.25">
      <c r="R3631" s="72"/>
      <c r="S3631" s="72"/>
    </row>
    <row r="3632" spans="18:19" x14ac:dyDescent="0.25">
      <c r="R3632" s="72"/>
      <c r="S3632" s="72"/>
    </row>
    <row r="3633" spans="18:19" x14ac:dyDescent="0.25">
      <c r="R3633" s="72"/>
      <c r="S3633" s="72"/>
    </row>
    <row r="3634" spans="18:19" x14ac:dyDescent="0.25">
      <c r="R3634" s="72"/>
      <c r="S3634" s="72"/>
    </row>
    <row r="3635" spans="18:19" x14ac:dyDescent="0.25">
      <c r="R3635" s="72"/>
      <c r="S3635" s="72"/>
    </row>
    <row r="3636" spans="18:19" x14ac:dyDescent="0.25">
      <c r="R3636" s="72"/>
      <c r="S3636" s="72"/>
    </row>
    <row r="3637" spans="18:19" x14ac:dyDescent="0.25">
      <c r="R3637" s="72"/>
      <c r="S3637" s="72"/>
    </row>
    <row r="3638" spans="18:19" x14ac:dyDescent="0.25">
      <c r="R3638" s="72"/>
      <c r="S3638" s="72"/>
    </row>
    <row r="3639" spans="18:19" x14ac:dyDescent="0.25">
      <c r="R3639" s="72"/>
      <c r="S3639" s="72"/>
    </row>
    <row r="3640" spans="18:19" x14ac:dyDescent="0.25">
      <c r="R3640" s="72"/>
      <c r="S3640" s="72"/>
    </row>
    <row r="3641" spans="18:19" x14ac:dyDescent="0.25">
      <c r="R3641" s="72"/>
      <c r="S3641" s="72"/>
    </row>
    <row r="3642" spans="18:19" x14ac:dyDescent="0.25">
      <c r="R3642" s="72"/>
      <c r="S3642" s="72"/>
    </row>
    <row r="3643" spans="18:19" x14ac:dyDescent="0.25">
      <c r="R3643" s="72"/>
      <c r="S3643" s="72"/>
    </row>
    <row r="3644" spans="18:19" x14ac:dyDescent="0.25">
      <c r="R3644" s="72"/>
      <c r="S3644" s="72"/>
    </row>
    <row r="3645" spans="18:19" x14ac:dyDescent="0.25">
      <c r="R3645" s="72"/>
      <c r="S3645" s="72"/>
    </row>
    <row r="3646" spans="18:19" x14ac:dyDescent="0.25">
      <c r="R3646" s="72"/>
      <c r="S3646" s="72"/>
    </row>
    <row r="3647" spans="18:19" x14ac:dyDescent="0.25">
      <c r="R3647" s="72"/>
      <c r="S3647" s="72"/>
    </row>
    <row r="3648" spans="18:19" x14ac:dyDescent="0.25">
      <c r="R3648" s="72"/>
      <c r="S3648" s="72"/>
    </row>
    <row r="3649" spans="18:19" x14ac:dyDescent="0.25">
      <c r="R3649" s="72"/>
      <c r="S3649" s="72"/>
    </row>
    <row r="3650" spans="18:19" x14ac:dyDescent="0.25">
      <c r="R3650" s="72"/>
      <c r="S3650" s="72"/>
    </row>
    <row r="3651" spans="18:19" x14ac:dyDescent="0.25">
      <c r="R3651" s="72"/>
      <c r="S3651" s="72"/>
    </row>
    <row r="3652" spans="18:19" x14ac:dyDescent="0.25">
      <c r="R3652" s="72"/>
      <c r="S3652" s="72"/>
    </row>
    <row r="3653" spans="18:19" x14ac:dyDescent="0.25">
      <c r="R3653" s="72"/>
      <c r="S3653" s="72"/>
    </row>
    <row r="3654" spans="18:19" x14ac:dyDescent="0.25">
      <c r="R3654" s="72"/>
      <c r="S3654" s="72"/>
    </row>
    <row r="3655" spans="18:19" x14ac:dyDescent="0.25">
      <c r="R3655" s="72"/>
      <c r="S3655" s="72"/>
    </row>
    <row r="3656" spans="18:19" x14ac:dyDescent="0.25">
      <c r="R3656" s="72"/>
      <c r="S3656" s="72"/>
    </row>
    <row r="3657" spans="18:19" x14ac:dyDescent="0.25">
      <c r="R3657" s="72"/>
      <c r="S3657" s="72"/>
    </row>
    <row r="3658" spans="18:19" x14ac:dyDescent="0.25">
      <c r="R3658" s="72"/>
      <c r="S3658" s="72"/>
    </row>
    <row r="3659" spans="18:19" x14ac:dyDescent="0.25">
      <c r="R3659" s="72"/>
      <c r="S3659" s="72"/>
    </row>
    <row r="3660" spans="18:19" x14ac:dyDescent="0.25">
      <c r="R3660" s="72"/>
      <c r="S3660" s="72"/>
    </row>
    <row r="3661" spans="18:19" x14ac:dyDescent="0.25">
      <c r="R3661" s="72"/>
      <c r="S3661" s="72"/>
    </row>
    <row r="3662" spans="18:19" x14ac:dyDescent="0.25">
      <c r="R3662" s="72"/>
      <c r="S3662" s="72"/>
    </row>
    <row r="3663" spans="18:19" x14ac:dyDescent="0.25">
      <c r="R3663" s="72"/>
      <c r="S3663" s="72"/>
    </row>
    <row r="3664" spans="18:19" x14ac:dyDescent="0.25">
      <c r="R3664" s="72"/>
      <c r="S3664" s="72"/>
    </row>
    <row r="3665" spans="18:19" x14ac:dyDescent="0.25">
      <c r="R3665" s="72"/>
      <c r="S3665" s="72"/>
    </row>
    <row r="3666" spans="18:19" x14ac:dyDescent="0.25">
      <c r="R3666" s="72"/>
      <c r="S3666" s="72"/>
    </row>
    <row r="3667" spans="18:19" x14ac:dyDescent="0.25">
      <c r="R3667" s="72"/>
      <c r="S3667" s="72"/>
    </row>
    <row r="3668" spans="18:19" x14ac:dyDescent="0.25">
      <c r="R3668" s="72"/>
      <c r="S3668" s="72"/>
    </row>
    <row r="3669" spans="18:19" x14ac:dyDescent="0.25">
      <c r="R3669" s="72"/>
      <c r="S3669" s="72"/>
    </row>
    <row r="3670" spans="18:19" x14ac:dyDescent="0.25">
      <c r="R3670" s="72"/>
      <c r="S3670" s="72"/>
    </row>
    <row r="3671" spans="18:19" x14ac:dyDescent="0.25">
      <c r="R3671" s="72"/>
      <c r="S3671" s="72"/>
    </row>
    <row r="3672" spans="18:19" x14ac:dyDescent="0.25">
      <c r="R3672" s="72"/>
      <c r="S3672" s="72"/>
    </row>
    <row r="3673" spans="18:19" x14ac:dyDescent="0.25">
      <c r="R3673" s="72"/>
      <c r="S3673" s="72"/>
    </row>
    <row r="3674" spans="18:19" x14ac:dyDescent="0.25">
      <c r="R3674" s="72"/>
      <c r="S3674" s="72"/>
    </row>
    <row r="3675" spans="18:19" x14ac:dyDescent="0.25">
      <c r="R3675" s="72"/>
      <c r="S3675" s="72"/>
    </row>
    <row r="3676" spans="18:19" x14ac:dyDescent="0.25">
      <c r="R3676" s="72"/>
      <c r="S3676" s="72"/>
    </row>
    <row r="3677" spans="18:19" x14ac:dyDescent="0.25">
      <c r="R3677" s="72"/>
      <c r="S3677" s="72"/>
    </row>
    <row r="3678" spans="18:19" x14ac:dyDescent="0.25">
      <c r="R3678" s="72"/>
      <c r="S3678" s="72"/>
    </row>
    <row r="3679" spans="18:19" x14ac:dyDescent="0.25">
      <c r="R3679" s="72"/>
      <c r="S3679" s="72"/>
    </row>
    <row r="3680" spans="18:19" x14ac:dyDescent="0.25">
      <c r="R3680" s="72"/>
      <c r="S3680" s="72"/>
    </row>
    <row r="3681" spans="18:19" x14ac:dyDescent="0.25">
      <c r="R3681" s="72"/>
      <c r="S3681" s="72"/>
    </row>
    <row r="3682" spans="18:19" x14ac:dyDescent="0.25">
      <c r="R3682" s="72"/>
      <c r="S3682" s="72"/>
    </row>
    <row r="3683" spans="18:19" x14ac:dyDescent="0.25">
      <c r="R3683" s="72"/>
      <c r="S3683" s="72"/>
    </row>
    <row r="3684" spans="18:19" x14ac:dyDescent="0.25">
      <c r="R3684" s="72"/>
      <c r="S3684" s="72"/>
    </row>
    <row r="3685" spans="18:19" x14ac:dyDescent="0.25">
      <c r="R3685" s="72"/>
      <c r="S3685" s="72"/>
    </row>
    <row r="3686" spans="18:19" x14ac:dyDescent="0.25">
      <c r="R3686" s="72"/>
      <c r="S3686" s="72"/>
    </row>
    <row r="3687" spans="18:19" x14ac:dyDescent="0.25">
      <c r="R3687" s="72"/>
      <c r="S3687" s="72"/>
    </row>
    <row r="3688" spans="18:19" x14ac:dyDescent="0.25">
      <c r="R3688" s="72"/>
      <c r="S3688" s="72"/>
    </row>
    <row r="3689" spans="18:19" x14ac:dyDescent="0.25">
      <c r="R3689" s="72"/>
      <c r="S3689" s="72"/>
    </row>
    <row r="3690" spans="18:19" x14ac:dyDescent="0.25">
      <c r="R3690" s="72"/>
      <c r="S3690" s="72"/>
    </row>
    <row r="3691" spans="18:19" x14ac:dyDescent="0.25">
      <c r="R3691" s="72"/>
      <c r="S3691" s="72"/>
    </row>
    <row r="3692" spans="18:19" x14ac:dyDescent="0.25">
      <c r="R3692" s="72"/>
      <c r="S3692" s="72"/>
    </row>
    <row r="3693" spans="18:19" x14ac:dyDescent="0.25">
      <c r="R3693" s="72"/>
      <c r="S3693" s="72"/>
    </row>
    <row r="3694" spans="18:19" x14ac:dyDescent="0.25">
      <c r="R3694" s="72"/>
      <c r="S3694" s="72"/>
    </row>
    <row r="3695" spans="18:19" x14ac:dyDescent="0.25">
      <c r="R3695" s="72"/>
      <c r="S3695" s="72"/>
    </row>
    <row r="3696" spans="18:19" x14ac:dyDescent="0.25">
      <c r="R3696" s="72"/>
      <c r="S3696" s="72"/>
    </row>
    <row r="3697" spans="18:19" x14ac:dyDescent="0.25">
      <c r="R3697" s="72"/>
      <c r="S3697" s="72"/>
    </row>
    <row r="3698" spans="18:19" x14ac:dyDescent="0.25">
      <c r="R3698" s="72"/>
      <c r="S3698" s="72"/>
    </row>
    <row r="3699" spans="18:19" x14ac:dyDescent="0.25">
      <c r="R3699" s="72"/>
      <c r="S3699" s="72"/>
    </row>
    <row r="3700" spans="18:19" x14ac:dyDescent="0.25">
      <c r="R3700" s="72"/>
      <c r="S3700" s="72"/>
    </row>
    <row r="3701" spans="18:19" x14ac:dyDescent="0.25">
      <c r="R3701" s="72"/>
      <c r="S3701" s="72"/>
    </row>
    <row r="3702" spans="18:19" x14ac:dyDescent="0.25">
      <c r="R3702" s="72"/>
      <c r="S3702" s="72"/>
    </row>
    <row r="3703" spans="18:19" x14ac:dyDescent="0.25">
      <c r="R3703" s="72"/>
      <c r="S3703" s="72"/>
    </row>
    <row r="3704" spans="18:19" x14ac:dyDescent="0.25">
      <c r="R3704" s="72"/>
      <c r="S3704" s="72"/>
    </row>
    <row r="3705" spans="18:19" x14ac:dyDescent="0.25">
      <c r="R3705" s="72"/>
      <c r="S3705" s="72"/>
    </row>
    <row r="3706" spans="18:19" x14ac:dyDescent="0.25">
      <c r="R3706" s="72"/>
      <c r="S3706" s="72"/>
    </row>
    <row r="3707" spans="18:19" x14ac:dyDescent="0.25">
      <c r="R3707" s="72"/>
      <c r="S3707" s="72"/>
    </row>
    <row r="3708" spans="18:19" x14ac:dyDescent="0.25">
      <c r="R3708" s="72"/>
      <c r="S3708" s="72"/>
    </row>
    <row r="3709" spans="18:19" x14ac:dyDescent="0.25">
      <c r="R3709" s="72"/>
      <c r="S3709" s="72"/>
    </row>
    <row r="3710" spans="18:19" x14ac:dyDescent="0.25">
      <c r="R3710" s="72"/>
      <c r="S3710" s="72"/>
    </row>
    <row r="3711" spans="18:19" x14ac:dyDescent="0.25">
      <c r="R3711" s="72"/>
      <c r="S3711" s="72"/>
    </row>
    <row r="3712" spans="18:19" x14ac:dyDescent="0.25">
      <c r="R3712" s="72"/>
      <c r="S3712" s="72"/>
    </row>
    <row r="3713" spans="18:19" x14ac:dyDescent="0.25">
      <c r="R3713" s="72"/>
      <c r="S3713" s="72"/>
    </row>
    <row r="3714" spans="18:19" x14ac:dyDescent="0.25">
      <c r="R3714" s="72"/>
      <c r="S3714" s="72"/>
    </row>
    <row r="3715" spans="18:19" x14ac:dyDescent="0.25">
      <c r="R3715" s="72"/>
      <c r="S3715" s="72"/>
    </row>
    <row r="3716" spans="18:19" x14ac:dyDescent="0.25">
      <c r="R3716" s="72"/>
      <c r="S3716" s="72"/>
    </row>
    <row r="3717" spans="18:19" x14ac:dyDescent="0.25">
      <c r="R3717" s="72"/>
      <c r="S3717" s="72"/>
    </row>
    <row r="3718" spans="18:19" x14ac:dyDescent="0.25">
      <c r="R3718" s="72"/>
      <c r="S3718" s="72"/>
    </row>
    <row r="3719" spans="18:19" x14ac:dyDescent="0.25">
      <c r="R3719" s="72"/>
      <c r="S3719" s="72"/>
    </row>
    <row r="3720" spans="18:19" x14ac:dyDescent="0.25">
      <c r="R3720" s="72"/>
      <c r="S3720" s="72"/>
    </row>
    <row r="3721" spans="18:19" x14ac:dyDescent="0.25">
      <c r="R3721" s="72"/>
      <c r="S3721" s="72"/>
    </row>
    <row r="3722" spans="18:19" x14ac:dyDescent="0.25">
      <c r="R3722" s="72"/>
      <c r="S3722" s="72"/>
    </row>
    <row r="3723" spans="18:19" x14ac:dyDescent="0.25">
      <c r="R3723" s="72"/>
      <c r="S3723" s="72"/>
    </row>
    <row r="3724" spans="18:19" x14ac:dyDescent="0.25">
      <c r="R3724" s="72"/>
      <c r="S3724" s="72"/>
    </row>
    <row r="3725" spans="18:19" x14ac:dyDescent="0.25">
      <c r="R3725" s="72"/>
      <c r="S3725" s="72"/>
    </row>
    <row r="3726" spans="18:19" x14ac:dyDescent="0.25">
      <c r="R3726" s="72"/>
      <c r="S3726" s="72"/>
    </row>
    <row r="3727" spans="18:19" x14ac:dyDescent="0.25">
      <c r="R3727" s="72"/>
      <c r="S3727" s="72"/>
    </row>
    <row r="3728" spans="18:19" x14ac:dyDescent="0.25">
      <c r="R3728" s="72"/>
      <c r="S3728" s="72"/>
    </row>
    <row r="3729" spans="18:19" x14ac:dyDescent="0.25">
      <c r="R3729" s="72"/>
      <c r="S3729" s="72"/>
    </row>
    <row r="3730" spans="18:19" x14ac:dyDescent="0.25">
      <c r="R3730" s="72"/>
      <c r="S3730" s="72"/>
    </row>
    <row r="3731" spans="18:19" x14ac:dyDescent="0.25">
      <c r="R3731" s="72"/>
      <c r="S3731" s="72"/>
    </row>
    <row r="3732" spans="18:19" x14ac:dyDescent="0.25">
      <c r="R3732" s="72"/>
      <c r="S3732" s="72"/>
    </row>
    <row r="3733" spans="18:19" x14ac:dyDescent="0.25">
      <c r="R3733" s="72"/>
      <c r="S3733" s="72"/>
    </row>
    <row r="3734" spans="18:19" x14ac:dyDescent="0.25">
      <c r="R3734" s="72"/>
      <c r="S3734" s="72"/>
    </row>
    <row r="3735" spans="18:19" x14ac:dyDescent="0.25">
      <c r="R3735" s="72"/>
      <c r="S3735" s="72"/>
    </row>
    <row r="3736" spans="18:19" x14ac:dyDescent="0.25">
      <c r="R3736" s="72"/>
      <c r="S3736" s="72"/>
    </row>
    <row r="3737" spans="18:19" x14ac:dyDescent="0.25">
      <c r="R3737" s="72"/>
      <c r="S3737" s="72"/>
    </row>
    <row r="3738" spans="18:19" x14ac:dyDescent="0.25">
      <c r="R3738" s="72"/>
      <c r="S3738" s="72"/>
    </row>
    <row r="3739" spans="18:19" x14ac:dyDescent="0.25">
      <c r="R3739" s="72"/>
      <c r="S3739" s="72"/>
    </row>
    <row r="3740" spans="18:19" x14ac:dyDescent="0.25">
      <c r="R3740" s="72"/>
      <c r="S3740" s="72"/>
    </row>
    <row r="3741" spans="18:19" x14ac:dyDescent="0.25">
      <c r="R3741" s="72"/>
      <c r="S3741" s="72"/>
    </row>
    <row r="3742" spans="18:19" x14ac:dyDescent="0.25">
      <c r="R3742" s="72"/>
      <c r="S3742" s="72"/>
    </row>
    <row r="3743" spans="18:19" x14ac:dyDescent="0.25">
      <c r="R3743" s="72"/>
      <c r="S3743" s="72"/>
    </row>
    <row r="3744" spans="18:19" x14ac:dyDescent="0.25">
      <c r="R3744" s="72"/>
      <c r="S3744" s="72"/>
    </row>
    <row r="3745" spans="18:19" x14ac:dyDescent="0.25">
      <c r="R3745" s="72"/>
      <c r="S3745" s="72"/>
    </row>
    <row r="3746" spans="18:19" x14ac:dyDescent="0.25">
      <c r="R3746" s="72"/>
      <c r="S3746" s="72"/>
    </row>
    <row r="3747" spans="18:19" x14ac:dyDescent="0.25">
      <c r="R3747" s="72"/>
      <c r="S3747" s="72"/>
    </row>
    <row r="3748" spans="18:19" x14ac:dyDescent="0.25">
      <c r="R3748" s="72"/>
      <c r="S3748" s="72"/>
    </row>
    <row r="3749" spans="18:19" x14ac:dyDescent="0.25">
      <c r="R3749" s="72"/>
      <c r="S3749" s="72"/>
    </row>
    <row r="3750" spans="18:19" x14ac:dyDescent="0.25">
      <c r="R3750" s="72"/>
      <c r="S3750" s="72"/>
    </row>
    <row r="3751" spans="18:19" x14ac:dyDescent="0.25">
      <c r="R3751" s="72"/>
      <c r="S3751" s="72"/>
    </row>
    <row r="3752" spans="18:19" x14ac:dyDescent="0.25">
      <c r="R3752" s="72"/>
      <c r="S3752" s="72"/>
    </row>
    <row r="3753" spans="18:19" x14ac:dyDescent="0.25">
      <c r="R3753" s="72"/>
      <c r="S3753" s="72"/>
    </row>
    <row r="3754" spans="18:19" x14ac:dyDescent="0.25">
      <c r="R3754" s="72"/>
      <c r="S3754" s="72"/>
    </row>
    <row r="3755" spans="18:19" x14ac:dyDescent="0.25">
      <c r="R3755" s="72"/>
      <c r="S3755" s="72"/>
    </row>
    <row r="3756" spans="18:19" x14ac:dyDescent="0.25">
      <c r="R3756" s="72"/>
      <c r="S3756" s="72"/>
    </row>
    <row r="3757" spans="18:19" x14ac:dyDescent="0.25">
      <c r="R3757" s="72"/>
      <c r="S3757" s="72"/>
    </row>
    <row r="3758" spans="18:19" x14ac:dyDescent="0.25">
      <c r="R3758" s="72"/>
      <c r="S3758" s="72"/>
    </row>
    <row r="3759" spans="18:19" x14ac:dyDescent="0.25">
      <c r="R3759" s="72"/>
      <c r="S3759" s="72"/>
    </row>
    <row r="3760" spans="18:19" x14ac:dyDescent="0.25">
      <c r="R3760" s="72"/>
      <c r="S3760" s="72"/>
    </row>
    <row r="3761" spans="18:19" x14ac:dyDescent="0.25">
      <c r="R3761" s="72"/>
      <c r="S3761" s="72"/>
    </row>
    <row r="3762" spans="18:19" x14ac:dyDescent="0.25">
      <c r="R3762" s="72"/>
      <c r="S3762" s="72"/>
    </row>
    <row r="3763" spans="18:19" x14ac:dyDescent="0.25">
      <c r="R3763" s="72"/>
      <c r="S3763" s="72"/>
    </row>
    <row r="3764" spans="18:19" x14ac:dyDescent="0.25">
      <c r="R3764" s="72"/>
      <c r="S3764" s="72"/>
    </row>
    <row r="3765" spans="18:19" x14ac:dyDescent="0.25">
      <c r="R3765" s="72"/>
      <c r="S3765" s="72"/>
    </row>
    <row r="3766" spans="18:19" x14ac:dyDescent="0.25">
      <c r="R3766" s="72"/>
      <c r="S3766" s="72"/>
    </row>
    <row r="3767" spans="18:19" x14ac:dyDescent="0.25">
      <c r="R3767" s="72"/>
      <c r="S3767" s="72"/>
    </row>
    <row r="3768" spans="18:19" x14ac:dyDescent="0.25">
      <c r="R3768" s="72"/>
      <c r="S3768" s="72"/>
    </row>
    <row r="3769" spans="18:19" x14ac:dyDescent="0.25">
      <c r="R3769" s="72"/>
      <c r="S3769" s="72"/>
    </row>
    <row r="3770" spans="18:19" x14ac:dyDescent="0.25">
      <c r="R3770" s="72"/>
      <c r="S3770" s="72"/>
    </row>
    <row r="3771" spans="18:19" x14ac:dyDescent="0.25">
      <c r="R3771" s="72"/>
      <c r="S3771" s="72"/>
    </row>
    <row r="3772" spans="18:19" x14ac:dyDescent="0.25">
      <c r="R3772" s="72"/>
      <c r="S3772" s="72"/>
    </row>
    <row r="3773" spans="18:19" x14ac:dyDescent="0.25">
      <c r="R3773" s="72"/>
      <c r="S3773" s="72"/>
    </row>
    <row r="3774" spans="18:19" x14ac:dyDescent="0.25">
      <c r="R3774" s="72"/>
      <c r="S3774" s="72"/>
    </row>
    <row r="3775" spans="18:19" x14ac:dyDescent="0.25">
      <c r="R3775" s="72"/>
      <c r="S3775" s="72"/>
    </row>
    <row r="3776" spans="18:19" x14ac:dyDescent="0.25">
      <c r="R3776" s="72"/>
      <c r="S3776" s="72"/>
    </row>
    <row r="3777" spans="18:19" x14ac:dyDescent="0.25">
      <c r="R3777" s="72"/>
      <c r="S3777" s="72"/>
    </row>
    <row r="3778" spans="18:19" x14ac:dyDescent="0.25">
      <c r="R3778" s="72"/>
      <c r="S3778" s="72"/>
    </row>
    <row r="3779" spans="18:19" x14ac:dyDescent="0.25">
      <c r="R3779" s="72"/>
      <c r="S3779" s="72"/>
    </row>
    <row r="3780" spans="18:19" x14ac:dyDescent="0.25">
      <c r="R3780" s="72"/>
      <c r="S3780" s="72"/>
    </row>
    <row r="3781" spans="18:19" x14ac:dyDescent="0.25">
      <c r="R3781" s="72"/>
      <c r="S3781" s="72"/>
    </row>
    <row r="3782" spans="18:19" x14ac:dyDescent="0.25">
      <c r="R3782" s="72"/>
      <c r="S3782" s="72"/>
    </row>
    <row r="3783" spans="18:19" x14ac:dyDescent="0.25">
      <c r="R3783" s="72"/>
      <c r="S3783" s="72"/>
    </row>
    <row r="3784" spans="18:19" x14ac:dyDescent="0.25">
      <c r="R3784" s="72"/>
      <c r="S3784" s="72"/>
    </row>
    <row r="3785" spans="18:19" x14ac:dyDescent="0.25">
      <c r="R3785" s="72"/>
      <c r="S3785" s="72"/>
    </row>
    <row r="3786" spans="18:19" x14ac:dyDescent="0.25">
      <c r="R3786" s="72"/>
      <c r="S3786" s="72"/>
    </row>
    <row r="3787" spans="18:19" x14ac:dyDescent="0.25">
      <c r="R3787" s="72"/>
      <c r="S3787" s="72"/>
    </row>
    <row r="3788" spans="18:19" x14ac:dyDescent="0.25">
      <c r="R3788" s="72"/>
      <c r="S3788" s="72"/>
    </row>
    <row r="3789" spans="18:19" x14ac:dyDescent="0.25">
      <c r="R3789" s="72"/>
      <c r="S3789" s="72"/>
    </row>
    <row r="3790" spans="18:19" x14ac:dyDescent="0.25">
      <c r="R3790" s="72"/>
      <c r="S3790" s="72"/>
    </row>
    <row r="3791" spans="18:19" x14ac:dyDescent="0.25">
      <c r="R3791" s="72"/>
      <c r="S3791" s="72"/>
    </row>
    <row r="3792" spans="18:19" x14ac:dyDescent="0.25">
      <c r="R3792" s="72"/>
      <c r="S3792" s="72"/>
    </row>
    <row r="3793" spans="18:19" x14ac:dyDescent="0.25">
      <c r="R3793" s="72"/>
      <c r="S3793" s="72"/>
    </row>
    <row r="3794" spans="18:19" x14ac:dyDescent="0.25">
      <c r="R3794" s="72"/>
      <c r="S3794" s="72"/>
    </row>
    <row r="3795" spans="18:19" x14ac:dyDescent="0.25">
      <c r="R3795" s="72"/>
      <c r="S3795" s="72"/>
    </row>
    <row r="3796" spans="18:19" x14ac:dyDescent="0.25">
      <c r="R3796" s="72"/>
      <c r="S3796" s="72"/>
    </row>
    <row r="3797" spans="18:19" x14ac:dyDescent="0.25">
      <c r="R3797" s="72"/>
      <c r="S3797" s="72"/>
    </row>
    <row r="3798" spans="18:19" x14ac:dyDescent="0.25">
      <c r="R3798" s="72"/>
      <c r="S3798" s="72"/>
    </row>
    <row r="3799" spans="18:19" x14ac:dyDescent="0.25">
      <c r="R3799" s="72"/>
      <c r="S3799" s="72"/>
    </row>
    <row r="3800" spans="18:19" x14ac:dyDescent="0.25">
      <c r="R3800" s="72"/>
      <c r="S3800" s="72"/>
    </row>
    <row r="3801" spans="18:19" x14ac:dyDescent="0.25">
      <c r="R3801" s="72"/>
      <c r="S3801" s="72"/>
    </row>
    <row r="3802" spans="18:19" x14ac:dyDescent="0.25">
      <c r="R3802" s="72"/>
      <c r="S3802" s="72"/>
    </row>
    <row r="3803" spans="18:19" x14ac:dyDescent="0.25">
      <c r="R3803" s="72"/>
      <c r="S3803" s="72"/>
    </row>
    <row r="3804" spans="18:19" x14ac:dyDescent="0.25">
      <c r="R3804" s="72"/>
      <c r="S3804" s="72"/>
    </row>
    <row r="3805" spans="18:19" x14ac:dyDescent="0.25">
      <c r="R3805" s="72"/>
      <c r="S3805" s="72"/>
    </row>
    <row r="3806" spans="18:19" x14ac:dyDescent="0.25">
      <c r="R3806" s="72"/>
      <c r="S3806" s="72"/>
    </row>
    <row r="3807" spans="18:19" x14ac:dyDescent="0.25">
      <c r="R3807" s="72"/>
      <c r="S3807" s="72"/>
    </row>
    <row r="3808" spans="18:19" x14ac:dyDescent="0.25">
      <c r="R3808" s="72"/>
      <c r="S3808" s="72"/>
    </row>
    <row r="3809" spans="18:19" x14ac:dyDescent="0.25">
      <c r="R3809" s="72"/>
      <c r="S3809" s="72"/>
    </row>
    <row r="3810" spans="18:19" x14ac:dyDescent="0.25">
      <c r="R3810" s="72"/>
      <c r="S3810" s="72"/>
    </row>
    <row r="3811" spans="18:19" x14ac:dyDescent="0.25">
      <c r="R3811" s="72"/>
      <c r="S3811" s="72"/>
    </row>
    <row r="3812" spans="18:19" x14ac:dyDescent="0.25">
      <c r="R3812" s="72"/>
      <c r="S3812" s="72"/>
    </row>
    <row r="3813" spans="18:19" x14ac:dyDescent="0.25">
      <c r="R3813" s="72"/>
      <c r="S3813" s="72"/>
    </row>
    <row r="3814" spans="18:19" x14ac:dyDescent="0.25">
      <c r="R3814" s="72"/>
      <c r="S3814" s="72"/>
    </row>
    <row r="3815" spans="18:19" x14ac:dyDescent="0.25">
      <c r="R3815" s="72"/>
      <c r="S3815" s="72"/>
    </row>
    <row r="3816" spans="18:19" x14ac:dyDescent="0.25">
      <c r="R3816" s="72"/>
      <c r="S3816" s="72"/>
    </row>
    <row r="3817" spans="18:19" x14ac:dyDescent="0.25">
      <c r="R3817" s="72"/>
      <c r="S3817" s="72"/>
    </row>
    <row r="3818" spans="18:19" x14ac:dyDescent="0.25">
      <c r="R3818" s="72"/>
      <c r="S3818" s="72"/>
    </row>
    <row r="3819" spans="18:19" x14ac:dyDescent="0.25">
      <c r="R3819" s="72"/>
      <c r="S3819" s="72"/>
    </row>
    <row r="3820" spans="18:19" x14ac:dyDescent="0.25">
      <c r="R3820" s="72"/>
      <c r="S3820" s="72"/>
    </row>
    <row r="3821" spans="18:19" x14ac:dyDescent="0.25">
      <c r="R3821" s="72"/>
      <c r="S3821" s="72"/>
    </row>
    <row r="3822" spans="18:19" x14ac:dyDescent="0.25">
      <c r="R3822" s="72"/>
      <c r="S3822" s="72"/>
    </row>
    <row r="3823" spans="18:19" x14ac:dyDescent="0.25">
      <c r="R3823" s="72"/>
      <c r="S3823" s="72"/>
    </row>
    <row r="3824" spans="18:19" x14ac:dyDescent="0.25">
      <c r="R3824" s="72"/>
      <c r="S3824" s="72"/>
    </row>
    <row r="3825" spans="18:19" x14ac:dyDescent="0.25">
      <c r="R3825" s="72"/>
      <c r="S3825" s="72"/>
    </row>
    <row r="3826" spans="18:19" x14ac:dyDescent="0.25">
      <c r="R3826" s="72"/>
      <c r="S3826" s="72"/>
    </row>
    <row r="3827" spans="18:19" x14ac:dyDescent="0.25">
      <c r="R3827" s="72"/>
      <c r="S3827" s="72"/>
    </row>
    <row r="3828" spans="18:19" x14ac:dyDescent="0.25">
      <c r="R3828" s="72"/>
      <c r="S3828" s="72"/>
    </row>
    <row r="3829" spans="18:19" x14ac:dyDescent="0.25">
      <c r="R3829" s="72"/>
      <c r="S3829" s="72"/>
    </row>
    <row r="3830" spans="18:19" x14ac:dyDescent="0.25">
      <c r="R3830" s="72"/>
      <c r="S3830" s="72"/>
    </row>
    <row r="3831" spans="18:19" x14ac:dyDescent="0.25">
      <c r="R3831" s="72"/>
      <c r="S3831" s="72"/>
    </row>
    <row r="3832" spans="18:19" x14ac:dyDescent="0.25">
      <c r="R3832" s="72"/>
      <c r="S3832" s="72"/>
    </row>
    <row r="3833" spans="18:19" x14ac:dyDescent="0.25">
      <c r="R3833" s="72"/>
      <c r="S3833" s="72"/>
    </row>
    <row r="3834" spans="18:19" x14ac:dyDescent="0.25">
      <c r="R3834" s="72"/>
      <c r="S3834" s="72"/>
    </row>
    <row r="3835" spans="18:19" x14ac:dyDescent="0.25">
      <c r="R3835" s="72"/>
      <c r="S3835" s="72"/>
    </row>
    <row r="3836" spans="18:19" x14ac:dyDescent="0.25">
      <c r="R3836" s="72"/>
      <c r="S3836" s="72"/>
    </row>
    <row r="3837" spans="18:19" x14ac:dyDescent="0.25">
      <c r="R3837" s="72"/>
      <c r="S3837" s="72"/>
    </row>
    <row r="3838" spans="18:19" x14ac:dyDescent="0.25">
      <c r="R3838" s="72"/>
      <c r="S3838" s="72"/>
    </row>
    <row r="3839" spans="18:19" x14ac:dyDescent="0.25">
      <c r="R3839" s="72"/>
      <c r="S3839" s="72"/>
    </row>
    <row r="3840" spans="18:19" x14ac:dyDescent="0.25">
      <c r="R3840" s="72"/>
      <c r="S3840" s="72"/>
    </row>
    <row r="3841" spans="18:19" x14ac:dyDescent="0.25">
      <c r="R3841" s="72"/>
      <c r="S3841" s="72"/>
    </row>
    <row r="3842" spans="18:19" x14ac:dyDescent="0.25">
      <c r="R3842" s="72"/>
      <c r="S3842" s="72"/>
    </row>
    <row r="3843" spans="18:19" x14ac:dyDescent="0.25">
      <c r="R3843" s="72"/>
      <c r="S3843" s="72"/>
    </row>
    <row r="3844" spans="18:19" x14ac:dyDescent="0.25">
      <c r="R3844" s="72"/>
      <c r="S3844" s="72"/>
    </row>
    <row r="3845" spans="18:19" x14ac:dyDescent="0.25">
      <c r="R3845" s="72"/>
      <c r="S3845" s="72"/>
    </row>
    <row r="3846" spans="18:19" x14ac:dyDescent="0.25">
      <c r="R3846" s="72"/>
      <c r="S3846" s="72"/>
    </row>
    <row r="3847" spans="18:19" x14ac:dyDescent="0.25">
      <c r="R3847" s="72"/>
      <c r="S3847" s="72"/>
    </row>
    <row r="3848" spans="18:19" x14ac:dyDescent="0.25">
      <c r="R3848" s="72"/>
      <c r="S3848" s="72"/>
    </row>
    <row r="3849" spans="18:19" x14ac:dyDescent="0.25">
      <c r="R3849" s="72"/>
      <c r="S3849" s="72"/>
    </row>
    <row r="3850" spans="18:19" x14ac:dyDescent="0.25">
      <c r="R3850" s="72"/>
      <c r="S3850" s="72"/>
    </row>
    <row r="3851" spans="18:19" x14ac:dyDescent="0.25">
      <c r="R3851" s="72"/>
      <c r="S3851" s="72"/>
    </row>
    <row r="3852" spans="18:19" x14ac:dyDescent="0.25">
      <c r="R3852" s="72"/>
      <c r="S3852" s="72"/>
    </row>
    <row r="3853" spans="18:19" x14ac:dyDescent="0.25">
      <c r="R3853" s="72"/>
      <c r="S3853" s="72"/>
    </row>
    <row r="3854" spans="18:19" x14ac:dyDescent="0.25">
      <c r="R3854" s="72"/>
      <c r="S3854" s="72"/>
    </row>
    <row r="3855" spans="18:19" x14ac:dyDescent="0.25">
      <c r="R3855" s="72"/>
      <c r="S3855" s="72"/>
    </row>
    <row r="3856" spans="18:19" x14ac:dyDescent="0.25">
      <c r="R3856" s="72"/>
      <c r="S3856" s="72"/>
    </row>
    <row r="3857" spans="18:19" x14ac:dyDescent="0.25">
      <c r="R3857" s="72"/>
      <c r="S3857" s="72"/>
    </row>
    <row r="3858" spans="18:19" x14ac:dyDescent="0.25">
      <c r="R3858" s="72"/>
      <c r="S3858" s="72"/>
    </row>
    <row r="3859" spans="18:19" x14ac:dyDescent="0.25">
      <c r="R3859" s="72"/>
      <c r="S3859" s="72"/>
    </row>
    <row r="3860" spans="18:19" x14ac:dyDescent="0.25">
      <c r="R3860" s="72"/>
      <c r="S3860" s="72"/>
    </row>
    <row r="3861" spans="18:19" x14ac:dyDescent="0.25">
      <c r="R3861" s="72"/>
      <c r="S3861" s="72"/>
    </row>
    <row r="3862" spans="18:19" x14ac:dyDescent="0.25">
      <c r="R3862" s="72"/>
      <c r="S3862" s="72"/>
    </row>
    <row r="3863" spans="18:19" x14ac:dyDescent="0.25">
      <c r="R3863" s="72"/>
      <c r="S3863" s="72"/>
    </row>
    <row r="3864" spans="18:19" x14ac:dyDescent="0.25">
      <c r="R3864" s="72"/>
      <c r="S3864" s="72"/>
    </row>
    <row r="3865" spans="18:19" x14ac:dyDescent="0.25">
      <c r="R3865" s="72"/>
      <c r="S3865" s="72"/>
    </row>
    <row r="3866" spans="18:19" x14ac:dyDescent="0.25">
      <c r="R3866" s="72"/>
      <c r="S3866" s="72"/>
    </row>
    <row r="3867" spans="18:19" x14ac:dyDescent="0.25">
      <c r="R3867" s="72"/>
      <c r="S3867" s="72"/>
    </row>
    <row r="3868" spans="18:19" x14ac:dyDescent="0.25">
      <c r="R3868" s="72"/>
      <c r="S3868" s="72"/>
    </row>
    <row r="3869" spans="18:19" x14ac:dyDescent="0.25">
      <c r="R3869" s="72"/>
      <c r="S3869" s="72"/>
    </row>
    <row r="3870" spans="18:19" x14ac:dyDescent="0.25">
      <c r="R3870" s="72"/>
      <c r="S3870" s="72"/>
    </row>
    <row r="3871" spans="18:19" x14ac:dyDescent="0.25">
      <c r="R3871" s="72"/>
      <c r="S3871" s="72"/>
    </row>
    <row r="3872" spans="18:19" x14ac:dyDescent="0.25">
      <c r="R3872" s="72"/>
      <c r="S3872" s="72"/>
    </row>
    <row r="3873" spans="18:19" x14ac:dyDescent="0.25">
      <c r="R3873" s="72"/>
      <c r="S3873" s="72"/>
    </row>
    <row r="3874" spans="18:19" x14ac:dyDescent="0.25">
      <c r="R3874" s="72"/>
      <c r="S3874" s="72"/>
    </row>
    <row r="3875" spans="18:19" x14ac:dyDescent="0.25">
      <c r="R3875" s="72"/>
      <c r="S3875" s="72"/>
    </row>
    <row r="3876" spans="18:19" x14ac:dyDescent="0.25">
      <c r="R3876" s="72"/>
      <c r="S3876" s="72"/>
    </row>
    <row r="3877" spans="18:19" x14ac:dyDescent="0.25">
      <c r="R3877" s="72"/>
      <c r="S3877" s="72"/>
    </row>
    <row r="3878" spans="18:19" x14ac:dyDescent="0.25">
      <c r="R3878" s="72"/>
      <c r="S3878" s="72"/>
    </row>
    <row r="3879" spans="18:19" x14ac:dyDescent="0.25">
      <c r="R3879" s="72"/>
      <c r="S3879" s="72"/>
    </row>
    <row r="3880" spans="18:19" x14ac:dyDescent="0.25">
      <c r="R3880" s="72"/>
      <c r="S3880" s="72"/>
    </row>
    <row r="3881" spans="18:19" x14ac:dyDescent="0.25">
      <c r="R3881" s="72"/>
      <c r="S3881" s="72"/>
    </row>
    <row r="3882" spans="18:19" x14ac:dyDescent="0.25">
      <c r="R3882" s="72"/>
      <c r="S3882" s="72"/>
    </row>
    <row r="3883" spans="18:19" x14ac:dyDescent="0.25">
      <c r="R3883" s="72"/>
      <c r="S3883" s="72"/>
    </row>
    <row r="3884" spans="18:19" x14ac:dyDescent="0.25">
      <c r="R3884" s="72"/>
      <c r="S3884" s="72"/>
    </row>
    <row r="3885" spans="18:19" x14ac:dyDescent="0.25">
      <c r="R3885" s="72"/>
      <c r="S3885" s="72"/>
    </row>
    <row r="3886" spans="18:19" x14ac:dyDescent="0.25">
      <c r="R3886" s="72"/>
      <c r="S3886" s="72"/>
    </row>
    <row r="3887" spans="18:19" x14ac:dyDescent="0.25">
      <c r="R3887" s="72"/>
      <c r="S3887" s="72"/>
    </row>
    <row r="3888" spans="18:19" x14ac:dyDescent="0.25">
      <c r="R3888" s="72"/>
      <c r="S3888" s="72"/>
    </row>
    <row r="3889" spans="18:19" x14ac:dyDescent="0.25">
      <c r="R3889" s="72"/>
      <c r="S3889" s="72"/>
    </row>
    <row r="3890" spans="18:19" x14ac:dyDescent="0.25">
      <c r="R3890" s="72"/>
      <c r="S3890" s="72"/>
    </row>
    <row r="3891" spans="18:19" x14ac:dyDescent="0.25">
      <c r="R3891" s="72"/>
      <c r="S3891" s="72"/>
    </row>
    <row r="3892" spans="18:19" x14ac:dyDescent="0.25">
      <c r="R3892" s="72"/>
      <c r="S3892" s="72"/>
    </row>
    <row r="3893" spans="18:19" x14ac:dyDescent="0.25">
      <c r="R3893" s="72"/>
      <c r="S3893" s="72"/>
    </row>
    <row r="3894" spans="18:19" x14ac:dyDescent="0.25">
      <c r="R3894" s="72"/>
      <c r="S3894" s="72"/>
    </row>
    <row r="3895" spans="18:19" x14ac:dyDescent="0.25">
      <c r="R3895" s="72"/>
      <c r="S3895" s="72"/>
    </row>
    <row r="3896" spans="18:19" x14ac:dyDescent="0.25">
      <c r="R3896" s="72"/>
      <c r="S3896" s="72"/>
    </row>
    <row r="3897" spans="18:19" x14ac:dyDescent="0.25">
      <c r="R3897" s="72"/>
      <c r="S3897" s="72"/>
    </row>
    <row r="3898" spans="18:19" x14ac:dyDescent="0.25">
      <c r="R3898" s="72"/>
      <c r="S3898" s="72"/>
    </row>
    <row r="3899" spans="18:19" x14ac:dyDescent="0.25">
      <c r="R3899" s="72"/>
      <c r="S3899" s="72"/>
    </row>
    <row r="3900" spans="18:19" x14ac:dyDescent="0.25">
      <c r="R3900" s="72"/>
      <c r="S3900" s="72"/>
    </row>
    <row r="3901" spans="18:19" x14ac:dyDescent="0.25">
      <c r="R3901" s="72"/>
      <c r="S3901" s="72"/>
    </row>
    <row r="3902" spans="18:19" x14ac:dyDescent="0.25">
      <c r="R3902" s="72"/>
      <c r="S3902" s="72"/>
    </row>
    <row r="3903" spans="18:19" x14ac:dyDescent="0.25">
      <c r="R3903" s="72"/>
      <c r="S3903" s="72"/>
    </row>
    <row r="3904" spans="18:19" x14ac:dyDescent="0.25">
      <c r="R3904" s="72"/>
      <c r="S3904" s="72"/>
    </row>
    <row r="3905" spans="18:19" x14ac:dyDescent="0.25">
      <c r="R3905" s="72"/>
      <c r="S3905" s="72"/>
    </row>
    <row r="3906" spans="18:19" x14ac:dyDescent="0.25">
      <c r="R3906" s="72"/>
      <c r="S3906" s="72"/>
    </row>
    <row r="3907" spans="18:19" x14ac:dyDescent="0.25">
      <c r="R3907" s="72"/>
      <c r="S3907" s="72"/>
    </row>
    <row r="3908" spans="18:19" x14ac:dyDescent="0.25">
      <c r="R3908" s="72"/>
      <c r="S3908" s="72"/>
    </row>
    <row r="3909" spans="18:19" x14ac:dyDescent="0.25">
      <c r="R3909" s="72"/>
      <c r="S3909" s="72"/>
    </row>
    <row r="3910" spans="18:19" x14ac:dyDescent="0.25">
      <c r="R3910" s="72"/>
      <c r="S3910" s="72"/>
    </row>
    <row r="3911" spans="18:19" x14ac:dyDescent="0.25">
      <c r="R3911" s="72"/>
      <c r="S3911" s="72"/>
    </row>
    <row r="3912" spans="18:19" x14ac:dyDescent="0.25">
      <c r="R3912" s="72"/>
      <c r="S3912" s="72"/>
    </row>
    <row r="3913" spans="18:19" x14ac:dyDescent="0.25">
      <c r="R3913" s="72"/>
      <c r="S3913" s="72"/>
    </row>
    <row r="3914" spans="18:19" x14ac:dyDescent="0.25">
      <c r="R3914" s="72"/>
      <c r="S3914" s="72"/>
    </row>
    <row r="3915" spans="18:19" x14ac:dyDescent="0.25">
      <c r="R3915" s="72"/>
      <c r="S3915" s="72"/>
    </row>
    <row r="3916" spans="18:19" x14ac:dyDescent="0.25">
      <c r="R3916" s="72"/>
      <c r="S3916" s="72"/>
    </row>
    <row r="3917" spans="18:19" x14ac:dyDescent="0.25">
      <c r="R3917" s="72"/>
      <c r="S3917" s="72"/>
    </row>
    <row r="3918" spans="18:19" x14ac:dyDescent="0.25">
      <c r="R3918" s="72"/>
      <c r="S3918" s="72"/>
    </row>
    <row r="3919" spans="18:19" x14ac:dyDescent="0.25">
      <c r="R3919" s="72"/>
      <c r="S3919" s="72"/>
    </row>
    <row r="3920" spans="18:19" x14ac:dyDescent="0.25">
      <c r="R3920" s="72"/>
      <c r="S3920" s="72"/>
    </row>
    <row r="3921" spans="18:19" x14ac:dyDescent="0.25">
      <c r="R3921" s="72"/>
      <c r="S3921" s="72"/>
    </row>
    <row r="3922" spans="18:19" x14ac:dyDescent="0.25">
      <c r="R3922" s="72"/>
      <c r="S3922" s="72"/>
    </row>
    <row r="3923" spans="18:19" x14ac:dyDescent="0.25">
      <c r="R3923" s="72"/>
      <c r="S3923" s="72"/>
    </row>
    <row r="3924" spans="18:19" x14ac:dyDescent="0.25">
      <c r="R3924" s="72"/>
      <c r="S3924" s="72"/>
    </row>
    <row r="3925" spans="18:19" x14ac:dyDescent="0.25">
      <c r="R3925" s="72"/>
      <c r="S3925" s="72"/>
    </row>
    <row r="3926" spans="18:19" x14ac:dyDescent="0.25">
      <c r="R3926" s="72"/>
      <c r="S3926" s="72"/>
    </row>
    <row r="3927" spans="18:19" x14ac:dyDescent="0.25">
      <c r="R3927" s="72"/>
      <c r="S3927" s="72"/>
    </row>
    <row r="3928" spans="18:19" x14ac:dyDescent="0.25">
      <c r="R3928" s="72"/>
      <c r="S3928" s="72"/>
    </row>
    <row r="3929" spans="18:19" x14ac:dyDescent="0.25">
      <c r="R3929" s="72"/>
      <c r="S3929" s="72"/>
    </row>
    <row r="3930" spans="18:19" x14ac:dyDescent="0.25">
      <c r="R3930" s="72"/>
      <c r="S3930" s="72"/>
    </row>
    <row r="3931" spans="18:19" x14ac:dyDescent="0.25">
      <c r="R3931" s="72"/>
      <c r="S3931" s="72"/>
    </row>
    <row r="3932" spans="18:19" x14ac:dyDescent="0.25">
      <c r="R3932" s="72"/>
      <c r="S3932" s="72"/>
    </row>
    <row r="3933" spans="18:19" x14ac:dyDescent="0.25">
      <c r="R3933" s="72"/>
      <c r="S3933" s="72"/>
    </row>
    <row r="3934" spans="18:19" x14ac:dyDescent="0.25">
      <c r="R3934" s="72"/>
      <c r="S3934" s="72"/>
    </row>
    <row r="3935" spans="18:19" x14ac:dyDescent="0.25">
      <c r="R3935" s="72"/>
      <c r="S3935" s="72"/>
    </row>
    <row r="3936" spans="18:19" x14ac:dyDescent="0.25">
      <c r="R3936" s="72"/>
      <c r="S3936" s="72"/>
    </row>
    <row r="3937" spans="18:19" x14ac:dyDescent="0.25">
      <c r="R3937" s="72"/>
      <c r="S3937" s="72"/>
    </row>
    <row r="3938" spans="18:19" x14ac:dyDescent="0.25">
      <c r="R3938" s="72"/>
      <c r="S3938" s="72"/>
    </row>
    <row r="3939" spans="18:19" x14ac:dyDescent="0.25">
      <c r="R3939" s="72"/>
      <c r="S3939" s="72"/>
    </row>
    <row r="3940" spans="18:19" x14ac:dyDescent="0.25">
      <c r="R3940" s="72"/>
      <c r="S3940" s="72"/>
    </row>
    <row r="3941" spans="18:19" x14ac:dyDescent="0.25">
      <c r="R3941" s="72"/>
      <c r="S3941" s="72"/>
    </row>
    <row r="3942" spans="18:19" x14ac:dyDescent="0.25">
      <c r="R3942" s="72"/>
      <c r="S3942" s="72"/>
    </row>
    <row r="3943" spans="18:19" x14ac:dyDescent="0.25">
      <c r="R3943" s="72"/>
      <c r="S3943" s="72"/>
    </row>
    <row r="3944" spans="18:19" x14ac:dyDescent="0.25">
      <c r="R3944" s="72"/>
      <c r="S3944" s="72"/>
    </row>
    <row r="3945" spans="18:19" x14ac:dyDescent="0.25">
      <c r="R3945" s="72"/>
      <c r="S3945" s="72"/>
    </row>
    <row r="3946" spans="18:19" x14ac:dyDescent="0.25">
      <c r="R3946" s="72"/>
      <c r="S3946" s="72"/>
    </row>
    <row r="3947" spans="18:19" x14ac:dyDescent="0.25">
      <c r="R3947" s="72"/>
      <c r="S3947" s="72"/>
    </row>
    <row r="3948" spans="18:19" x14ac:dyDescent="0.25">
      <c r="R3948" s="72"/>
      <c r="S3948" s="72"/>
    </row>
    <row r="3949" spans="18:19" x14ac:dyDescent="0.25">
      <c r="R3949" s="72"/>
      <c r="S3949" s="72"/>
    </row>
    <row r="3950" spans="18:19" x14ac:dyDescent="0.25">
      <c r="R3950" s="72"/>
      <c r="S3950" s="72"/>
    </row>
    <row r="3951" spans="18:19" x14ac:dyDescent="0.25">
      <c r="R3951" s="72"/>
      <c r="S3951" s="72"/>
    </row>
    <row r="3952" spans="18:19" x14ac:dyDescent="0.25">
      <c r="R3952" s="72"/>
      <c r="S3952" s="72"/>
    </row>
    <row r="3953" spans="18:19" x14ac:dyDescent="0.25">
      <c r="R3953" s="72"/>
      <c r="S3953" s="72"/>
    </row>
    <row r="3954" spans="18:19" x14ac:dyDescent="0.25">
      <c r="R3954" s="72"/>
      <c r="S3954" s="72"/>
    </row>
    <row r="3955" spans="18:19" x14ac:dyDescent="0.25">
      <c r="R3955" s="72"/>
      <c r="S3955" s="72"/>
    </row>
    <row r="3956" spans="18:19" x14ac:dyDescent="0.25">
      <c r="R3956" s="72"/>
      <c r="S3956" s="72"/>
    </row>
    <row r="3957" spans="18:19" x14ac:dyDescent="0.25">
      <c r="R3957" s="72"/>
      <c r="S3957" s="72"/>
    </row>
    <row r="3958" spans="18:19" x14ac:dyDescent="0.25">
      <c r="R3958" s="72"/>
      <c r="S3958" s="72"/>
    </row>
    <row r="3959" spans="18:19" x14ac:dyDescent="0.25">
      <c r="R3959" s="72"/>
      <c r="S3959" s="72"/>
    </row>
    <row r="3960" spans="18:19" x14ac:dyDescent="0.25">
      <c r="R3960" s="72"/>
      <c r="S3960" s="72"/>
    </row>
    <row r="3961" spans="18:19" x14ac:dyDescent="0.25">
      <c r="R3961" s="72"/>
      <c r="S3961" s="72"/>
    </row>
    <row r="3962" spans="18:19" x14ac:dyDescent="0.25">
      <c r="R3962" s="72"/>
      <c r="S3962" s="72"/>
    </row>
    <row r="3963" spans="18:19" x14ac:dyDescent="0.25">
      <c r="R3963" s="72"/>
      <c r="S3963" s="72"/>
    </row>
    <row r="3964" spans="18:19" x14ac:dyDescent="0.25">
      <c r="R3964" s="72"/>
      <c r="S3964" s="72"/>
    </row>
    <row r="3965" spans="18:19" x14ac:dyDescent="0.25">
      <c r="R3965" s="72"/>
      <c r="S3965" s="72"/>
    </row>
    <row r="3966" spans="18:19" x14ac:dyDescent="0.25">
      <c r="R3966" s="72"/>
      <c r="S3966" s="72"/>
    </row>
    <row r="3967" spans="18:19" x14ac:dyDescent="0.25">
      <c r="R3967" s="72"/>
      <c r="S3967" s="72"/>
    </row>
    <row r="3968" spans="18:19" x14ac:dyDescent="0.25">
      <c r="R3968" s="72"/>
      <c r="S3968" s="72"/>
    </row>
    <row r="3969" spans="18:19" x14ac:dyDescent="0.25">
      <c r="R3969" s="72"/>
      <c r="S3969" s="72"/>
    </row>
    <row r="3970" spans="18:19" x14ac:dyDescent="0.25">
      <c r="R3970" s="72"/>
      <c r="S3970" s="72"/>
    </row>
    <row r="3971" spans="18:19" x14ac:dyDescent="0.25">
      <c r="R3971" s="72"/>
      <c r="S3971" s="72"/>
    </row>
    <row r="3972" spans="18:19" x14ac:dyDescent="0.25">
      <c r="R3972" s="72"/>
      <c r="S3972" s="72"/>
    </row>
    <row r="3973" spans="18:19" x14ac:dyDescent="0.25">
      <c r="R3973" s="72"/>
      <c r="S3973" s="72"/>
    </row>
    <row r="3974" spans="18:19" x14ac:dyDescent="0.25">
      <c r="R3974" s="72"/>
      <c r="S3974" s="72"/>
    </row>
    <row r="3975" spans="18:19" x14ac:dyDescent="0.25">
      <c r="R3975" s="72"/>
      <c r="S3975" s="72"/>
    </row>
    <row r="3976" spans="18:19" x14ac:dyDescent="0.25">
      <c r="R3976" s="72"/>
      <c r="S3976" s="72"/>
    </row>
    <row r="3977" spans="18:19" x14ac:dyDescent="0.25">
      <c r="R3977" s="72"/>
      <c r="S3977" s="72"/>
    </row>
    <row r="3978" spans="18:19" x14ac:dyDescent="0.25">
      <c r="R3978" s="72"/>
      <c r="S3978" s="72"/>
    </row>
    <row r="3979" spans="18:19" x14ac:dyDescent="0.25">
      <c r="R3979" s="72"/>
      <c r="S3979" s="72"/>
    </row>
    <row r="3980" spans="18:19" x14ac:dyDescent="0.25">
      <c r="R3980" s="72"/>
      <c r="S3980" s="72"/>
    </row>
    <row r="3981" spans="18:19" x14ac:dyDescent="0.25">
      <c r="R3981" s="72"/>
      <c r="S3981" s="72"/>
    </row>
    <row r="3982" spans="18:19" x14ac:dyDescent="0.25">
      <c r="R3982" s="72"/>
      <c r="S3982" s="72"/>
    </row>
    <row r="3983" spans="18:19" x14ac:dyDescent="0.25">
      <c r="R3983" s="72"/>
      <c r="S3983" s="72"/>
    </row>
    <row r="3984" spans="18:19" x14ac:dyDescent="0.25">
      <c r="R3984" s="72"/>
      <c r="S3984" s="72"/>
    </row>
    <row r="3985" spans="18:19" x14ac:dyDescent="0.25">
      <c r="R3985" s="72"/>
      <c r="S3985" s="72"/>
    </row>
    <row r="3986" spans="18:19" x14ac:dyDescent="0.25">
      <c r="R3986" s="72"/>
      <c r="S3986" s="72"/>
    </row>
    <row r="3987" spans="18:19" x14ac:dyDescent="0.25">
      <c r="R3987" s="72"/>
      <c r="S3987" s="72"/>
    </row>
    <row r="3988" spans="18:19" x14ac:dyDescent="0.25">
      <c r="R3988" s="72"/>
      <c r="S3988" s="72"/>
    </row>
    <row r="3989" spans="18:19" x14ac:dyDescent="0.25">
      <c r="R3989" s="72"/>
      <c r="S3989" s="72"/>
    </row>
    <row r="3990" spans="18:19" x14ac:dyDescent="0.25">
      <c r="R3990" s="72"/>
      <c r="S3990" s="72"/>
    </row>
    <row r="3991" spans="18:19" x14ac:dyDescent="0.25">
      <c r="R3991" s="72"/>
      <c r="S3991" s="72"/>
    </row>
    <row r="3992" spans="18:19" x14ac:dyDescent="0.25">
      <c r="R3992" s="72"/>
      <c r="S3992" s="72"/>
    </row>
    <row r="3993" spans="18:19" x14ac:dyDescent="0.25">
      <c r="R3993" s="72"/>
      <c r="S3993" s="72"/>
    </row>
    <row r="3994" spans="18:19" x14ac:dyDescent="0.25">
      <c r="R3994" s="72"/>
      <c r="S3994" s="72"/>
    </row>
    <row r="3995" spans="18:19" x14ac:dyDescent="0.25">
      <c r="R3995" s="72"/>
      <c r="S3995" s="72"/>
    </row>
    <row r="3996" spans="18:19" x14ac:dyDescent="0.25">
      <c r="R3996" s="72"/>
      <c r="S3996" s="72"/>
    </row>
    <row r="3997" spans="18:19" x14ac:dyDescent="0.25">
      <c r="R3997" s="72"/>
      <c r="S3997" s="72"/>
    </row>
    <row r="3998" spans="18:19" x14ac:dyDescent="0.25">
      <c r="R3998" s="72"/>
      <c r="S3998" s="72"/>
    </row>
    <row r="3999" spans="18:19" x14ac:dyDescent="0.25">
      <c r="R3999" s="72"/>
      <c r="S3999" s="72"/>
    </row>
    <row r="4000" spans="18:19" x14ac:dyDescent="0.25">
      <c r="R4000" s="72"/>
      <c r="S4000" s="72"/>
    </row>
    <row r="4001" spans="18:19" x14ac:dyDescent="0.25">
      <c r="R4001" s="72"/>
      <c r="S4001" s="72"/>
    </row>
    <row r="4002" spans="18:19" x14ac:dyDescent="0.25">
      <c r="R4002" s="72"/>
      <c r="S4002" s="72"/>
    </row>
    <row r="4003" spans="18:19" x14ac:dyDescent="0.25">
      <c r="R4003" s="72"/>
      <c r="S4003" s="72"/>
    </row>
    <row r="4004" spans="18:19" x14ac:dyDescent="0.25">
      <c r="R4004" s="72"/>
      <c r="S4004" s="72"/>
    </row>
    <row r="4005" spans="18:19" x14ac:dyDescent="0.25">
      <c r="R4005" s="72"/>
      <c r="S4005" s="72"/>
    </row>
    <row r="4006" spans="18:19" x14ac:dyDescent="0.25">
      <c r="R4006" s="72"/>
      <c r="S4006" s="72"/>
    </row>
    <row r="4007" spans="18:19" x14ac:dyDescent="0.25">
      <c r="R4007" s="72"/>
      <c r="S4007" s="72"/>
    </row>
    <row r="4008" spans="18:19" x14ac:dyDescent="0.25">
      <c r="R4008" s="72"/>
      <c r="S4008" s="72"/>
    </row>
    <row r="4009" spans="18:19" x14ac:dyDescent="0.25">
      <c r="R4009" s="72"/>
      <c r="S4009" s="72"/>
    </row>
    <row r="4010" spans="18:19" x14ac:dyDescent="0.25">
      <c r="R4010" s="72"/>
      <c r="S4010" s="72"/>
    </row>
    <row r="4011" spans="18:19" x14ac:dyDescent="0.25">
      <c r="R4011" s="72"/>
      <c r="S4011" s="72"/>
    </row>
    <row r="4012" spans="18:19" x14ac:dyDescent="0.25">
      <c r="R4012" s="72"/>
      <c r="S4012" s="72"/>
    </row>
    <row r="4013" spans="18:19" x14ac:dyDescent="0.25">
      <c r="R4013" s="72"/>
      <c r="S4013" s="72"/>
    </row>
    <row r="4014" spans="18:19" x14ac:dyDescent="0.25">
      <c r="R4014" s="72"/>
      <c r="S4014" s="72"/>
    </row>
    <row r="4015" spans="18:19" x14ac:dyDescent="0.25">
      <c r="R4015" s="72"/>
      <c r="S4015" s="72"/>
    </row>
    <row r="4016" spans="18:19" x14ac:dyDescent="0.25">
      <c r="R4016" s="72"/>
      <c r="S4016" s="72"/>
    </row>
    <row r="4017" spans="18:19" x14ac:dyDescent="0.25">
      <c r="R4017" s="72"/>
      <c r="S4017" s="72"/>
    </row>
    <row r="4018" spans="18:19" x14ac:dyDescent="0.25">
      <c r="R4018" s="72"/>
      <c r="S4018" s="72"/>
    </row>
    <row r="4019" spans="18:19" x14ac:dyDescent="0.25">
      <c r="R4019" s="72"/>
      <c r="S4019" s="72"/>
    </row>
    <row r="4020" spans="18:19" x14ac:dyDescent="0.25">
      <c r="R4020" s="72"/>
      <c r="S4020" s="72"/>
    </row>
    <row r="4021" spans="18:19" x14ac:dyDescent="0.25">
      <c r="R4021" s="72"/>
      <c r="S4021" s="72"/>
    </row>
    <row r="4022" spans="18:19" x14ac:dyDescent="0.25">
      <c r="R4022" s="72"/>
      <c r="S4022" s="72"/>
    </row>
    <row r="4023" spans="18:19" x14ac:dyDescent="0.25">
      <c r="R4023" s="72"/>
      <c r="S4023" s="72"/>
    </row>
    <row r="4024" spans="18:19" x14ac:dyDescent="0.25">
      <c r="R4024" s="72"/>
      <c r="S4024" s="72"/>
    </row>
    <row r="4025" spans="18:19" x14ac:dyDescent="0.25">
      <c r="R4025" s="72"/>
      <c r="S4025" s="72"/>
    </row>
    <row r="4026" spans="18:19" x14ac:dyDescent="0.25">
      <c r="R4026" s="72"/>
      <c r="S4026" s="72"/>
    </row>
    <row r="4027" spans="18:19" x14ac:dyDescent="0.25">
      <c r="R4027" s="72"/>
      <c r="S4027" s="72"/>
    </row>
    <row r="4028" spans="18:19" x14ac:dyDescent="0.25">
      <c r="R4028" s="72"/>
      <c r="S4028" s="72"/>
    </row>
    <row r="4029" spans="18:19" x14ac:dyDescent="0.25">
      <c r="R4029" s="72"/>
      <c r="S4029" s="72"/>
    </row>
    <row r="4030" spans="18:19" x14ac:dyDescent="0.25">
      <c r="R4030" s="72"/>
      <c r="S4030" s="72"/>
    </row>
    <row r="4031" spans="18:19" x14ac:dyDescent="0.25">
      <c r="R4031" s="72"/>
      <c r="S4031" s="72"/>
    </row>
    <row r="4032" spans="18:19" x14ac:dyDescent="0.25">
      <c r="R4032" s="72"/>
      <c r="S4032" s="72"/>
    </row>
    <row r="4033" spans="18:19" x14ac:dyDescent="0.25">
      <c r="R4033" s="72"/>
      <c r="S4033" s="72"/>
    </row>
    <row r="4034" spans="18:19" x14ac:dyDescent="0.25">
      <c r="R4034" s="72"/>
      <c r="S4034" s="72"/>
    </row>
    <row r="4035" spans="18:19" x14ac:dyDescent="0.25">
      <c r="R4035" s="72"/>
      <c r="S4035" s="72"/>
    </row>
    <row r="4036" spans="18:19" x14ac:dyDescent="0.25">
      <c r="R4036" s="72"/>
      <c r="S4036" s="72"/>
    </row>
    <row r="4037" spans="18:19" x14ac:dyDescent="0.25">
      <c r="R4037" s="72"/>
      <c r="S4037" s="72"/>
    </row>
    <row r="4038" spans="18:19" x14ac:dyDescent="0.25">
      <c r="R4038" s="72"/>
      <c r="S4038" s="72"/>
    </row>
    <row r="4039" spans="18:19" x14ac:dyDescent="0.25">
      <c r="R4039" s="72"/>
      <c r="S4039" s="72"/>
    </row>
    <row r="4040" spans="18:19" x14ac:dyDescent="0.25">
      <c r="R4040" s="72"/>
      <c r="S4040" s="72"/>
    </row>
    <row r="4041" spans="18:19" x14ac:dyDescent="0.25">
      <c r="R4041" s="72"/>
      <c r="S4041" s="72"/>
    </row>
    <row r="4042" spans="18:19" x14ac:dyDescent="0.25">
      <c r="R4042" s="72"/>
      <c r="S4042" s="72"/>
    </row>
    <row r="4043" spans="18:19" x14ac:dyDescent="0.25">
      <c r="R4043" s="72"/>
      <c r="S4043" s="72"/>
    </row>
    <row r="4044" spans="18:19" x14ac:dyDescent="0.25">
      <c r="R4044" s="72"/>
      <c r="S4044" s="72"/>
    </row>
    <row r="4045" spans="18:19" x14ac:dyDescent="0.25">
      <c r="R4045" s="72"/>
      <c r="S4045" s="72"/>
    </row>
    <row r="4046" spans="18:19" x14ac:dyDescent="0.25">
      <c r="R4046" s="72"/>
      <c r="S4046" s="72"/>
    </row>
    <row r="4047" spans="18:19" x14ac:dyDescent="0.25">
      <c r="R4047" s="72"/>
      <c r="S4047" s="72"/>
    </row>
    <row r="4048" spans="18:19" x14ac:dyDescent="0.25">
      <c r="R4048" s="72"/>
      <c r="S4048" s="72"/>
    </row>
    <row r="4049" spans="18:19" x14ac:dyDescent="0.25">
      <c r="R4049" s="72"/>
      <c r="S4049" s="72"/>
    </row>
    <row r="4050" spans="18:19" x14ac:dyDescent="0.25">
      <c r="R4050" s="72"/>
      <c r="S4050" s="72"/>
    </row>
    <row r="4051" spans="18:19" x14ac:dyDescent="0.25">
      <c r="R4051" s="72"/>
      <c r="S4051" s="72"/>
    </row>
    <row r="4052" spans="18:19" x14ac:dyDescent="0.25">
      <c r="R4052" s="72"/>
      <c r="S4052" s="72"/>
    </row>
    <row r="4053" spans="18:19" x14ac:dyDescent="0.25">
      <c r="R4053" s="72"/>
      <c r="S4053" s="72"/>
    </row>
    <row r="4054" spans="18:19" x14ac:dyDescent="0.25">
      <c r="R4054" s="72"/>
      <c r="S4054" s="72"/>
    </row>
    <row r="4055" spans="18:19" x14ac:dyDescent="0.25">
      <c r="R4055" s="72"/>
      <c r="S4055" s="72"/>
    </row>
    <row r="4056" spans="18:19" x14ac:dyDescent="0.25">
      <c r="R4056" s="72"/>
      <c r="S4056" s="72"/>
    </row>
    <row r="4057" spans="18:19" x14ac:dyDescent="0.25">
      <c r="R4057" s="72"/>
      <c r="S4057" s="72"/>
    </row>
    <row r="4058" spans="18:19" x14ac:dyDescent="0.25">
      <c r="R4058" s="72"/>
      <c r="S4058" s="72"/>
    </row>
    <row r="4059" spans="18:19" x14ac:dyDescent="0.25">
      <c r="R4059" s="72"/>
      <c r="S4059" s="72"/>
    </row>
    <row r="4060" spans="18:19" x14ac:dyDescent="0.25">
      <c r="R4060" s="72"/>
      <c r="S4060" s="72"/>
    </row>
    <row r="4061" spans="18:19" x14ac:dyDescent="0.25">
      <c r="R4061" s="72"/>
      <c r="S4061" s="72"/>
    </row>
    <row r="4062" spans="18:19" x14ac:dyDescent="0.25">
      <c r="R4062" s="72"/>
      <c r="S4062" s="72"/>
    </row>
    <row r="4063" spans="18:19" x14ac:dyDescent="0.25">
      <c r="R4063" s="72"/>
      <c r="S4063" s="72"/>
    </row>
    <row r="4064" spans="18:19" x14ac:dyDescent="0.25">
      <c r="R4064" s="72"/>
      <c r="S4064" s="72"/>
    </row>
    <row r="4065" spans="18:19" x14ac:dyDescent="0.25">
      <c r="R4065" s="72"/>
      <c r="S4065" s="72"/>
    </row>
    <row r="4066" spans="18:19" x14ac:dyDescent="0.25">
      <c r="R4066" s="72"/>
      <c r="S4066" s="72"/>
    </row>
    <row r="4067" spans="18:19" x14ac:dyDescent="0.25">
      <c r="R4067" s="72"/>
      <c r="S4067" s="72"/>
    </row>
    <row r="4068" spans="18:19" x14ac:dyDescent="0.25">
      <c r="R4068" s="72"/>
      <c r="S4068" s="72"/>
    </row>
    <row r="4069" spans="18:19" x14ac:dyDescent="0.25">
      <c r="R4069" s="72"/>
      <c r="S4069" s="72"/>
    </row>
    <row r="4070" spans="18:19" x14ac:dyDescent="0.25">
      <c r="R4070" s="72"/>
      <c r="S4070" s="72"/>
    </row>
    <row r="4071" spans="18:19" x14ac:dyDescent="0.25">
      <c r="R4071" s="72"/>
      <c r="S4071" s="72"/>
    </row>
    <row r="4072" spans="18:19" x14ac:dyDescent="0.25">
      <c r="R4072" s="72"/>
      <c r="S4072" s="72"/>
    </row>
    <row r="4073" spans="18:19" x14ac:dyDescent="0.25">
      <c r="R4073" s="72"/>
      <c r="S4073" s="72"/>
    </row>
    <row r="4074" spans="18:19" x14ac:dyDescent="0.25">
      <c r="R4074" s="72"/>
      <c r="S4074" s="72"/>
    </row>
    <row r="4075" spans="18:19" x14ac:dyDescent="0.25">
      <c r="R4075" s="72"/>
      <c r="S4075" s="72"/>
    </row>
    <row r="4076" spans="18:19" x14ac:dyDescent="0.25">
      <c r="R4076" s="72"/>
      <c r="S4076" s="72"/>
    </row>
    <row r="4077" spans="18:19" x14ac:dyDescent="0.25">
      <c r="R4077" s="72"/>
      <c r="S4077" s="72"/>
    </row>
    <row r="4078" spans="18:19" x14ac:dyDescent="0.25">
      <c r="R4078" s="72"/>
      <c r="S4078" s="72"/>
    </row>
    <row r="4079" spans="18:19" x14ac:dyDescent="0.25">
      <c r="R4079" s="72"/>
      <c r="S4079" s="72"/>
    </row>
    <row r="4080" spans="18:19" x14ac:dyDescent="0.25">
      <c r="R4080" s="72"/>
      <c r="S4080" s="72"/>
    </row>
    <row r="4081" spans="18:19" x14ac:dyDescent="0.25">
      <c r="R4081" s="72"/>
      <c r="S4081" s="72"/>
    </row>
    <row r="4082" spans="18:19" x14ac:dyDescent="0.25">
      <c r="R4082" s="72"/>
      <c r="S4082" s="72"/>
    </row>
    <row r="4083" spans="18:19" x14ac:dyDescent="0.25">
      <c r="R4083" s="72"/>
      <c r="S4083" s="72"/>
    </row>
    <row r="4084" spans="18:19" x14ac:dyDescent="0.25">
      <c r="R4084" s="72"/>
      <c r="S4084" s="72"/>
    </row>
    <row r="4085" spans="18:19" x14ac:dyDescent="0.25">
      <c r="R4085" s="72"/>
      <c r="S4085" s="72"/>
    </row>
    <row r="4086" spans="18:19" x14ac:dyDescent="0.25">
      <c r="R4086" s="72"/>
      <c r="S4086" s="72"/>
    </row>
    <row r="4087" spans="18:19" x14ac:dyDescent="0.25">
      <c r="R4087" s="72"/>
      <c r="S4087" s="72"/>
    </row>
    <row r="4088" spans="18:19" x14ac:dyDescent="0.25">
      <c r="R4088" s="72"/>
      <c r="S4088" s="72"/>
    </row>
    <row r="4089" spans="18:19" x14ac:dyDescent="0.25">
      <c r="R4089" s="72"/>
      <c r="S4089" s="72"/>
    </row>
    <row r="4090" spans="18:19" x14ac:dyDescent="0.25">
      <c r="R4090" s="72"/>
      <c r="S4090" s="72"/>
    </row>
    <row r="4091" spans="18:19" x14ac:dyDescent="0.25">
      <c r="R4091" s="72"/>
      <c r="S4091" s="72"/>
    </row>
    <row r="4092" spans="18:19" x14ac:dyDescent="0.25">
      <c r="R4092" s="72"/>
      <c r="S4092" s="72"/>
    </row>
    <row r="4093" spans="18:19" x14ac:dyDescent="0.25">
      <c r="R4093" s="72"/>
      <c r="S4093" s="72"/>
    </row>
    <row r="4094" spans="18:19" x14ac:dyDescent="0.25">
      <c r="R4094" s="72"/>
      <c r="S4094" s="72"/>
    </row>
    <row r="4095" spans="18:19" x14ac:dyDescent="0.25">
      <c r="R4095" s="72"/>
      <c r="S4095" s="72"/>
    </row>
    <row r="4096" spans="18:19" x14ac:dyDescent="0.25">
      <c r="R4096" s="72"/>
      <c r="S4096" s="72"/>
    </row>
    <row r="4097" spans="18:19" x14ac:dyDescent="0.25">
      <c r="R4097" s="72"/>
      <c r="S4097" s="72"/>
    </row>
    <row r="4098" spans="18:19" x14ac:dyDescent="0.25">
      <c r="R4098" s="72"/>
      <c r="S4098" s="72"/>
    </row>
    <row r="4099" spans="18:19" x14ac:dyDescent="0.25">
      <c r="R4099" s="72"/>
      <c r="S4099" s="72"/>
    </row>
    <row r="4100" spans="18:19" x14ac:dyDescent="0.25">
      <c r="R4100" s="72"/>
      <c r="S4100" s="72"/>
    </row>
    <row r="4101" spans="18:19" x14ac:dyDescent="0.25">
      <c r="R4101" s="72"/>
      <c r="S4101" s="72"/>
    </row>
    <row r="4102" spans="18:19" x14ac:dyDescent="0.25">
      <c r="R4102" s="72"/>
      <c r="S4102" s="72"/>
    </row>
    <row r="4103" spans="18:19" x14ac:dyDescent="0.25">
      <c r="R4103" s="72"/>
      <c r="S4103" s="72"/>
    </row>
    <row r="4104" spans="18:19" x14ac:dyDescent="0.25">
      <c r="R4104" s="72"/>
      <c r="S4104" s="72"/>
    </row>
    <row r="4105" spans="18:19" x14ac:dyDescent="0.25">
      <c r="R4105" s="72"/>
      <c r="S4105" s="72"/>
    </row>
    <row r="4106" spans="18:19" x14ac:dyDescent="0.25">
      <c r="R4106" s="72"/>
      <c r="S4106" s="72"/>
    </row>
    <row r="4107" spans="18:19" x14ac:dyDescent="0.25">
      <c r="R4107" s="72"/>
      <c r="S4107" s="72"/>
    </row>
    <row r="4108" spans="18:19" x14ac:dyDescent="0.25">
      <c r="R4108" s="72"/>
      <c r="S4108" s="72"/>
    </row>
    <row r="4109" spans="18:19" x14ac:dyDescent="0.25">
      <c r="R4109" s="72"/>
      <c r="S4109" s="72"/>
    </row>
    <row r="4110" spans="18:19" x14ac:dyDescent="0.25">
      <c r="R4110" s="72"/>
      <c r="S4110" s="72"/>
    </row>
    <row r="4111" spans="18:19" x14ac:dyDescent="0.25">
      <c r="R4111" s="72"/>
      <c r="S4111" s="72"/>
    </row>
    <row r="4112" spans="18:19" x14ac:dyDescent="0.25">
      <c r="R4112" s="72"/>
      <c r="S4112" s="72"/>
    </row>
    <row r="4113" spans="18:19" x14ac:dyDescent="0.25">
      <c r="R4113" s="72"/>
      <c r="S4113" s="72"/>
    </row>
    <row r="4114" spans="18:19" x14ac:dyDescent="0.25">
      <c r="R4114" s="72"/>
      <c r="S4114" s="72"/>
    </row>
    <row r="4115" spans="18:19" x14ac:dyDescent="0.25">
      <c r="R4115" s="72"/>
      <c r="S4115" s="72"/>
    </row>
    <row r="4116" spans="18:19" x14ac:dyDescent="0.25">
      <c r="R4116" s="72"/>
      <c r="S4116" s="72"/>
    </row>
    <row r="4117" spans="18:19" x14ac:dyDescent="0.25">
      <c r="R4117" s="72"/>
      <c r="S4117" s="72"/>
    </row>
    <row r="4118" spans="18:19" x14ac:dyDescent="0.25">
      <c r="R4118" s="72"/>
      <c r="S4118" s="72"/>
    </row>
    <row r="4119" spans="18:19" x14ac:dyDescent="0.25">
      <c r="R4119" s="72"/>
      <c r="S4119" s="72"/>
    </row>
    <row r="4120" spans="18:19" x14ac:dyDescent="0.25">
      <c r="R4120" s="72"/>
      <c r="S4120" s="72"/>
    </row>
    <row r="4121" spans="18:19" x14ac:dyDescent="0.25">
      <c r="R4121" s="72"/>
      <c r="S4121" s="72"/>
    </row>
    <row r="4122" spans="18:19" x14ac:dyDescent="0.25">
      <c r="R4122" s="72"/>
      <c r="S4122" s="72"/>
    </row>
    <row r="4123" spans="18:19" x14ac:dyDescent="0.25">
      <c r="R4123" s="72"/>
      <c r="S4123" s="72"/>
    </row>
    <row r="4124" spans="18:19" x14ac:dyDescent="0.25">
      <c r="R4124" s="72"/>
      <c r="S4124" s="72"/>
    </row>
    <row r="4125" spans="18:19" x14ac:dyDescent="0.25">
      <c r="R4125" s="72"/>
      <c r="S4125" s="72"/>
    </row>
    <row r="4126" spans="18:19" x14ac:dyDescent="0.25">
      <c r="R4126" s="72"/>
      <c r="S4126" s="72"/>
    </row>
    <row r="4127" spans="18:19" x14ac:dyDescent="0.25">
      <c r="R4127" s="72"/>
      <c r="S4127" s="72"/>
    </row>
    <row r="4128" spans="18:19" x14ac:dyDescent="0.25">
      <c r="R4128" s="72"/>
      <c r="S4128" s="72"/>
    </row>
    <row r="4129" spans="18:19" x14ac:dyDescent="0.25">
      <c r="R4129" s="72"/>
      <c r="S4129" s="72"/>
    </row>
    <row r="4130" spans="18:19" x14ac:dyDescent="0.25">
      <c r="R4130" s="72"/>
      <c r="S4130" s="72"/>
    </row>
    <row r="4131" spans="18:19" x14ac:dyDescent="0.25">
      <c r="R4131" s="72"/>
      <c r="S4131" s="72"/>
    </row>
    <row r="4132" spans="18:19" x14ac:dyDescent="0.25">
      <c r="R4132" s="72"/>
      <c r="S4132" s="72"/>
    </row>
    <row r="4133" spans="18:19" x14ac:dyDescent="0.25">
      <c r="R4133" s="72"/>
      <c r="S4133" s="72"/>
    </row>
    <row r="4134" spans="18:19" x14ac:dyDescent="0.25">
      <c r="R4134" s="72"/>
      <c r="S4134" s="72"/>
    </row>
    <row r="4135" spans="18:19" x14ac:dyDescent="0.25">
      <c r="R4135" s="72"/>
      <c r="S4135" s="72"/>
    </row>
    <row r="4136" spans="18:19" x14ac:dyDescent="0.25">
      <c r="R4136" s="72"/>
      <c r="S4136" s="72"/>
    </row>
    <row r="4137" spans="18:19" x14ac:dyDescent="0.25">
      <c r="R4137" s="72"/>
      <c r="S4137" s="72"/>
    </row>
    <row r="4138" spans="18:19" x14ac:dyDescent="0.25">
      <c r="R4138" s="72"/>
      <c r="S4138" s="72"/>
    </row>
    <row r="4139" spans="18:19" x14ac:dyDescent="0.25">
      <c r="R4139" s="72"/>
      <c r="S4139" s="72"/>
    </row>
    <row r="4140" spans="18:19" x14ac:dyDescent="0.25">
      <c r="R4140" s="72"/>
      <c r="S4140" s="72"/>
    </row>
    <row r="4141" spans="18:19" x14ac:dyDescent="0.25">
      <c r="R4141" s="72"/>
      <c r="S4141" s="72"/>
    </row>
    <row r="4142" spans="18:19" x14ac:dyDescent="0.25">
      <c r="R4142" s="72"/>
      <c r="S4142" s="72"/>
    </row>
    <row r="4143" spans="18:19" x14ac:dyDescent="0.25">
      <c r="R4143" s="72"/>
      <c r="S4143" s="72"/>
    </row>
    <row r="4144" spans="18:19" x14ac:dyDescent="0.25">
      <c r="R4144" s="72"/>
      <c r="S4144" s="72"/>
    </row>
    <row r="4145" spans="18:19" x14ac:dyDescent="0.25">
      <c r="R4145" s="72"/>
      <c r="S4145" s="72"/>
    </row>
    <row r="4146" spans="18:19" x14ac:dyDescent="0.25">
      <c r="R4146" s="72"/>
      <c r="S4146" s="72"/>
    </row>
    <row r="4147" spans="18:19" x14ac:dyDescent="0.25">
      <c r="R4147" s="72"/>
      <c r="S4147" s="72"/>
    </row>
    <row r="4148" spans="18:19" x14ac:dyDescent="0.25">
      <c r="R4148" s="72"/>
      <c r="S4148" s="72"/>
    </row>
    <row r="4149" spans="18:19" x14ac:dyDescent="0.25">
      <c r="R4149" s="72"/>
      <c r="S4149" s="72"/>
    </row>
    <row r="4150" spans="18:19" x14ac:dyDescent="0.25">
      <c r="R4150" s="72"/>
      <c r="S4150" s="72"/>
    </row>
    <row r="4151" spans="18:19" x14ac:dyDescent="0.25">
      <c r="R4151" s="72"/>
      <c r="S4151" s="72"/>
    </row>
    <row r="4152" spans="18:19" x14ac:dyDescent="0.25">
      <c r="R4152" s="72"/>
      <c r="S4152" s="72"/>
    </row>
    <row r="4153" spans="18:19" x14ac:dyDescent="0.25">
      <c r="R4153" s="72"/>
      <c r="S4153" s="72"/>
    </row>
    <row r="4154" spans="18:19" x14ac:dyDescent="0.25">
      <c r="R4154" s="72"/>
      <c r="S4154" s="72"/>
    </row>
    <row r="4155" spans="18:19" x14ac:dyDescent="0.25">
      <c r="R4155" s="72"/>
      <c r="S4155" s="72"/>
    </row>
    <row r="4156" spans="18:19" x14ac:dyDescent="0.25">
      <c r="R4156" s="72"/>
      <c r="S4156" s="72"/>
    </row>
    <row r="4157" spans="18:19" x14ac:dyDescent="0.25">
      <c r="R4157" s="72"/>
      <c r="S4157" s="72"/>
    </row>
    <row r="4158" spans="18:19" x14ac:dyDescent="0.25">
      <c r="R4158" s="72"/>
      <c r="S4158" s="72"/>
    </row>
    <row r="4159" spans="18:19" x14ac:dyDescent="0.25">
      <c r="R4159" s="72"/>
      <c r="S4159" s="72"/>
    </row>
    <row r="4160" spans="18:19" x14ac:dyDescent="0.25">
      <c r="R4160" s="72"/>
      <c r="S4160" s="72"/>
    </row>
    <row r="4161" spans="18:19" x14ac:dyDescent="0.25">
      <c r="R4161" s="72"/>
      <c r="S4161" s="72"/>
    </row>
    <row r="4162" spans="18:19" x14ac:dyDescent="0.25">
      <c r="R4162" s="72"/>
      <c r="S4162" s="72"/>
    </row>
    <row r="4163" spans="18:19" x14ac:dyDescent="0.25">
      <c r="R4163" s="72"/>
      <c r="S4163" s="72"/>
    </row>
    <row r="4164" spans="18:19" x14ac:dyDescent="0.25">
      <c r="R4164" s="72"/>
      <c r="S4164" s="72"/>
    </row>
    <row r="4165" spans="18:19" x14ac:dyDescent="0.25">
      <c r="R4165" s="72"/>
      <c r="S4165" s="72"/>
    </row>
    <row r="4166" spans="18:19" x14ac:dyDescent="0.25">
      <c r="R4166" s="72"/>
      <c r="S4166" s="72"/>
    </row>
    <row r="4167" spans="18:19" x14ac:dyDescent="0.25">
      <c r="R4167" s="72"/>
      <c r="S4167" s="72"/>
    </row>
    <row r="4168" spans="18:19" x14ac:dyDescent="0.25">
      <c r="R4168" s="72"/>
      <c r="S4168" s="72"/>
    </row>
    <row r="4169" spans="18:19" x14ac:dyDescent="0.25">
      <c r="R4169" s="72"/>
      <c r="S4169" s="72"/>
    </row>
    <row r="4170" spans="18:19" x14ac:dyDescent="0.25">
      <c r="R4170" s="72"/>
      <c r="S4170" s="72"/>
    </row>
    <row r="4171" spans="18:19" x14ac:dyDescent="0.25">
      <c r="R4171" s="72"/>
      <c r="S4171" s="72"/>
    </row>
    <row r="4172" spans="18:19" x14ac:dyDescent="0.25">
      <c r="R4172" s="72"/>
      <c r="S4172" s="72"/>
    </row>
    <row r="4173" spans="18:19" x14ac:dyDescent="0.25">
      <c r="R4173" s="72"/>
      <c r="S4173" s="72"/>
    </row>
    <row r="4174" spans="18:19" x14ac:dyDescent="0.25">
      <c r="R4174" s="72"/>
      <c r="S4174" s="72"/>
    </row>
    <row r="4175" spans="18:19" x14ac:dyDescent="0.25">
      <c r="R4175" s="72"/>
      <c r="S4175" s="72"/>
    </row>
    <row r="4176" spans="18:19" x14ac:dyDescent="0.25">
      <c r="R4176" s="72"/>
      <c r="S4176" s="72"/>
    </row>
    <row r="4177" spans="18:19" x14ac:dyDescent="0.25">
      <c r="R4177" s="72"/>
      <c r="S4177" s="72"/>
    </row>
    <row r="4178" spans="18:19" x14ac:dyDescent="0.25">
      <c r="R4178" s="72"/>
      <c r="S4178" s="72"/>
    </row>
    <row r="4179" spans="18:19" x14ac:dyDescent="0.25">
      <c r="R4179" s="72"/>
      <c r="S4179" s="72"/>
    </row>
    <row r="4180" spans="18:19" x14ac:dyDescent="0.25">
      <c r="R4180" s="72"/>
      <c r="S4180" s="72"/>
    </row>
    <row r="4181" spans="18:19" x14ac:dyDescent="0.25">
      <c r="R4181" s="72"/>
      <c r="S4181" s="72"/>
    </row>
    <row r="4182" spans="18:19" x14ac:dyDescent="0.25">
      <c r="R4182" s="72"/>
      <c r="S4182" s="72"/>
    </row>
    <row r="4183" spans="18:19" x14ac:dyDescent="0.25">
      <c r="R4183" s="72"/>
      <c r="S4183" s="72"/>
    </row>
    <row r="4184" spans="18:19" x14ac:dyDescent="0.25">
      <c r="R4184" s="72"/>
      <c r="S4184" s="72"/>
    </row>
    <row r="4185" spans="18:19" x14ac:dyDescent="0.25">
      <c r="R4185" s="72"/>
      <c r="S4185" s="72"/>
    </row>
    <row r="4186" spans="18:19" x14ac:dyDescent="0.25">
      <c r="R4186" s="72"/>
      <c r="S4186" s="72"/>
    </row>
    <row r="4187" spans="18:19" x14ac:dyDescent="0.25">
      <c r="R4187" s="72"/>
      <c r="S4187" s="72"/>
    </row>
    <row r="4188" spans="18:19" x14ac:dyDescent="0.25">
      <c r="R4188" s="72"/>
      <c r="S4188" s="72"/>
    </row>
    <row r="4189" spans="18:19" x14ac:dyDescent="0.25">
      <c r="R4189" s="72"/>
      <c r="S4189" s="72"/>
    </row>
    <row r="4190" spans="18:19" x14ac:dyDescent="0.25">
      <c r="R4190" s="72"/>
      <c r="S4190" s="72"/>
    </row>
    <row r="4191" spans="18:19" x14ac:dyDescent="0.25">
      <c r="R4191" s="72"/>
      <c r="S4191" s="72"/>
    </row>
    <row r="4192" spans="18:19" x14ac:dyDescent="0.25">
      <c r="R4192" s="72"/>
      <c r="S4192" s="72"/>
    </row>
    <row r="4193" spans="18:19" x14ac:dyDescent="0.25">
      <c r="R4193" s="72"/>
      <c r="S4193" s="72"/>
    </row>
    <row r="4194" spans="18:19" x14ac:dyDescent="0.25">
      <c r="R4194" s="72"/>
      <c r="S4194" s="72"/>
    </row>
    <row r="4195" spans="18:19" x14ac:dyDescent="0.25">
      <c r="R4195" s="72"/>
      <c r="S4195" s="72"/>
    </row>
    <row r="4196" spans="18:19" x14ac:dyDescent="0.25">
      <c r="R4196" s="72"/>
      <c r="S4196" s="72"/>
    </row>
    <row r="4197" spans="18:19" x14ac:dyDescent="0.25">
      <c r="R4197" s="72"/>
      <c r="S4197" s="72"/>
    </row>
    <row r="4198" spans="18:19" x14ac:dyDescent="0.25">
      <c r="R4198" s="72"/>
      <c r="S4198" s="72"/>
    </row>
    <row r="4199" spans="18:19" x14ac:dyDescent="0.25">
      <c r="R4199" s="72"/>
      <c r="S4199" s="72"/>
    </row>
    <row r="4200" spans="18:19" x14ac:dyDescent="0.25">
      <c r="R4200" s="72"/>
      <c r="S4200" s="72"/>
    </row>
    <row r="4201" spans="18:19" x14ac:dyDescent="0.25">
      <c r="R4201" s="72"/>
      <c r="S4201" s="72"/>
    </row>
    <row r="4202" spans="18:19" x14ac:dyDescent="0.25">
      <c r="R4202" s="72"/>
      <c r="S4202" s="72"/>
    </row>
    <row r="4203" spans="18:19" x14ac:dyDescent="0.25">
      <c r="R4203" s="72"/>
      <c r="S4203" s="72"/>
    </row>
    <row r="4204" spans="18:19" x14ac:dyDescent="0.25">
      <c r="R4204" s="72"/>
      <c r="S4204" s="72"/>
    </row>
    <row r="4205" spans="18:19" x14ac:dyDescent="0.25">
      <c r="R4205" s="72"/>
      <c r="S4205" s="72"/>
    </row>
    <row r="4206" spans="18:19" x14ac:dyDescent="0.25">
      <c r="R4206" s="72"/>
      <c r="S4206" s="72"/>
    </row>
    <row r="4207" spans="18:19" x14ac:dyDescent="0.25">
      <c r="R4207" s="72"/>
      <c r="S4207" s="72"/>
    </row>
    <row r="4208" spans="18:19" x14ac:dyDescent="0.25">
      <c r="R4208" s="72"/>
      <c r="S4208" s="72"/>
    </row>
    <row r="4209" spans="18:19" x14ac:dyDescent="0.25">
      <c r="R4209" s="72"/>
      <c r="S4209" s="72"/>
    </row>
    <row r="4210" spans="18:19" x14ac:dyDescent="0.25">
      <c r="R4210" s="72"/>
      <c r="S4210" s="72"/>
    </row>
    <row r="4211" spans="18:19" x14ac:dyDescent="0.25">
      <c r="R4211" s="72"/>
      <c r="S4211" s="72"/>
    </row>
    <row r="4212" spans="18:19" x14ac:dyDescent="0.25">
      <c r="R4212" s="72"/>
      <c r="S4212" s="72"/>
    </row>
    <row r="4213" spans="18:19" x14ac:dyDescent="0.25">
      <c r="R4213" s="72"/>
      <c r="S4213" s="72"/>
    </row>
    <row r="4214" spans="18:19" x14ac:dyDescent="0.25">
      <c r="R4214" s="72"/>
      <c r="S4214" s="72"/>
    </row>
    <row r="4215" spans="18:19" x14ac:dyDescent="0.25">
      <c r="R4215" s="72"/>
      <c r="S4215" s="72"/>
    </row>
    <row r="4216" spans="18:19" x14ac:dyDescent="0.25">
      <c r="R4216" s="72"/>
      <c r="S4216" s="72"/>
    </row>
    <row r="4217" spans="18:19" x14ac:dyDescent="0.25">
      <c r="R4217" s="72"/>
      <c r="S4217" s="72"/>
    </row>
    <row r="4218" spans="18:19" x14ac:dyDescent="0.25">
      <c r="R4218" s="72"/>
      <c r="S4218" s="72"/>
    </row>
    <row r="4219" spans="18:19" x14ac:dyDescent="0.25">
      <c r="R4219" s="72"/>
      <c r="S4219" s="72"/>
    </row>
    <row r="4220" spans="18:19" x14ac:dyDescent="0.25">
      <c r="R4220" s="72"/>
      <c r="S4220" s="72"/>
    </row>
    <row r="4221" spans="18:19" x14ac:dyDescent="0.25">
      <c r="R4221" s="72"/>
      <c r="S4221" s="72"/>
    </row>
    <row r="4222" spans="18:19" x14ac:dyDescent="0.25">
      <c r="R4222" s="72"/>
      <c r="S4222" s="72"/>
    </row>
    <row r="4223" spans="18:19" x14ac:dyDescent="0.25">
      <c r="R4223" s="72"/>
      <c r="S4223" s="72"/>
    </row>
    <row r="4224" spans="18:19" x14ac:dyDescent="0.25">
      <c r="R4224" s="72"/>
      <c r="S4224" s="72"/>
    </row>
    <row r="4225" spans="18:19" x14ac:dyDescent="0.25">
      <c r="R4225" s="72"/>
      <c r="S4225" s="72"/>
    </row>
    <row r="4226" spans="18:19" x14ac:dyDescent="0.25">
      <c r="R4226" s="72"/>
      <c r="S4226" s="72"/>
    </row>
    <row r="4227" spans="18:19" x14ac:dyDescent="0.25">
      <c r="R4227" s="72"/>
      <c r="S4227" s="72"/>
    </row>
    <row r="4228" spans="18:19" x14ac:dyDescent="0.25">
      <c r="R4228" s="72"/>
      <c r="S4228" s="72"/>
    </row>
    <row r="4229" spans="18:19" x14ac:dyDescent="0.25">
      <c r="R4229" s="72"/>
      <c r="S4229" s="72"/>
    </row>
    <row r="4230" spans="18:19" x14ac:dyDescent="0.25">
      <c r="R4230" s="72"/>
      <c r="S4230" s="72"/>
    </row>
    <row r="4231" spans="18:19" x14ac:dyDescent="0.25">
      <c r="R4231" s="72"/>
      <c r="S4231" s="72"/>
    </row>
    <row r="4232" spans="18:19" x14ac:dyDescent="0.25">
      <c r="R4232" s="72"/>
      <c r="S4232" s="72"/>
    </row>
    <row r="4233" spans="18:19" x14ac:dyDescent="0.25">
      <c r="R4233" s="72"/>
      <c r="S4233" s="72"/>
    </row>
    <row r="4234" spans="18:19" x14ac:dyDescent="0.25">
      <c r="R4234" s="72"/>
      <c r="S4234" s="72"/>
    </row>
    <row r="4235" spans="18:19" x14ac:dyDescent="0.25">
      <c r="R4235" s="72"/>
      <c r="S4235" s="72"/>
    </row>
    <row r="4236" spans="18:19" x14ac:dyDescent="0.25">
      <c r="R4236" s="72"/>
      <c r="S4236" s="72"/>
    </row>
    <row r="4237" spans="18:19" x14ac:dyDescent="0.25">
      <c r="R4237" s="72"/>
      <c r="S4237" s="72"/>
    </row>
    <row r="4238" spans="18:19" x14ac:dyDescent="0.25">
      <c r="R4238" s="72"/>
      <c r="S4238" s="72"/>
    </row>
    <row r="4239" spans="18:19" x14ac:dyDescent="0.25">
      <c r="R4239" s="72"/>
      <c r="S4239" s="72"/>
    </row>
    <row r="4240" spans="18:19" x14ac:dyDescent="0.25">
      <c r="R4240" s="72"/>
      <c r="S4240" s="72"/>
    </row>
    <row r="4241" spans="18:19" x14ac:dyDescent="0.25">
      <c r="R4241" s="72"/>
      <c r="S4241" s="72"/>
    </row>
    <row r="4242" spans="18:19" x14ac:dyDescent="0.25">
      <c r="R4242" s="72"/>
      <c r="S4242" s="72"/>
    </row>
    <row r="4243" spans="18:19" x14ac:dyDescent="0.25">
      <c r="R4243" s="72"/>
      <c r="S4243" s="72"/>
    </row>
    <row r="4244" spans="18:19" x14ac:dyDescent="0.25">
      <c r="R4244" s="72"/>
      <c r="S4244" s="72"/>
    </row>
    <row r="4245" spans="18:19" x14ac:dyDescent="0.25">
      <c r="R4245" s="72"/>
      <c r="S4245" s="72"/>
    </row>
    <row r="4246" spans="18:19" x14ac:dyDescent="0.25">
      <c r="R4246" s="72"/>
      <c r="S4246" s="72"/>
    </row>
    <row r="4247" spans="18:19" x14ac:dyDescent="0.25">
      <c r="R4247" s="72"/>
      <c r="S4247" s="72"/>
    </row>
    <row r="4248" spans="18:19" x14ac:dyDescent="0.25">
      <c r="R4248" s="72"/>
      <c r="S4248" s="72"/>
    </row>
    <row r="4249" spans="18:19" x14ac:dyDescent="0.25">
      <c r="R4249" s="72"/>
      <c r="S4249" s="72"/>
    </row>
    <row r="4250" spans="18:19" x14ac:dyDescent="0.25">
      <c r="R4250" s="72"/>
      <c r="S4250" s="72"/>
    </row>
    <row r="4251" spans="18:19" x14ac:dyDescent="0.25">
      <c r="R4251" s="72"/>
      <c r="S4251" s="72"/>
    </row>
    <row r="4252" spans="18:19" x14ac:dyDescent="0.25">
      <c r="R4252" s="72"/>
      <c r="S4252" s="72"/>
    </row>
    <row r="4253" spans="18:19" x14ac:dyDescent="0.25">
      <c r="R4253" s="72"/>
      <c r="S4253" s="72"/>
    </row>
    <row r="4254" spans="18:19" x14ac:dyDescent="0.25">
      <c r="R4254" s="72"/>
      <c r="S4254" s="72"/>
    </row>
    <row r="4255" spans="18:19" x14ac:dyDescent="0.25">
      <c r="R4255" s="72"/>
      <c r="S4255" s="72"/>
    </row>
    <row r="4256" spans="18:19" x14ac:dyDescent="0.25">
      <c r="R4256" s="72"/>
      <c r="S4256" s="72"/>
    </row>
    <row r="4257" spans="18:19" x14ac:dyDescent="0.25">
      <c r="R4257" s="72"/>
      <c r="S4257" s="72"/>
    </row>
    <row r="4258" spans="18:19" x14ac:dyDescent="0.25">
      <c r="R4258" s="72"/>
      <c r="S4258" s="72"/>
    </row>
    <row r="4259" spans="18:19" x14ac:dyDescent="0.25">
      <c r="R4259" s="72"/>
      <c r="S4259" s="72"/>
    </row>
    <row r="4260" spans="18:19" x14ac:dyDescent="0.25">
      <c r="R4260" s="72"/>
      <c r="S4260" s="72"/>
    </row>
    <row r="4261" spans="18:19" x14ac:dyDescent="0.25">
      <c r="R4261" s="72"/>
      <c r="S4261" s="72"/>
    </row>
    <row r="4262" spans="18:19" x14ac:dyDescent="0.25">
      <c r="R4262" s="72"/>
      <c r="S4262" s="72"/>
    </row>
    <row r="4263" spans="18:19" x14ac:dyDescent="0.25">
      <c r="R4263" s="72"/>
      <c r="S4263" s="72"/>
    </row>
    <row r="4264" spans="18:19" x14ac:dyDescent="0.25">
      <c r="R4264" s="72"/>
      <c r="S4264" s="72"/>
    </row>
    <row r="4265" spans="18:19" x14ac:dyDescent="0.25">
      <c r="R4265" s="72"/>
      <c r="S4265" s="72"/>
    </row>
    <row r="4266" spans="18:19" x14ac:dyDescent="0.25">
      <c r="R4266" s="72"/>
      <c r="S4266" s="72"/>
    </row>
    <row r="4267" spans="18:19" x14ac:dyDescent="0.25">
      <c r="R4267" s="72"/>
      <c r="S4267" s="72"/>
    </row>
    <row r="4268" spans="18:19" x14ac:dyDescent="0.25">
      <c r="R4268" s="72"/>
      <c r="S4268" s="72"/>
    </row>
    <row r="4269" spans="18:19" x14ac:dyDescent="0.25">
      <c r="R4269" s="72"/>
      <c r="S4269" s="72"/>
    </row>
    <row r="4270" spans="18:19" x14ac:dyDescent="0.25">
      <c r="R4270" s="72"/>
      <c r="S4270" s="72"/>
    </row>
    <row r="4271" spans="18:19" x14ac:dyDescent="0.25">
      <c r="R4271" s="72"/>
      <c r="S4271" s="72"/>
    </row>
    <row r="4272" spans="18:19" x14ac:dyDescent="0.25">
      <c r="R4272" s="72"/>
      <c r="S4272" s="72"/>
    </row>
    <row r="4273" spans="18:19" x14ac:dyDescent="0.25">
      <c r="R4273" s="72"/>
      <c r="S4273" s="72"/>
    </row>
    <row r="4274" spans="18:19" x14ac:dyDescent="0.25">
      <c r="R4274" s="72"/>
      <c r="S4274" s="72"/>
    </row>
    <row r="4275" spans="18:19" x14ac:dyDescent="0.25">
      <c r="R4275" s="72"/>
      <c r="S4275" s="72"/>
    </row>
    <row r="4276" spans="18:19" x14ac:dyDescent="0.25">
      <c r="R4276" s="72"/>
      <c r="S4276" s="72"/>
    </row>
    <row r="4277" spans="18:19" x14ac:dyDescent="0.25">
      <c r="R4277" s="72"/>
      <c r="S4277" s="72"/>
    </row>
    <row r="4278" spans="18:19" x14ac:dyDescent="0.25">
      <c r="R4278" s="72"/>
      <c r="S4278" s="72"/>
    </row>
    <row r="4279" spans="18:19" x14ac:dyDescent="0.25">
      <c r="R4279" s="72"/>
      <c r="S4279" s="72"/>
    </row>
    <row r="4280" spans="18:19" x14ac:dyDescent="0.25">
      <c r="R4280" s="72"/>
      <c r="S4280" s="72"/>
    </row>
    <row r="4281" spans="18:19" x14ac:dyDescent="0.25">
      <c r="R4281" s="72"/>
      <c r="S4281" s="72"/>
    </row>
    <row r="4282" spans="18:19" x14ac:dyDescent="0.25">
      <c r="R4282" s="72"/>
      <c r="S4282" s="72"/>
    </row>
    <row r="4283" spans="18:19" x14ac:dyDescent="0.25">
      <c r="R4283" s="72"/>
      <c r="S4283" s="72"/>
    </row>
    <row r="4284" spans="18:19" x14ac:dyDescent="0.25">
      <c r="R4284" s="72"/>
      <c r="S4284" s="72"/>
    </row>
    <row r="4285" spans="18:19" x14ac:dyDescent="0.25">
      <c r="R4285" s="72"/>
      <c r="S4285" s="72"/>
    </row>
    <row r="4286" spans="18:19" x14ac:dyDescent="0.25">
      <c r="R4286" s="72"/>
      <c r="S4286" s="72"/>
    </row>
    <row r="4287" spans="18:19" x14ac:dyDescent="0.25">
      <c r="R4287" s="72"/>
      <c r="S4287" s="72"/>
    </row>
    <row r="4288" spans="18:19" x14ac:dyDescent="0.25">
      <c r="R4288" s="72"/>
      <c r="S4288" s="72"/>
    </row>
    <row r="4289" spans="18:19" x14ac:dyDescent="0.25">
      <c r="R4289" s="72"/>
      <c r="S4289" s="72"/>
    </row>
    <row r="4290" spans="18:19" x14ac:dyDescent="0.25">
      <c r="R4290" s="72"/>
      <c r="S4290" s="72"/>
    </row>
    <row r="4291" spans="18:19" x14ac:dyDescent="0.25">
      <c r="R4291" s="72"/>
      <c r="S4291" s="72"/>
    </row>
    <row r="4292" spans="18:19" x14ac:dyDescent="0.25">
      <c r="R4292" s="72"/>
      <c r="S4292" s="72"/>
    </row>
    <row r="4293" spans="18:19" x14ac:dyDescent="0.25">
      <c r="R4293" s="72"/>
      <c r="S4293" s="72"/>
    </row>
    <row r="4294" spans="18:19" x14ac:dyDescent="0.25">
      <c r="R4294" s="72"/>
      <c r="S4294" s="72"/>
    </row>
    <row r="4295" spans="18:19" x14ac:dyDescent="0.25">
      <c r="R4295" s="72"/>
      <c r="S4295" s="72"/>
    </row>
    <row r="4296" spans="18:19" x14ac:dyDescent="0.25">
      <c r="R4296" s="72"/>
      <c r="S4296" s="72"/>
    </row>
    <row r="4297" spans="18:19" x14ac:dyDescent="0.25">
      <c r="R4297" s="72"/>
      <c r="S4297" s="72"/>
    </row>
    <row r="4298" spans="18:19" x14ac:dyDescent="0.25">
      <c r="R4298" s="72"/>
      <c r="S4298" s="72"/>
    </row>
    <row r="4299" spans="18:19" x14ac:dyDescent="0.25">
      <c r="R4299" s="72"/>
      <c r="S4299" s="72"/>
    </row>
    <row r="4300" spans="18:19" x14ac:dyDescent="0.25">
      <c r="R4300" s="72"/>
      <c r="S4300" s="72"/>
    </row>
    <row r="4301" spans="18:19" x14ac:dyDescent="0.25">
      <c r="R4301" s="72"/>
      <c r="S4301" s="72"/>
    </row>
    <row r="4302" spans="18:19" x14ac:dyDescent="0.25">
      <c r="R4302" s="72"/>
      <c r="S4302" s="72"/>
    </row>
    <row r="4303" spans="18:19" x14ac:dyDescent="0.25">
      <c r="R4303" s="72"/>
      <c r="S4303" s="72"/>
    </row>
    <row r="4304" spans="18:19" x14ac:dyDescent="0.25">
      <c r="R4304" s="72"/>
      <c r="S4304" s="72"/>
    </row>
    <row r="4305" spans="18:19" x14ac:dyDescent="0.25">
      <c r="R4305" s="72"/>
      <c r="S4305" s="72"/>
    </row>
    <row r="4306" spans="18:19" x14ac:dyDescent="0.25">
      <c r="R4306" s="72"/>
      <c r="S4306" s="72"/>
    </row>
    <row r="4307" spans="18:19" x14ac:dyDescent="0.25">
      <c r="R4307" s="72"/>
      <c r="S4307" s="72"/>
    </row>
    <row r="4308" spans="18:19" x14ac:dyDescent="0.25">
      <c r="R4308" s="72"/>
      <c r="S4308" s="72"/>
    </row>
    <row r="4309" spans="18:19" x14ac:dyDescent="0.25">
      <c r="R4309" s="72"/>
      <c r="S4309" s="72"/>
    </row>
    <row r="4310" spans="18:19" x14ac:dyDescent="0.25">
      <c r="R4310" s="72"/>
      <c r="S4310" s="72"/>
    </row>
    <row r="4311" spans="18:19" x14ac:dyDescent="0.25">
      <c r="R4311" s="72"/>
      <c r="S4311" s="72"/>
    </row>
    <row r="4312" spans="18:19" x14ac:dyDescent="0.25">
      <c r="R4312" s="72"/>
      <c r="S4312" s="72"/>
    </row>
    <row r="4313" spans="18:19" x14ac:dyDescent="0.25">
      <c r="R4313" s="72"/>
      <c r="S4313" s="72"/>
    </row>
    <row r="4314" spans="18:19" x14ac:dyDescent="0.25">
      <c r="R4314" s="72"/>
      <c r="S4314" s="72"/>
    </row>
    <row r="4315" spans="18:19" x14ac:dyDescent="0.25">
      <c r="R4315" s="72"/>
      <c r="S4315" s="72"/>
    </row>
    <row r="4316" spans="18:19" x14ac:dyDescent="0.25">
      <c r="R4316" s="72"/>
      <c r="S4316" s="72"/>
    </row>
    <row r="4317" spans="18:19" x14ac:dyDescent="0.25">
      <c r="R4317" s="72"/>
      <c r="S4317" s="72"/>
    </row>
    <row r="4318" spans="18:19" x14ac:dyDescent="0.25">
      <c r="R4318" s="72"/>
      <c r="S4318" s="72"/>
    </row>
    <row r="4319" spans="18:19" x14ac:dyDescent="0.25">
      <c r="R4319" s="72"/>
      <c r="S4319" s="72"/>
    </row>
    <row r="4320" spans="18:19" x14ac:dyDescent="0.25">
      <c r="R4320" s="72"/>
      <c r="S4320" s="72"/>
    </row>
    <row r="4321" spans="18:19" x14ac:dyDescent="0.25">
      <c r="R4321" s="72"/>
      <c r="S4321" s="72"/>
    </row>
    <row r="4322" spans="18:19" x14ac:dyDescent="0.25">
      <c r="R4322" s="72"/>
      <c r="S4322" s="72"/>
    </row>
    <row r="4323" spans="18:19" x14ac:dyDescent="0.25">
      <c r="R4323" s="72"/>
      <c r="S4323" s="72"/>
    </row>
    <row r="4324" spans="18:19" x14ac:dyDescent="0.25">
      <c r="R4324" s="72"/>
      <c r="S4324" s="72"/>
    </row>
    <row r="4325" spans="18:19" x14ac:dyDescent="0.25">
      <c r="R4325" s="72"/>
      <c r="S4325" s="72"/>
    </row>
    <row r="4326" spans="18:19" x14ac:dyDescent="0.25">
      <c r="R4326" s="72"/>
      <c r="S4326" s="72"/>
    </row>
    <row r="4327" spans="18:19" x14ac:dyDescent="0.25">
      <c r="R4327" s="72"/>
      <c r="S4327" s="72"/>
    </row>
    <row r="4328" spans="18:19" x14ac:dyDescent="0.25">
      <c r="R4328" s="72"/>
      <c r="S4328" s="72"/>
    </row>
    <row r="4329" spans="18:19" x14ac:dyDescent="0.25">
      <c r="R4329" s="72"/>
      <c r="S4329" s="72"/>
    </row>
    <row r="4330" spans="18:19" x14ac:dyDescent="0.25">
      <c r="R4330" s="72"/>
      <c r="S4330" s="72"/>
    </row>
    <row r="4331" spans="18:19" x14ac:dyDescent="0.25">
      <c r="R4331" s="72"/>
      <c r="S4331" s="72"/>
    </row>
    <row r="4332" spans="18:19" x14ac:dyDescent="0.25">
      <c r="R4332" s="72"/>
      <c r="S4332" s="72"/>
    </row>
    <row r="4333" spans="18:19" x14ac:dyDescent="0.25">
      <c r="R4333" s="72"/>
      <c r="S4333" s="72"/>
    </row>
    <row r="4334" spans="18:19" x14ac:dyDescent="0.25">
      <c r="R4334" s="72"/>
      <c r="S4334" s="72"/>
    </row>
    <row r="4335" spans="18:19" x14ac:dyDescent="0.25">
      <c r="R4335" s="72"/>
      <c r="S4335" s="72"/>
    </row>
    <row r="4336" spans="18:19" x14ac:dyDescent="0.25">
      <c r="R4336" s="72"/>
      <c r="S4336" s="72"/>
    </row>
    <row r="4337" spans="18:19" x14ac:dyDescent="0.25">
      <c r="R4337" s="72"/>
      <c r="S4337" s="72"/>
    </row>
    <row r="4338" spans="18:19" x14ac:dyDescent="0.25">
      <c r="R4338" s="72"/>
      <c r="S4338" s="72"/>
    </row>
    <row r="4339" spans="18:19" x14ac:dyDescent="0.25">
      <c r="R4339" s="72"/>
      <c r="S4339" s="72"/>
    </row>
    <row r="4340" spans="18:19" x14ac:dyDescent="0.25">
      <c r="R4340" s="72"/>
      <c r="S4340" s="72"/>
    </row>
    <row r="4341" spans="18:19" x14ac:dyDescent="0.25">
      <c r="R4341" s="72"/>
      <c r="S4341" s="72"/>
    </row>
    <row r="4342" spans="18:19" x14ac:dyDescent="0.25">
      <c r="R4342" s="72"/>
      <c r="S4342" s="72"/>
    </row>
    <row r="4343" spans="18:19" x14ac:dyDescent="0.25">
      <c r="R4343" s="72"/>
      <c r="S4343" s="72"/>
    </row>
    <row r="4344" spans="18:19" x14ac:dyDescent="0.25">
      <c r="R4344" s="72"/>
      <c r="S4344" s="72"/>
    </row>
    <row r="4345" spans="18:19" x14ac:dyDescent="0.25">
      <c r="R4345" s="72"/>
      <c r="S4345" s="72"/>
    </row>
    <row r="4346" spans="18:19" x14ac:dyDescent="0.25">
      <c r="R4346" s="72"/>
      <c r="S4346" s="72"/>
    </row>
    <row r="4347" spans="18:19" x14ac:dyDescent="0.25">
      <c r="R4347" s="72"/>
      <c r="S4347" s="72"/>
    </row>
    <row r="4348" spans="18:19" x14ac:dyDescent="0.25">
      <c r="R4348" s="72"/>
      <c r="S4348" s="72"/>
    </row>
    <row r="4349" spans="18:19" x14ac:dyDescent="0.25">
      <c r="R4349" s="72"/>
      <c r="S4349" s="72"/>
    </row>
    <row r="4350" spans="18:19" x14ac:dyDescent="0.25">
      <c r="R4350" s="72"/>
      <c r="S4350" s="72"/>
    </row>
    <row r="4351" spans="18:19" x14ac:dyDescent="0.25">
      <c r="R4351" s="72"/>
      <c r="S4351" s="72"/>
    </row>
    <row r="4352" spans="18:19" x14ac:dyDescent="0.25">
      <c r="R4352" s="72"/>
      <c r="S4352" s="72"/>
    </row>
    <row r="4353" spans="18:19" x14ac:dyDescent="0.25">
      <c r="R4353" s="72"/>
      <c r="S4353" s="72"/>
    </row>
    <row r="4354" spans="18:19" x14ac:dyDescent="0.25">
      <c r="R4354" s="72"/>
      <c r="S4354" s="72"/>
    </row>
    <row r="4355" spans="18:19" x14ac:dyDescent="0.25">
      <c r="R4355" s="72"/>
      <c r="S4355" s="72"/>
    </row>
    <row r="4356" spans="18:19" x14ac:dyDescent="0.25">
      <c r="R4356" s="72"/>
      <c r="S4356" s="72"/>
    </row>
    <row r="4357" spans="18:19" x14ac:dyDescent="0.25">
      <c r="R4357" s="72"/>
      <c r="S4357" s="72"/>
    </row>
    <row r="4358" spans="18:19" x14ac:dyDescent="0.25">
      <c r="R4358" s="72"/>
      <c r="S4358" s="72"/>
    </row>
    <row r="4359" spans="18:19" x14ac:dyDescent="0.25">
      <c r="R4359" s="72"/>
      <c r="S4359" s="72"/>
    </row>
    <row r="4360" spans="18:19" x14ac:dyDescent="0.25">
      <c r="R4360" s="72"/>
      <c r="S4360" s="72"/>
    </row>
    <row r="4361" spans="18:19" x14ac:dyDescent="0.25">
      <c r="R4361" s="72"/>
      <c r="S4361" s="72"/>
    </row>
    <row r="4362" spans="18:19" x14ac:dyDescent="0.25">
      <c r="R4362" s="72"/>
      <c r="S4362" s="72"/>
    </row>
    <row r="4363" spans="18:19" x14ac:dyDescent="0.25">
      <c r="R4363" s="72"/>
      <c r="S4363" s="72"/>
    </row>
    <row r="4364" spans="18:19" x14ac:dyDescent="0.25">
      <c r="R4364" s="72"/>
      <c r="S4364" s="72"/>
    </row>
    <row r="4365" spans="18:19" x14ac:dyDescent="0.25">
      <c r="R4365" s="72"/>
      <c r="S4365" s="72"/>
    </row>
    <row r="4366" spans="18:19" x14ac:dyDescent="0.25">
      <c r="R4366" s="72"/>
      <c r="S4366" s="72"/>
    </row>
    <row r="4367" spans="18:19" x14ac:dyDescent="0.25">
      <c r="R4367" s="72"/>
      <c r="S4367" s="72"/>
    </row>
    <row r="4368" spans="18:19" x14ac:dyDescent="0.25">
      <c r="R4368" s="72"/>
      <c r="S4368" s="72"/>
    </row>
    <row r="4369" spans="18:19" x14ac:dyDescent="0.25">
      <c r="R4369" s="72"/>
      <c r="S4369" s="72"/>
    </row>
    <row r="4370" spans="18:19" x14ac:dyDescent="0.25">
      <c r="R4370" s="72"/>
      <c r="S4370" s="72"/>
    </row>
    <row r="4371" spans="18:19" x14ac:dyDescent="0.25">
      <c r="R4371" s="72"/>
      <c r="S4371" s="72"/>
    </row>
    <row r="4372" spans="18:19" x14ac:dyDescent="0.25">
      <c r="R4372" s="72"/>
      <c r="S4372" s="72"/>
    </row>
    <row r="4373" spans="18:19" x14ac:dyDescent="0.25">
      <c r="R4373" s="72"/>
      <c r="S4373" s="72"/>
    </row>
    <row r="4374" spans="18:19" x14ac:dyDescent="0.25">
      <c r="R4374" s="72"/>
      <c r="S4374" s="72"/>
    </row>
    <row r="4375" spans="18:19" x14ac:dyDescent="0.25">
      <c r="R4375" s="72"/>
      <c r="S4375" s="72"/>
    </row>
    <row r="4376" spans="18:19" x14ac:dyDescent="0.25">
      <c r="R4376" s="72"/>
      <c r="S4376" s="72"/>
    </row>
    <row r="4377" spans="18:19" x14ac:dyDescent="0.25">
      <c r="R4377" s="72"/>
      <c r="S4377" s="72"/>
    </row>
    <row r="4378" spans="18:19" x14ac:dyDescent="0.25">
      <c r="R4378" s="72"/>
      <c r="S4378" s="72"/>
    </row>
    <row r="4379" spans="18:19" x14ac:dyDescent="0.25">
      <c r="R4379" s="72"/>
      <c r="S4379" s="72"/>
    </row>
    <row r="4380" spans="18:19" x14ac:dyDescent="0.25">
      <c r="R4380" s="72"/>
      <c r="S4380" s="72"/>
    </row>
    <row r="4381" spans="18:19" x14ac:dyDescent="0.25">
      <c r="R4381" s="72"/>
      <c r="S4381" s="72"/>
    </row>
    <row r="4382" spans="18:19" x14ac:dyDescent="0.25">
      <c r="R4382" s="72"/>
      <c r="S4382" s="72"/>
    </row>
    <row r="4383" spans="18:19" x14ac:dyDescent="0.25">
      <c r="R4383" s="72"/>
      <c r="S4383" s="72"/>
    </row>
    <row r="4384" spans="18:19" x14ac:dyDescent="0.25">
      <c r="R4384" s="72"/>
      <c r="S4384" s="72"/>
    </row>
    <row r="4385" spans="18:19" x14ac:dyDescent="0.25">
      <c r="R4385" s="72"/>
      <c r="S4385" s="72"/>
    </row>
    <row r="4386" spans="18:19" x14ac:dyDescent="0.25">
      <c r="R4386" s="72"/>
      <c r="S4386" s="72"/>
    </row>
    <row r="4387" spans="18:19" x14ac:dyDescent="0.25">
      <c r="R4387" s="72"/>
      <c r="S4387" s="72"/>
    </row>
    <row r="4388" spans="18:19" x14ac:dyDescent="0.25">
      <c r="R4388" s="72"/>
      <c r="S4388" s="72"/>
    </row>
    <row r="4389" spans="18:19" x14ac:dyDescent="0.25">
      <c r="R4389" s="72"/>
      <c r="S4389" s="72"/>
    </row>
    <row r="4390" spans="18:19" x14ac:dyDescent="0.25">
      <c r="R4390" s="72"/>
      <c r="S4390" s="72"/>
    </row>
    <row r="4391" spans="18:19" x14ac:dyDescent="0.25">
      <c r="R4391" s="72"/>
      <c r="S4391" s="72"/>
    </row>
    <row r="4392" spans="18:19" x14ac:dyDescent="0.25">
      <c r="R4392" s="72"/>
      <c r="S4392" s="72"/>
    </row>
    <row r="4393" spans="18:19" x14ac:dyDescent="0.25">
      <c r="R4393" s="72"/>
      <c r="S4393" s="72"/>
    </row>
    <row r="4394" spans="18:19" x14ac:dyDescent="0.25">
      <c r="R4394" s="72"/>
      <c r="S4394" s="72"/>
    </row>
    <row r="4395" spans="18:19" x14ac:dyDescent="0.25">
      <c r="R4395" s="72"/>
      <c r="S4395" s="72"/>
    </row>
    <row r="4396" spans="18:19" x14ac:dyDescent="0.25">
      <c r="R4396" s="72"/>
      <c r="S4396" s="72"/>
    </row>
    <row r="4397" spans="18:19" x14ac:dyDescent="0.25">
      <c r="R4397" s="72"/>
      <c r="S4397" s="72"/>
    </row>
    <row r="4398" spans="18:19" x14ac:dyDescent="0.25">
      <c r="R4398" s="72"/>
      <c r="S4398" s="72"/>
    </row>
    <row r="4399" spans="18:19" x14ac:dyDescent="0.25">
      <c r="R4399" s="72"/>
      <c r="S4399" s="72"/>
    </row>
    <row r="4400" spans="18:19" x14ac:dyDescent="0.25">
      <c r="R4400" s="72"/>
      <c r="S4400" s="72"/>
    </row>
    <row r="4401" spans="18:19" x14ac:dyDescent="0.25">
      <c r="R4401" s="72"/>
      <c r="S4401" s="72"/>
    </row>
    <row r="4402" spans="18:19" x14ac:dyDescent="0.25">
      <c r="R4402" s="72"/>
      <c r="S4402" s="72"/>
    </row>
    <row r="4403" spans="18:19" x14ac:dyDescent="0.25">
      <c r="R4403" s="72"/>
      <c r="S4403" s="72"/>
    </row>
    <row r="4404" spans="18:19" x14ac:dyDescent="0.25">
      <c r="R4404" s="72"/>
      <c r="S4404" s="72"/>
    </row>
    <row r="4405" spans="18:19" x14ac:dyDescent="0.25">
      <c r="R4405" s="72"/>
      <c r="S4405" s="72"/>
    </row>
    <row r="4406" spans="18:19" x14ac:dyDescent="0.25">
      <c r="R4406" s="72"/>
      <c r="S4406" s="72"/>
    </row>
    <row r="4407" spans="18:19" x14ac:dyDescent="0.25">
      <c r="R4407" s="72"/>
      <c r="S4407" s="72"/>
    </row>
    <row r="4408" spans="18:19" x14ac:dyDescent="0.25">
      <c r="R4408" s="72"/>
      <c r="S4408" s="72"/>
    </row>
    <row r="4409" spans="18:19" x14ac:dyDescent="0.25">
      <c r="R4409" s="72"/>
      <c r="S4409" s="72"/>
    </row>
    <row r="4410" spans="18:19" x14ac:dyDescent="0.25">
      <c r="R4410" s="72"/>
      <c r="S4410" s="72"/>
    </row>
    <row r="4411" spans="18:19" x14ac:dyDescent="0.25">
      <c r="R4411" s="72"/>
      <c r="S4411" s="72"/>
    </row>
    <row r="4412" spans="18:19" x14ac:dyDescent="0.25">
      <c r="R4412" s="72"/>
      <c r="S4412" s="72"/>
    </row>
    <row r="4413" spans="18:19" x14ac:dyDescent="0.25">
      <c r="R4413" s="72"/>
      <c r="S4413" s="72"/>
    </row>
    <row r="4414" spans="18:19" x14ac:dyDescent="0.25">
      <c r="R4414" s="72"/>
      <c r="S4414" s="72"/>
    </row>
    <row r="4415" spans="18:19" x14ac:dyDescent="0.25">
      <c r="R4415" s="72"/>
      <c r="S4415" s="72"/>
    </row>
    <row r="4416" spans="18:19" x14ac:dyDescent="0.25">
      <c r="R4416" s="72"/>
      <c r="S4416" s="72"/>
    </row>
    <row r="4417" spans="18:19" x14ac:dyDescent="0.25">
      <c r="R4417" s="72"/>
      <c r="S4417" s="72"/>
    </row>
    <row r="4418" spans="18:19" x14ac:dyDescent="0.25">
      <c r="R4418" s="72"/>
      <c r="S4418" s="72"/>
    </row>
    <row r="4419" spans="18:19" x14ac:dyDescent="0.25">
      <c r="R4419" s="72"/>
      <c r="S4419" s="72"/>
    </row>
    <row r="4420" spans="18:19" x14ac:dyDescent="0.25">
      <c r="R4420" s="72"/>
      <c r="S4420" s="72"/>
    </row>
    <row r="4421" spans="18:19" x14ac:dyDescent="0.25">
      <c r="R4421" s="72"/>
      <c r="S4421" s="72"/>
    </row>
    <row r="4422" spans="18:19" x14ac:dyDescent="0.25">
      <c r="R4422" s="72"/>
      <c r="S4422" s="72"/>
    </row>
    <row r="4423" spans="18:19" x14ac:dyDescent="0.25">
      <c r="R4423" s="72"/>
      <c r="S4423" s="72"/>
    </row>
    <row r="4424" spans="18:19" x14ac:dyDescent="0.25">
      <c r="R4424" s="72"/>
      <c r="S4424" s="72"/>
    </row>
    <row r="4425" spans="18:19" x14ac:dyDescent="0.25">
      <c r="R4425" s="72"/>
      <c r="S4425" s="72"/>
    </row>
    <row r="4426" spans="18:19" x14ac:dyDescent="0.25">
      <c r="R4426" s="72"/>
      <c r="S4426" s="72"/>
    </row>
    <row r="4427" spans="18:19" x14ac:dyDescent="0.25">
      <c r="R4427" s="72"/>
      <c r="S4427" s="72"/>
    </row>
    <row r="4428" spans="18:19" x14ac:dyDescent="0.25">
      <c r="R4428" s="72"/>
      <c r="S4428" s="72"/>
    </row>
    <row r="4429" spans="18:19" x14ac:dyDescent="0.25">
      <c r="R4429" s="72"/>
      <c r="S4429" s="72"/>
    </row>
    <row r="4430" spans="18:19" x14ac:dyDescent="0.25">
      <c r="R4430" s="72"/>
      <c r="S4430" s="72"/>
    </row>
    <row r="4431" spans="18:19" x14ac:dyDescent="0.25">
      <c r="R4431" s="72"/>
      <c r="S4431" s="72"/>
    </row>
    <row r="4432" spans="18:19" x14ac:dyDescent="0.25">
      <c r="R4432" s="72"/>
      <c r="S4432" s="72"/>
    </row>
    <row r="4433" spans="18:19" x14ac:dyDescent="0.25">
      <c r="R4433" s="72"/>
      <c r="S4433" s="72"/>
    </row>
    <row r="4434" spans="18:19" x14ac:dyDescent="0.25">
      <c r="R4434" s="72"/>
      <c r="S4434" s="72"/>
    </row>
    <row r="4435" spans="18:19" x14ac:dyDescent="0.25">
      <c r="R4435" s="72"/>
      <c r="S4435" s="72"/>
    </row>
    <row r="4436" spans="18:19" x14ac:dyDescent="0.25">
      <c r="R4436" s="72"/>
      <c r="S4436" s="72"/>
    </row>
    <row r="4437" spans="18:19" x14ac:dyDescent="0.25">
      <c r="R4437" s="72"/>
      <c r="S4437" s="72"/>
    </row>
    <row r="4438" spans="18:19" x14ac:dyDescent="0.25">
      <c r="R4438" s="72"/>
      <c r="S4438" s="72"/>
    </row>
    <row r="4439" spans="18:19" x14ac:dyDescent="0.25">
      <c r="R4439" s="72"/>
      <c r="S4439" s="72"/>
    </row>
    <row r="4440" spans="18:19" x14ac:dyDescent="0.25">
      <c r="R4440" s="72"/>
      <c r="S4440" s="72"/>
    </row>
    <row r="4441" spans="18:19" x14ac:dyDescent="0.25">
      <c r="R4441" s="72"/>
      <c r="S4441" s="72"/>
    </row>
    <row r="4442" spans="18:19" x14ac:dyDescent="0.25">
      <c r="R4442" s="72"/>
      <c r="S4442" s="72"/>
    </row>
    <row r="4443" spans="18:19" x14ac:dyDescent="0.25">
      <c r="R4443" s="72"/>
      <c r="S4443" s="72"/>
    </row>
    <row r="4444" spans="18:19" x14ac:dyDescent="0.25">
      <c r="R4444" s="72"/>
      <c r="S4444" s="72"/>
    </row>
    <row r="4445" spans="18:19" x14ac:dyDescent="0.25">
      <c r="R4445" s="72"/>
      <c r="S4445" s="72"/>
    </row>
    <row r="4446" spans="18:19" x14ac:dyDescent="0.25">
      <c r="R4446" s="72"/>
      <c r="S4446" s="72"/>
    </row>
    <row r="4447" spans="18:19" x14ac:dyDescent="0.25">
      <c r="R4447" s="72"/>
      <c r="S4447" s="72"/>
    </row>
    <row r="4448" spans="18:19" x14ac:dyDescent="0.25">
      <c r="R4448" s="72"/>
      <c r="S4448" s="72"/>
    </row>
    <row r="4449" spans="18:19" x14ac:dyDescent="0.25">
      <c r="R4449" s="72"/>
      <c r="S4449" s="72"/>
    </row>
    <row r="4450" spans="18:19" x14ac:dyDescent="0.25">
      <c r="R4450" s="72"/>
      <c r="S4450" s="72"/>
    </row>
    <row r="4451" spans="18:19" x14ac:dyDescent="0.25">
      <c r="R4451" s="72"/>
      <c r="S4451" s="72"/>
    </row>
    <row r="4452" spans="18:19" x14ac:dyDescent="0.25">
      <c r="R4452" s="72"/>
      <c r="S4452" s="72"/>
    </row>
    <row r="4453" spans="18:19" x14ac:dyDescent="0.25">
      <c r="R4453" s="72"/>
      <c r="S4453" s="72"/>
    </row>
    <row r="4454" spans="18:19" x14ac:dyDescent="0.25">
      <c r="R4454" s="72"/>
      <c r="S4454" s="72"/>
    </row>
    <row r="4455" spans="18:19" x14ac:dyDescent="0.25">
      <c r="R4455" s="72"/>
      <c r="S4455" s="72"/>
    </row>
    <row r="4456" spans="18:19" x14ac:dyDescent="0.25">
      <c r="R4456" s="72"/>
      <c r="S4456" s="72"/>
    </row>
    <row r="4457" spans="18:19" x14ac:dyDescent="0.25">
      <c r="R4457" s="72"/>
      <c r="S4457" s="72"/>
    </row>
    <row r="4458" spans="18:19" x14ac:dyDescent="0.25">
      <c r="R4458" s="72"/>
      <c r="S4458" s="72"/>
    </row>
    <row r="4459" spans="18:19" x14ac:dyDescent="0.25">
      <c r="R4459" s="72"/>
      <c r="S4459" s="72"/>
    </row>
    <row r="4460" spans="18:19" x14ac:dyDescent="0.25">
      <c r="R4460" s="72"/>
      <c r="S4460" s="72"/>
    </row>
    <row r="4461" spans="18:19" x14ac:dyDescent="0.25">
      <c r="R4461" s="72"/>
      <c r="S4461" s="72"/>
    </row>
    <row r="4462" spans="18:19" x14ac:dyDescent="0.25">
      <c r="R4462" s="72"/>
      <c r="S4462" s="72"/>
    </row>
    <row r="4463" spans="18:19" x14ac:dyDescent="0.25">
      <c r="R4463" s="72"/>
      <c r="S4463" s="72"/>
    </row>
    <row r="4464" spans="18:19" x14ac:dyDescent="0.25">
      <c r="R4464" s="72"/>
      <c r="S4464" s="72"/>
    </row>
    <row r="4465" spans="18:19" x14ac:dyDescent="0.25">
      <c r="R4465" s="72"/>
      <c r="S4465" s="72"/>
    </row>
    <row r="4466" spans="18:19" x14ac:dyDescent="0.25">
      <c r="R4466" s="72"/>
      <c r="S4466" s="72"/>
    </row>
    <row r="4467" spans="18:19" x14ac:dyDescent="0.25">
      <c r="R4467" s="72"/>
      <c r="S4467" s="72"/>
    </row>
    <row r="4468" spans="18:19" x14ac:dyDescent="0.25">
      <c r="R4468" s="72"/>
      <c r="S4468" s="72"/>
    </row>
    <row r="4469" spans="18:19" x14ac:dyDescent="0.25">
      <c r="R4469" s="72"/>
      <c r="S4469" s="72"/>
    </row>
    <row r="4470" spans="18:19" x14ac:dyDescent="0.25">
      <c r="R4470" s="72"/>
      <c r="S4470" s="72"/>
    </row>
    <row r="4471" spans="18:19" x14ac:dyDescent="0.25">
      <c r="R4471" s="72"/>
      <c r="S4471" s="72"/>
    </row>
    <row r="4472" spans="18:19" x14ac:dyDescent="0.25">
      <c r="R4472" s="72"/>
      <c r="S4472" s="72"/>
    </row>
    <row r="4473" spans="18:19" x14ac:dyDescent="0.25">
      <c r="R4473" s="72"/>
      <c r="S4473" s="72"/>
    </row>
    <row r="4474" spans="18:19" x14ac:dyDescent="0.25">
      <c r="R4474" s="72"/>
      <c r="S4474" s="72"/>
    </row>
    <row r="4475" spans="18:19" x14ac:dyDescent="0.25">
      <c r="R4475" s="72"/>
      <c r="S4475" s="72"/>
    </row>
    <row r="4476" spans="18:19" x14ac:dyDescent="0.25">
      <c r="R4476" s="72"/>
      <c r="S4476" s="72"/>
    </row>
    <row r="4477" spans="18:19" x14ac:dyDescent="0.25">
      <c r="R4477" s="72"/>
      <c r="S4477" s="72"/>
    </row>
    <row r="4478" spans="18:19" x14ac:dyDescent="0.25">
      <c r="R4478" s="72"/>
      <c r="S4478" s="72"/>
    </row>
    <row r="4479" spans="18:19" x14ac:dyDescent="0.25">
      <c r="R4479" s="72"/>
      <c r="S4479" s="72"/>
    </row>
    <row r="4480" spans="18:19" x14ac:dyDescent="0.25">
      <c r="R4480" s="72"/>
      <c r="S4480" s="72"/>
    </row>
    <row r="4481" spans="18:19" x14ac:dyDescent="0.25">
      <c r="R4481" s="72"/>
      <c r="S4481" s="72"/>
    </row>
    <row r="4482" spans="18:19" x14ac:dyDescent="0.25">
      <c r="R4482" s="72"/>
      <c r="S4482" s="72"/>
    </row>
    <row r="4483" spans="18:19" x14ac:dyDescent="0.25">
      <c r="R4483" s="72"/>
      <c r="S4483" s="72"/>
    </row>
    <row r="4484" spans="18:19" x14ac:dyDescent="0.25">
      <c r="R4484" s="72"/>
      <c r="S4484" s="72"/>
    </row>
    <row r="4485" spans="18:19" x14ac:dyDescent="0.25">
      <c r="R4485" s="72"/>
      <c r="S4485" s="72"/>
    </row>
    <row r="4486" spans="18:19" x14ac:dyDescent="0.25">
      <c r="R4486" s="72"/>
      <c r="S4486" s="72"/>
    </row>
    <row r="4487" spans="18:19" x14ac:dyDescent="0.25">
      <c r="R4487" s="72"/>
      <c r="S4487" s="72"/>
    </row>
    <row r="4488" spans="18:19" x14ac:dyDescent="0.25">
      <c r="R4488" s="72"/>
      <c r="S4488" s="72"/>
    </row>
    <row r="4489" spans="18:19" x14ac:dyDescent="0.25">
      <c r="R4489" s="72"/>
      <c r="S4489" s="72"/>
    </row>
    <row r="4490" spans="18:19" x14ac:dyDescent="0.25">
      <c r="R4490" s="72"/>
      <c r="S4490" s="72"/>
    </row>
    <row r="4491" spans="18:19" x14ac:dyDescent="0.25">
      <c r="R4491" s="72"/>
      <c r="S4491" s="72"/>
    </row>
    <row r="4492" spans="18:19" x14ac:dyDescent="0.25">
      <c r="R4492" s="72"/>
      <c r="S4492" s="72"/>
    </row>
    <row r="4493" spans="18:19" x14ac:dyDescent="0.25">
      <c r="R4493" s="72"/>
      <c r="S4493" s="72"/>
    </row>
    <row r="4494" spans="18:19" x14ac:dyDescent="0.25">
      <c r="R4494" s="72"/>
      <c r="S4494" s="72"/>
    </row>
    <row r="4495" spans="18:19" x14ac:dyDescent="0.25">
      <c r="R4495" s="72"/>
      <c r="S4495" s="72"/>
    </row>
    <row r="4496" spans="18:19" x14ac:dyDescent="0.25">
      <c r="R4496" s="72"/>
      <c r="S4496" s="72"/>
    </row>
    <row r="4497" spans="18:19" x14ac:dyDescent="0.25">
      <c r="R4497" s="72"/>
      <c r="S4497" s="72"/>
    </row>
    <row r="4498" spans="18:19" x14ac:dyDescent="0.25">
      <c r="R4498" s="72"/>
      <c r="S4498" s="72"/>
    </row>
    <row r="4499" spans="18:19" x14ac:dyDescent="0.25">
      <c r="R4499" s="72"/>
      <c r="S4499" s="72"/>
    </row>
    <row r="4500" spans="18:19" x14ac:dyDescent="0.25">
      <c r="R4500" s="72"/>
      <c r="S4500" s="72"/>
    </row>
    <row r="4501" spans="18:19" x14ac:dyDescent="0.25">
      <c r="R4501" s="72"/>
      <c r="S4501" s="72"/>
    </row>
    <row r="4502" spans="18:19" x14ac:dyDescent="0.25">
      <c r="R4502" s="72"/>
      <c r="S4502" s="72"/>
    </row>
    <row r="4503" spans="18:19" x14ac:dyDescent="0.25">
      <c r="R4503" s="72"/>
      <c r="S4503" s="72"/>
    </row>
    <row r="4504" spans="18:19" x14ac:dyDescent="0.25">
      <c r="R4504" s="72"/>
      <c r="S4504" s="72"/>
    </row>
    <row r="4505" spans="18:19" x14ac:dyDescent="0.25">
      <c r="R4505" s="72"/>
      <c r="S4505" s="72"/>
    </row>
    <row r="4506" spans="18:19" x14ac:dyDescent="0.25">
      <c r="R4506" s="72"/>
      <c r="S4506" s="72"/>
    </row>
    <row r="4507" spans="18:19" x14ac:dyDescent="0.25">
      <c r="R4507" s="72"/>
      <c r="S4507" s="72"/>
    </row>
    <row r="4508" spans="18:19" x14ac:dyDescent="0.25">
      <c r="R4508" s="72"/>
      <c r="S4508" s="72"/>
    </row>
    <row r="4509" spans="18:19" x14ac:dyDescent="0.25">
      <c r="R4509" s="72"/>
      <c r="S4509" s="72"/>
    </row>
    <row r="4510" spans="18:19" x14ac:dyDescent="0.25">
      <c r="R4510" s="72"/>
      <c r="S4510" s="72"/>
    </row>
    <row r="4511" spans="18:19" x14ac:dyDescent="0.25">
      <c r="R4511" s="72"/>
      <c r="S4511" s="72"/>
    </row>
    <row r="4512" spans="18:19" x14ac:dyDescent="0.25">
      <c r="R4512" s="72"/>
      <c r="S4512" s="72"/>
    </row>
    <row r="4513" spans="18:19" x14ac:dyDescent="0.25">
      <c r="R4513" s="72"/>
      <c r="S4513" s="72"/>
    </row>
    <row r="4514" spans="18:19" x14ac:dyDescent="0.25">
      <c r="R4514" s="72"/>
      <c r="S4514" s="72"/>
    </row>
    <row r="4515" spans="18:19" x14ac:dyDescent="0.25">
      <c r="R4515" s="72"/>
      <c r="S4515" s="72"/>
    </row>
    <row r="4516" spans="18:19" x14ac:dyDescent="0.25">
      <c r="R4516" s="72"/>
      <c r="S4516" s="72"/>
    </row>
    <row r="4517" spans="18:19" x14ac:dyDescent="0.25">
      <c r="R4517" s="72"/>
      <c r="S4517" s="72"/>
    </row>
    <row r="4518" spans="18:19" x14ac:dyDescent="0.25">
      <c r="R4518" s="72"/>
      <c r="S4518" s="72"/>
    </row>
    <row r="4519" spans="18:19" x14ac:dyDescent="0.25">
      <c r="R4519" s="72"/>
      <c r="S4519" s="72"/>
    </row>
    <row r="4520" spans="18:19" x14ac:dyDescent="0.25">
      <c r="R4520" s="72"/>
      <c r="S4520" s="72"/>
    </row>
    <row r="4521" spans="18:19" x14ac:dyDescent="0.25">
      <c r="R4521" s="72"/>
      <c r="S4521" s="72"/>
    </row>
    <row r="4522" spans="18:19" x14ac:dyDescent="0.25">
      <c r="R4522" s="72"/>
      <c r="S4522" s="72"/>
    </row>
    <row r="4523" spans="18:19" x14ac:dyDescent="0.25">
      <c r="R4523" s="72"/>
      <c r="S4523" s="72"/>
    </row>
    <row r="4524" spans="18:19" x14ac:dyDescent="0.25">
      <c r="R4524" s="72"/>
      <c r="S4524" s="72"/>
    </row>
    <row r="4525" spans="18:19" x14ac:dyDescent="0.25">
      <c r="R4525" s="72"/>
      <c r="S4525" s="72"/>
    </row>
    <row r="4526" spans="18:19" x14ac:dyDescent="0.25">
      <c r="R4526" s="72"/>
      <c r="S4526" s="72"/>
    </row>
    <row r="4527" spans="18:19" x14ac:dyDescent="0.25">
      <c r="R4527" s="72"/>
      <c r="S4527" s="72"/>
    </row>
    <row r="4528" spans="18:19" x14ac:dyDescent="0.25">
      <c r="R4528" s="72"/>
      <c r="S4528" s="72"/>
    </row>
    <row r="4529" spans="18:19" x14ac:dyDescent="0.25">
      <c r="R4529" s="72"/>
      <c r="S4529" s="72"/>
    </row>
    <row r="4530" spans="18:19" x14ac:dyDescent="0.25">
      <c r="R4530" s="72"/>
      <c r="S4530" s="72"/>
    </row>
    <row r="4531" spans="18:19" x14ac:dyDescent="0.25">
      <c r="R4531" s="72"/>
      <c r="S4531" s="72"/>
    </row>
    <row r="4532" spans="18:19" x14ac:dyDescent="0.25">
      <c r="R4532" s="72"/>
      <c r="S4532" s="72"/>
    </row>
    <row r="4533" spans="18:19" x14ac:dyDescent="0.25">
      <c r="R4533" s="72"/>
      <c r="S4533" s="72"/>
    </row>
    <row r="4534" spans="18:19" x14ac:dyDescent="0.25">
      <c r="R4534" s="72"/>
      <c r="S4534" s="72"/>
    </row>
    <row r="4535" spans="18:19" x14ac:dyDescent="0.25">
      <c r="R4535" s="72"/>
      <c r="S4535" s="72"/>
    </row>
    <row r="4536" spans="18:19" x14ac:dyDescent="0.25">
      <c r="R4536" s="72"/>
      <c r="S4536" s="72"/>
    </row>
    <row r="4537" spans="18:19" x14ac:dyDescent="0.25">
      <c r="R4537" s="72"/>
      <c r="S4537" s="72"/>
    </row>
    <row r="4538" spans="18:19" x14ac:dyDescent="0.25">
      <c r="R4538" s="72"/>
      <c r="S4538" s="72"/>
    </row>
    <row r="4539" spans="18:19" x14ac:dyDescent="0.25">
      <c r="R4539" s="72"/>
      <c r="S4539" s="72"/>
    </row>
    <row r="4540" spans="18:19" x14ac:dyDescent="0.25">
      <c r="R4540" s="72"/>
      <c r="S4540" s="72"/>
    </row>
    <row r="4541" spans="18:19" x14ac:dyDescent="0.25">
      <c r="R4541" s="72"/>
      <c r="S4541" s="72"/>
    </row>
    <row r="4542" spans="18:19" x14ac:dyDescent="0.25">
      <c r="R4542" s="72"/>
      <c r="S4542" s="72"/>
    </row>
    <row r="4543" spans="18:19" x14ac:dyDescent="0.25">
      <c r="R4543" s="72"/>
      <c r="S4543" s="72"/>
    </row>
    <row r="4544" spans="18:19" x14ac:dyDescent="0.25">
      <c r="R4544" s="72"/>
      <c r="S4544" s="72"/>
    </row>
    <row r="4545" spans="18:19" x14ac:dyDescent="0.25">
      <c r="R4545" s="72"/>
      <c r="S4545" s="72"/>
    </row>
    <row r="4546" spans="18:19" x14ac:dyDescent="0.25">
      <c r="R4546" s="72"/>
      <c r="S4546" s="72"/>
    </row>
    <row r="4547" spans="18:19" x14ac:dyDescent="0.25">
      <c r="R4547" s="72"/>
      <c r="S4547" s="72"/>
    </row>
    <row r="4548" spans="18:19" x14ac:dyDescent="0.25">
      <c r="R4548" s="72"/>
      <c r="S4548" s="72"/>
    </row>
    <row r="4549" spans="18:19" x14ac:dyDescent="0.25">
      <c r="R4549" s="72"/>
      <c r="S4549" s="72"/>
    </row>
    <row r="4550" spans="18:19" x14ac:dyDescent="0.25">
      <c r="R4550" s="72"/>
      <c r="S4550" s="72"/>
    </row>
    <row r="4551" spans="18:19" x14ac:dyDescent="0.25">
      <c r="R4551" s="72"/>
      <c r="S4551" s="72"/>
    </row>
    <row r="4552" spans="18:19" x14ac:dyDescent="0.25">
      <c r="R4552" s="72"/>
      <c r="S4552" s="72"/>
    </row>
    <row r="4553" spans="18:19" x14ac:dyDescent="0.25">
      <c r="R4553" s="72"/>
      <c r="S4553" s="72"/>
    </row>
    <row r="4554" spans="18:19" x14ac:dyDescent="0.25">
      <c r="R4554" s="72"/>
      <c r="S4554" s="72"/>
    </row>
    <row r="4555" spans="18:19" x14ac:dyDescent="0.25">
      <c r="R4555" s="72"/>
      <c r="S4555" s="72"/>
    </row>
    <row r="4556" spans="18:19" x14ac:dyDescent="0.25">
      <c r="R4556" s="72"/>
      <c r="S4556" s="72"/>
    </row>
    <row r="4557" spans="18:19" x14ac:dyDescent="0.25">
      <c r="R4557" s="72"/>
      <c r="S4557" s="72"/>
    </row>
    <row r="4558" spans="18:19" x14ac:dyDescent="0.25">
      <c r="R4558" s="72"/>
      <c r="S4558" s="72"/>
    </row>
    <row r="4559" spans="18:19" x14ac:dyDescent="0.25">
      <c r="R4559" s="72"/>
      <c r="S4559" s="72"/>
    </row>
    <row r="4560" spans="18:19" x14ac:dyDescent="0.25">
      <c r="R4560" s="72"/>
      <c r="S4560" s="72"/>
    </row>
    <row r="4561" spans="18:19" x14ac:dyDescent="0.25">
      <c r="R4561" s="72"/>
      <c r="S4561" s="72"/>
    </row>
    <row r="4562" spans="18:19" x14ac:dyDescent="0.25">
      <c r="R4562" s="72"/>
      <c r="S4562" s="72"/>
    </row>
    <row r="4563" spans="18:19" x14ac:dyDescent="0.25">
      <c r="R4563" s="72"/>
      <c r="S4563" s="72"/>
    </row>
    <row r="4564" spans="18:19" x14ac:dyDescent="0.25">
      <c r="R4564" s="72"/>
      <c r="S4564" s="72"/>
    </row>
    <row r="4565" spans="18:19" x14ac:dyDescent="0.25">
      <c r="R4565" s="72"/>
      <c r="S4565" s="72"/>
    </row>
    <row r="4566" spans="18:19" x14ac:dyDescent="0.25">
      <c r="R4566" s="72"/>
      <c r="S4566" s="72"/>
    </row>
    <row r="4567" spans="18:19" x14ac:dyDescent="0.25">
      <c r="R4567" s="72"/>
      <c r="S4567" s="72"/>
    </row>
    <row r="4568" spans="18:19" x14ac:dyDescent="0.25">
      <c r="R4568" s="72"/>
      <c r="S4568" s="72"/>
    </row>
    <row r="4569" spans="18:19" x14ac:dyDescent="0.25">
      <c r="R4569" s="72"/>
      <c r="S4569" s="72"/>
    </row>
    <row r="4570" spans="18:19" x14ac:dyDescent="0.25">
      <c r="R4570" s="72"/>
      <c r="S4570" s="72"/>
    </row>
    <row r="4571" spans="18:19" x14ac:dyDescent="0.25">
      <c r="R4571" s="72"/>
      <c r="S4571" s="72"/>
    </row>
    <row r="4572" spans="18:19" x14ac:dyDescent="0.25">
      <c r="R4572" s="72"/>
      <c r="S4572" s="72"/>
    </row>
    <row r="4573" spans="18:19" x14ac:dyDescent="0.25">
      <c r="R4573" s="72"/>
      <c r="S4573" s="72"/>
    </row>
    <row r="4574" spans="18:19" x14ac:dyDescent="0.25">
      <c r="R4574" s="72"/>
      <c r="S4574" s="72"/>
    </row>
    <row r="4575" spans="18:19" x14ac:dyDescent="0.25">
      <c r="R4575" s="72"/>
      <c r="S4575" s="72"/>
    </row>
    <row r="4576" spans="18:19" x14ac:dyDescent="0.25">
      <c r="R4576" s="72"/>
      <c r="S4576" s="72"/>
    </row>
    <row r="4577" spans="18:19" x14ac:dyDescent="0.25">
      <c r="R4577" s="72"/>
      <c r="S4577" s="72"/>
    </row>
    <row r="4578" spans="18:19" x14ac:dyDescent="0.25">
      <c r="R4578" s="72"/>
      <c r="S4578" s="72"/>
    </row>
    <row r="4579" spans="18:19" x14ac:dyDescent="0.25">
      <c r="R4579" s="72"/>
      <c r="S4579" s="72"/>
    </row>
    <row r="4580" spans="18:19" x14ac:dyDescent="0.25">
      <c r="R4580" s="72"/>
      <c r="S4580" s="72"/>
    </row>
    <row r="4581" spans="18:19" x14ac:dyDescent="0.25">
      <c r="R4581" s="72"/>
      <c r="S4581" s="72"/>
    </row>
    <row r="4582" spans="18:19" x14ac:dyDescent="0.25">
      <c r="R4582" s="72"/>
      <c r="S4582" s="72"/>
    </row>
    <row r="4583" spans="18:19" x14ac:dyDescent="0.25">
      <c r="R4583" s="72"/>
      <c r="S4583" s="72"/>
    </row>
    <row r="4584" spans="18:19" x14ac:dyDescent="0.25">
      <c r="R4584" s="72"/>
      <c r="S4584" s="72"/>
    </row>
    <row r="4585" spans="18:19" x14ac:dyDescent="0.25">
      <c r="R4585" s="72"/>
      <c r="S4585" s="72"/>
    </row>
    <row r="4586" spans="18:19" x14ac:dyDescent="0.25">
      <c r="R4586" s="72"/>
      <c r="S4586" s="72"/>
    </row>
    <row r="4587" spans="18:19" x14ac:dyDescent="0.25">
      <c r="R4587" s="72"/>
      <c r="S4587" s="72"/>
    </row>
    <row r="4588" spans="18:19" x14ac:dyDescent="0.25">
      <c r="R4588" s="72"/>
      <c r="S4588" s="72"/>
    </row>
    <row r="4589" spans="18:19" x14ac:dyDescent="0.25">
      <c r="R4589" s="72"/>
      <c r="S4589" s="72"/>
    </row>
    <row r="4590" spans="18:19" x14ac:dyDescent="0.25">
      <c r="R4590" s="72"/>
      <c r="S4590" s="72"/>
    </row>
    <row r="4591" spans="18:19" x14ac:dyDescent="0.25">
      <c r="R4591" s="72"/>
      <c r="S4591" s="72"/>
    </row>
    <row r="4592" spans="18:19" x14ac:dyDescent="0.25">
      <c r="R4592" s="72"/>
      <c r="S4592" s="72"/>
    </row>
    <row r="4593" spans="18:19" x14ac:dyDescent="0.25">
      <c r="R4593" s="72"/>
      <c r="S4593" s="72"/>
    </row>
    <row r="4594" spans="18:19" x14ac:dyDescent="0.25">
      <c r="R4594" s="72"/>
      <c r="S4594" s="72"/>
    </row>
    <row r="4595" spans="18:19" x14ac:dyDescent="0.25">
      <c r="R4595" s="72"/>
      <c r="S4595" s="72"/>
    </row>
    <row r="4596" spans="18:19" x14ac:dyDescent="0.25">
      <c r="R4596" s="72"/>
      <c r="S4596" s="72"/>
    </row>
    <row r="4597" spans="18:19" x14ac:dyDescent="0.25">
      <c r="R4597" s="72"/>
      <c r="S4597" s="72"/>
    </row>
    <row r="4598" spans="18:19" x14ac:dyDescent="0.25">
      <c r="R4598" s="72"/>
      <c r="S4598" s="72"/>
    </row>
    <row r="4599" spans="18:19" x14ac:dyDescent="0.25">
      <c r="R4599" s="72"/>
      <c r="S4599" s="72"/>
    </row>
    <row r="4600" spans="18:19" x14ac:dyDescent="0.25">
      <c r="R4600" s="72"/>
      <c r="S4600" s="72"/>
    </row>
    <row r="4601" spans="18:19" x14ac:dyDescent="0.25">
      <c r="R4601" s="72"/>
      <c r="S4601" s="72"/>
    </row>
    <row r="4602" spans="18:19" x14ac:dyDescent="0.25">
      <c r="R4602" s="72"/>
      <c r="S4602" s="72"/>
    </row>
    <row r="4603" spans="18:19" x14ac:dyDescent="0.25">
      <c r="R4603" s="72"/>
      <c r="S4603" s="72"/>
    </row>
    <row r="4604" spans="18:19" x14ac:dyDescent="0.25">
      <c r="R4604" s="72"/>
      <c r="S4604" s="72"/>
    </row>
    <row r="4605" spans="18:19" x14ac:dyDescent="0.25">
      <c r="R4605" s="72"/>
      <c r="S4605" s="72"/>
    </row>
    <row r="4606" spans="18:19" x14ac:dyDescent="0.25">
      <c r="R4606" s="72"/>
      <c r="S4606" s="72"/>
    </row>
    <row r="4607" spans="18:19" x14ac:dyDescent="0.25">
      <c r="R4607" s="72"/>
      <c r="S4607" s="72"/>
    </row>
    <row r="4608" spans="18:19" x14ac:dyDescent="0.25">
      <c r="R4608" s="72"/>
      <c r="S4608" s="72"/>
    </row>
    <row r="4609" spans="18:19" x14ac:dyDescent="0.25">
      <c r="R4609" s="72"/>
      <c r="S4609" s="72"/>
    </row>
    <row r="4610" spans="18:19" x14ac:dyDescent="0.25">
      <c r="R4610" s="72"/>
      <c r="S4610" s="72"/>
    </row>
    <row r="4611" spans="18:19" x14ac:dyDescent="0.25">
      <c r="R4611" s="72"/>
      <c r="S4611" s="72"/>
    </row>
    <row r="4612" spans="18:19" x14ac:dyDescent="0.25">
      <c r="R4612" s="72"/>
      <c r="S4612" s="72"/>
    </row>
    <row r="4613" spans="18:19" x14ac:dyDescent="0.25">
      <c r="R4613" s="72"/>
      <c r="S4613" s="72"/>
    </row>
    <row r="4614" spans="18:19" x14ac:dyDescent="0.25">
      <c r="R4614" s="72"/>
      <c r="S4614" s="72"/>
    </row>
    <row r="4615" spans="18:19" x14ac:dyDescent="0.25">
      <c r="R4615" s="72"/>
      <c r="S4615" s="72"/>
    </row>
    <row r="4616" spans="18:19" x14ac:dyDescent="0.25">
      <c r="R4616" s="72"/>
      <c r="S4616" s="72"/>
    </row>
    <row r="4617" spans="18:19" x14ac:dyDescent="0.25">
      <c r="R4617" s="72"/>
      <c r="S4617" s="72"/>
    </row>
    <row r="4618" spans="18:19" x14ac:dyDescent="0.25">
      <c r="R4618" s="72"/>
      <c r="S4618" s="72"/>
    </row>
    <row r="4619" spans="18:19" x14ac:dyDescent="0.25">
      <c r="R4619" s="72"/>
      <c r="S4619" s="72"/>
    </row>
    <row r="4620" spans="18:19" x14ac:dyDescent="0.25">
      <c r="R4620" s="72"/>
      <c r="S4620" s="72"/>
    </row>
    <row r="4621" spans="18:19" x14ac:dyDescent="0.25">
      <c r="R4621" s="72"/>
      <c r="S4621" s="72"/>
    </row>
    <row r="4622" spans="18:19" x14ac:dyDescent="0.25">
      <c r="R4622" s="72"/>
      <c r="S4622" s="72"/>
    </row>
    <row r="4623" spans="18:19" x14ac:dyDescent="0.25">
      <c r="R4623" s="72"/>
      <c r="S4623" s="72"/>
    </row>
    <row r="4624" spans="18:19" x14ac:dyDescent="0.25">
      <c r="R4624" s="72"/>
      <c r="S4624" s="72"/>
    </row>
    <row r="4625" spans="18:19" x14ac:dyDescent="0.25">
      <c r="R4625" s="72"/>
      <c r="S4625" s="72"/>
    </row>
    <row r="4626" spans="18:19" x14ac:dyDescent="0.25">
      <c r="R4626" s="72"/>
      <c r="S4626" s="72"/>
    </row>
    <row r="4627" spans="18:19" x14ac:dyDescent="0.25">
      <c r="R4627" s="72"/>
      <c r="S4627" s="72"/>
    </row>
    <row r="4628" spans="18:19" x14ac:dyDescent="0.25">
      <c r="R4628" s="72"/>
      <c r="S4628" s="72"/>
    </row>
    <row r="4629" spans="18:19" x14ac:dyDescent="0.25">
      <c r="R4629" s="72"/>
      <c r="S4629" s="72"/>
    </row>
    <row r="4630" spans="18:19" x14ac:dyDescent="0.25">
      <c r="R4630" s="72"/>
      <c r="S4630" s="72"/>
    </row>
    <row r="4631" spans="18:19" x14ac:dyDescent="0.25">
      <c r="R4631" s="72"/>
      <c r="S4631" s="72"/>
    </row>
    <row r="4632" spans="18:19" x14ac:dyDescent="0.25">
      <c r="R4632" s="72"/>
      <c r="S4632" s="72"/>
    </row>
    <row r="4633" spans="18:19" x14ac:dyDescent="0.25">
      <c r="R4633" s="72"/>
      <c r="S4633" s="72"/>
    </row>
    <row r="4634" spans="18:19" x14ac:dyDescent="0.25">
      <c r="R4634" s="72"/>
      <c r="S4634" s="72"/>
    </row>
    <row r="4635" spans="18:19" x14ac:dyDescent="0.25">
      <c r="R4635" s="72"/>
      <c r="S4635" s="72"/>
    </row>
    <row r="4636" spans="18:19" x14ac:dyDescent="0.25">
      <c r="R4636" s="72"/>
      <c r="S4636" s="72"/>
    </row>
    <row r="4637" spans="18:19" x14ac:dyDescent="0.25">
      <c r="R4637" s="72"/>
      <c r="S4637" s="72"/>
    </row>
    <row r="4638" spans="18:19" x14ac:dyDescent="0.25">
      <c r="R4638" s="72"/>
      <c r="S4638" s="72"/>
    </row>
    <row r="4639" spans="18:19" x14ac:dyDescent="0.25">
      <c r="R4639" s="72"/>
      <c r="S4639" s="72"/>
    </row>
    <row r="4640" spans="18:19" x14ac:dyDescent="0.25">
      <c r="R4640" s="72"/>
      <c r="S4640" s="72"/>
    </row>
    <row r="4641" spans="18:19" x14ac:dyDescent="0.25">
      <c r="R4641" s="72"/>
      <c r="S4641" s="72"/>
    </row>
    <row r="4642" spans="18:19" x14ac:dyDescent="0.25">
      <c r="R4642" s="72"/>
      <c r="S4642" s="72"/>
    </row>
    <row r="4643" spans="18:19" x14ac:dyDescent="0.25">
      <c r="R4643" s="72"/>
      <c r="S4643" s="72"/>
    </row>
    <row r="4644" spans="18:19" x14ac:dyDescent="0.25">
      <c r="R4644" s="72"/>
      <c r="S4644" s="72"/>
    </row>
    <row r="4645" spans="18:19" x14ac:dyDescent="0.25">
      <c r="R4645" s="72"/>
      <c r="S4645" s="72"/>
    </row>
    <row r="4646" spans="18:19" x14ac:dyDescent="0.25">
      <c r="R4646" s="72"/>
      <c r="S4646" s="72"/>
    </row>
    <row r="4647" spans="18:19" x14ac:dyDescent="0.25">
      <c r="R4647" s="72"/>
      <c r="S4647" s="72"/>
    </row>
    <row r="4648" spans="18:19" x14ac:dyDescent="0.25">
      <c r="R4648" s="72"/>
      <c r="S4648" s="72"/>
    </row>
    <row r="4649" spans="18:19" x14ac:dyDescent="0.25">
      <c r="R4649" s="72"/>
      <c r="S4649" s="72"/>
    </row>
    <row r="4650" spans="18:19" x14ac:dyDescent="0.25">
      <c r="R4650" s="72"/>
      <c r="S4650" s="72"/>
    </row>
    <row r="4651" spans="18:19" x14ac:dyDescent="0.25">
      <c r="R4651" s="72"/>
      <c r="S4651" s="72"/>
    </row>
    <row r="4652" spans="18:19" x14ac:dyDescent="0.25">
      <c r="R4652" s="72"/>
      <c r="S4652" s="72"/>
    </row>
    <row r="4653" spans="18:19" x14ac:dyDescent="0.25">
      <c r="R4653" s="72"/>
      <c r="S4653" s="72"/>
    </row>
    <row r="4654" spans="18:19" x14ac:dyDescent="0.25">
      <c r="R4654" s="72"/>
      <c r="S4654" s="72"/>
    </row>
    <row r="4655" spans="18:19" x14ac:dyDescent="0.25">
      <c r="R4655" s="72"/>
      <c r="S4655" s="72"/>
    </row>
    <row r="4656" spans="18:19" x14ac:dyDescent="0.25">
      <c r="R4656" s="72"/>
      <c r="S4656" s="72"/>
    </row>
    <row r="4657" spans="18:19" x14ac:dyDescent="0.25">
      <c r="R4657" s="72"/>
      <c r="S4657" s="72"/>
    </row>
    <row r="4658" spans="18:19" x14ac:dyDescent="0.25">
      <c r="R4658" s="72"/>
      <c r="S4658" s="72"/>
    </row>
    <row r="4659" spans="18:19" x14ac:dyDescent="0.25">
      <c r="R4659" s="72"/>
      <c r="S4659" s="72"/>
    </row>
    <row r="4660" spans="18:19" x14ac:dyDescent="0.25">
      <c r="R4660" s="72"/>
      <c r="S4660" s="72"/>
    </row>
    <row r="4661" spans="18:19" x14ac:dyDescent="0.25">
      <c r="R4661" s="72"/>
      <c r="S4661" s="72"/>
    </row>
    <row r="4662" spans="18:19" x14ac:dyDescent="0.25">
      <c r="R4662" s="72"/>
      <c r="S4662" s="72"/>
    </row>
    <row r="4663" spans="18:19" x14ac:dyDescent="0.25">
      <c r="R4663" s="72"/>
      <c r="S4663" s="72"/>
    </row>
    <row r="4664" spans="18:19" x14ac:dyDescent="0.25">
      <c r="R4664" s="72"/>
      <c r="S4664" s="72"/>
    </row>
    <row r="4665" spans="18:19" x14ac:dyDescent="0.25">
      <c r="R4665" s="72"/>
      <c r="S4665" s="72"/>
    </row>
    <row r="4666" spans="18:19" x14ac:dyDescent="0.25">
      <c r="R4666" s="72"/>
      <c r="S4666" s="72"/>
    </row>
    <row r="4667" spans="18:19" x14ac:dyDescent="0.25">
      <c r="R4667" s="72"/>
      <c r="S4667" s="72"/>
    </row>
    <row r="4668" spans="18:19" x14ac:dyDescent="0.25">
      <c r="R4668" s="72"/>
      <c r="S4668" s="72"/>
    </row>
    <row r="4669" spans="18:19" x14ac:dyDescent="0.25">
      <c r="R4669" s="72"/>
      <c r="S4669" s="72"/>
    </row>
    <row r="4670" spans="18:19" x14ac:dyDescent="0.25">
      <c r="R4670" s="72"/>
      <c r="S4670" s="72"/>
    </row>
    <row r="4671" spans="18:19" x14ac:dyDescent="0.25">
      <c r="R4671" s="72"/>
      <c r="S4671" s="72"/>
    </row>
    <row r="4672" spans="18:19" x14ac:dyDescent="0.25">
      <c r="R4672" s="72"/>
      <c r="S4672" s="72"/>
    </row>
    <row r="4673" spans="18:19" x14ac:dyDescent="0.25">
      <c r="R4673" s="72"/>
      <c r="S4673" s="72"/>
    </row>
    <row r="4674" spans="18:19" x14ac:dyDescent="0.25">
      <c r="R4674" s="72"/>
      <c r="S4674" s="72"/>
    </row>
    <row r="4675" spans="18:19" x14ac:dyDescent="0.25">
      <c r="R4675" s="72"/>
      <c r="S4675" s="72"/>
    </row>
    <row r="4676" spans="18:19" x14ac:dyDescent="0.25">
      <c r="R4676" s="72"/>
      <c r="S4676" s="72"/>
    </row>
    <row r="4677" spans="18:19" x14ac:dyDescent="0.25">
      <c r="R4677" s="72"/>
      <c r="S4677" s="72"/>
    </row>
    <row r="4678" spans="18:19" x14ac:dyDescent="0.25">
      <c r="R4678" s="72"/>
      <c r="S4678" s="72"/>
    </row>
    <row r="4679" spans="18:19" x14ac:dyDescent="0.25">
      <c r="R4679" s="72"/>
      <c r="S4679" s="72"/>
    </row>
    <row r="4680" spans="18:19" x14ac:dyDescent="0.25">
      <c r="R4680" s="72"/>
      <c r="S4680" s="72"/>
    </row>
    <row r="4681" spans="18:19" x14ac:dyDescent="0.25">
      <c r="R4681" s="72"/>
      <c r="S4681" s="72"/>
    </row>
    <row r="4682" spans="18:19" x14ac:dyDescent="0.25">
      <c r="R4682" s="72"/>
      <c r="S4682" s="72"/>
    </row>
    <row r="4683" spans="18:19" x14ac:dyDescent="0.25">
      <c r="R4683" s="72"/>
      <c r="S4683" s="72"/>
    </row>
    <row r="4684" spans="18:19" x14ac:dyDescent="0.25">
      <c r="R4684" s="72"/>
      <c r="S4684" s="72"/>
    </row>
    <row r="4685" spans="18:19" x14ac:dyDescent="0.25">
      <c r="R4685" s="72"/>
      <c r="S4685" s="72"/>
    </row>
    <row r="4686" spans="18:19" x14ac:dyDescent="0.25">
      <c r="R4686" s="72"/>
      <c r="S4686" s="72"/>
    </row>
    <row r="4687" spans="18:19" x14ac:dyDescent="0.25">
      <c r="R4687" s="72"/>
      <c r="S4687" s="72"/>
    </row>
    <row r="4688" spans="18:19" x14ac:dyDescent="0.25">
      <c r="R4688" s="72"/>
      <c r="S4688" s="72"/>
    </row>
    <row r="4689" spans="18:19" x14ac:dyDescent="0.25">
      <c r="R4689" s="72"/>
      <c r="S4689" s="72"/>
    </row>
    <row r="4690" spans="18:19" x14ac:dyDescent="0.25">
      <c r="R4690" s="72"/>
      <c r="S4690" s="72"/>
    </row>
    <row r="4691" spans="18:19" x14ac:dyDescent="0.25">
      <c r="R4691" s="72"/>
      <c r="S4691" s="72"/>
    </row>
    <row r="4692" spans="18:19" x14ac:dyDescent="0.25">
      <c r="R4692" s="72"/>
      <c r="S4692" s="72"/>
    </row>
    <row r="4693" spans="18:19" x14ac:dyDescent="0.25">
      <c r="R4693" s="72"/>
      <c r="S4693" s="72"/>
    </row>
    <row r="4694" spans="18:19" x14ac:dyDescent="0.25">
      <c r="R4694" s="72"/>
      <c r="S4694" s="72"/>
    </row>
    <row r="4695" spans="18:19" x14ac:dyDescent="0.25">
      <c r="R4695" s="72"/>
      <c r="S4695" s="72"/>
    </row>
    <row r="4696" spans="18:19" x14ac:dyDescent="0.25">
      <c r="R4696" s="72"/>
      <c r="S4696" s="72"/>
    </row>
    <row r="4697" spans="18:19" x14ac:dyDescent="0.25">
      <c r="R4697" s="72"/>
      <c r="S4697" s="72"/>
    </row>
    <row r="4698" spans="18:19" x14ac:dyDescent="0.25">
      <c r="R4698" s="72"/>
      <c r="S4698" s="72"/>
    </row>
    <row r="4699" spans="18:19" x14ac:dyDescent="0.25">
      <c r="R4699" s="72"/>
      <c r="S4699" s="72"/>
    </row>
    <row r="4700" spans="18:19" x14ac:dyDescent="0.25">
      <c r="R4700" s="72"/>
      <c r="S4700" s="72"/>
    </row>
    <row r="4701" spans="18:19" x14ac:dyDescent="0.25">
      <c r="R4701" s="72"/>
      <c r="S4701" s="72"/>
    </row>
    <row r="4702" spans="18:19" x14ac:dyDescent="0.25">
      <c r="R4702" s="72"/>
      <c r="S4702" s="72"/>
    </row>
    <row r="4703" spans="18:19" x14ac:dyDescent="0.25">
      <c r="R4703" s="72"/>
      <c r="S4703" s="72"/>
    </row>
    <row r="4704" spans="18:19" x14ac:dyDescent="0.25">
      <c r="R4704" s="72"/>
      <c r="S4704" s="72"/>
    </row>
    <row r="4705" spans="18:19" x14ac:dyDescent="0.25">
      <c r="R4705" s="72"/>
      <c r="S4705" s="72"/>
    </row>
    <row r="4706" spans="18:19" x14ac:dyDescent="0.25">
      <c r="R4706" s="72"/>
      <c r="S4706" s="72"/>
    </row>
    <row r="4707" spans="18:19" x14ac:dyDescent="0.25">
      <c r="R4707" s="72"/>
      <c r="S4707" s="72"/>
    </row>
    <row r="4708" spans="18:19" x14ac:dyDescent="0.25">
      <c r="R4708" s="72"/>
      <c r="S4708" s="72"/>
    </row>
    <row r="4709" spans="18:19" x14ac:dyDescent="0.25">
      <c r="R4709" s="72"/>
      <c r="S4709" s="72"/>
    </row>
    <row r="4710" spans="18:19" x14ac:dyDescent="0.25">
      <c r="R4710" s="72"/>
      <c r="S4710" s="72"/>
    </row>
    <row r="4711" spans="18:19" x14ac:dyDescent="0.25">
      <c r="R4711" s="72"/>
      <c r="S4711" s="72"/>
    </row>
    <row r="4712" spans="18:19" x14ac:dyDescent="0.25">
      <c r="R4712" s="72"/>
      <c r="S4712" s="72"/>
    </row>
    <row r="4713" spans="18:19" x14ac:dyDescent="0.25">
      <c r="R4713" s="72"/>
      <c r="S4713" s="72"/>
    </row>
    <row r="4714" spans="18:19" x14ac:dyDescent="0.25">
      <c r="R4714" s="72"/>
      <c r="S4714" s="72"/>
    </row>
    <row r="4715" spans="18:19" x14ac:dyDescent="0.25">
      <c r="R4715" s="72"/>
      <c r="S4715" s="72"/>
    </row>
    <row r="4716" spans="18:19" x14ac:dyDescent="0.25">
      <c r="R4716" s="72"/>
      <c r="S4716" s="72"/>
    </row>
    <row r="4717" spans="18:19" x14ac:dyDescent="0.25">
      <c r="R4717" s="72"/>
      <c r="S4717" s="72"/>
    </row>
    <row r="4718" spans="18:19" x14ac:dyDescent="0.25">
      <c r="R4718" s="72"/>
      <c r="S4718" s="72"/>
    </row>
    <row r="4719" spans="18:19" x14ac:dyDescent="0.25">
      <c r="R4719" s="72"/>
      <c r="S4719" s="72"/>
    </row>
    <row r="4720" spans="18:19" x14ac:dyDescent="0.25">
      <c r="R4720" s="72"/>
      <c r="S4720" s="72"/>
    </row>
    <row r="4721" spans="18:19" x14ac:dyDescent="0.25">
      <c r="R4721" s="72"/>
      <c r="S4721" s="72"/>
    </row>
    <row r="4722" spans="18:19" x14ac:dyDescent="0.25">
      <c r="R4722" s="72"/>
      <c r="S4722" s="72"/>
    </row>
    <row r="4723" spans="18:19" x14ac:dyDescent="0.25">
      <c r="R4723" s="72"/>
      <c r="S4723" s="72"/>
    </row>
    <row r="4724" spans="18:19" x14ac:dyDescent="0.25">
      <c r="R4724" s="72"/>
      <c r="S4724" s="72"/>
    </row>
    <row r="4725" spans="18:19" x14ac:dyDescent="0.25">
      <c r="R4725" s="72"/>
      <c r="S4725" s="72"/>
    </row>
    <row r="4726" spans="18:19" x14ac:dyDescent="0.25">
      <c r="R4726" s="72"/>
      <c r="S4726" s="72"/>
    </row>
    <row r="4727" spans="18:19" x14ac:dyDescent="0.25">
      <c r="R4727" s="72"/>
      <c r="S4727" s="72"/>
    </row>
    <row r="4728" spans="18:19" x14ac:dyDescent="0.25">
      <c r="R4728" s="72"/>
      <c r="S4728" s="72"/>
    </row>
    <row r="4729" spans="18:19" x14ac:dyDescent="0.25">
      <c r="R4729" s="72"/>
      <c r="S4729" s="72"/>
    </row>
    <row r="4730" spans="18:19" x14ac:dyDescent="0.25">
      <c r="R4730" s="72"/>
      <c r="S4730" s="72"/>
    </row>
    <row r="4731" spans="18:19" x14ac:dyDescent="0.25">
      <c r="R4731" s="72"/>
      <c r="S4731" s="72"/>
    </row>
    <row r="4732" spans="18:19" x14ac:dyDescent="0.25">
      <c r="R4732" s="72"/>
      <c r="S4732" s="72"/>
    </row>
    <row r="4733" spans="18:19" x14ac:dyDescent="0.25">
      <c r="R4733" s="72"/>
      <c r="S4733" s="72"/>
    </row>
    <row r="4734" spans="18:19" x14ac:dyDescent="0.25">
      <c r="R4734" s="72"/>
      <c r="S4734" s="72"/>
    </row>
    <row r="4735" spans="18:19" x14ac:dyDescent="0.25">
      <c r="R4735" s="72"/>
      <c r="S4735" s="72"/>
    </row>
    <row r="4736" spans="18:19" x14ac:dyDescent="0.25">
      <c r="R4736" s="72"/>
      <c r="S4736" s="72"/>
    </row>
    <row r="4737" spans="18:19" x14ac:dyDescent="0.25">
      <c r="R4737" s="72"/>
      <c r="S4737" s="72"/>
    </row>
    <row r="4738" spans="18:19" x14ac:dyDescent="0.25">
      <c r="R4738" s="72"/>
      <c r="S4738" s="72"/>
    </row>
    <row r="4739" spans="18:19" x14ac:dyDescent="0.25">
      <c r="R4739" s="72"/>
      <c r="S4739" s="72"/>
    </row>
    <row r="4740" spans="18:19" x14ac:dyDescent="0.25">
      <c r="R4740" s="72"/>
      <c r="S4740" s="72"/>
    </row>
    <row r="4741" spans="18:19" x14ac:dyDescent="0.25">
      <c r="R4741" s="72"/>
      <c r="S4741" s="72"/>
    </row>
    <row r="4742" spans="18:19" x14ac:dyDescent="0.25">
      <c r="R4742" s="72"/>
      <c r="S4742" s="72"/>
    </row>
    <row r="4743" spans="18:19" x14ac:dyDescent="0.25">
      <c r="R4743" s="72"/>
      <c r="S4743" s="72"/>
    </row>
    <row r="4744" spans="18:19" x14ac:dyDescent="0.25">
      <c r="R4744" s="72"/>
      <c r="S4744" s="72"/>
    </row>
    <row r="4745" spans="18:19" x14ac:dyDescent="0.25">
      <c r="R4745" s="72"/>
      <c r="S4745" s="72"/>
    </row>
    <row r="4746" spans="18:19" x14ac:dyDescent="0.25">
      <c r="R4746" s="72"/>
      <c r="S4746" s="72"/>
    </row>
    <row r="4747" spans="18:19" x14ac:dyDescent="0.25">
      <c r="R4747" s="72"/>
      <c r="S4747" s="72"/>
    </row>
    <row r="4748" spans="18:19" x14ac:dyDescent="0.25">
      <c r="R4748" s="72"/>
      <c r="S4748" s="72"/>
    </row>
    <row r="4749" spans="18:19" x14ac:dyDescent="0.25">
      <c r="R4749" s="72"/>
      <c r="S4749" s="72"/>
    </row>
    <row r="4750" spans="18:19" x14ac:dyDescent="0.25">
      <c r="R4750" s="72"/>
      <c r="S4750" s="72"/>
    </row>
    <row r="4751" spans="18:19" x14ac:dyDescent="0.25">
      <c r="R4751" s="72"/>
      <c r="S4751" s="72"/>
    </row>
    <row r="4752" spans="18:19" x14ac:dyDescent="0.25">
      <c r="R4752" s="72"/>
      <c r="S4752" s="72"/>
    </row>
    <row r="4753" spans="18:19" x14ac:dyDescent="0.25">
      <c r="R4753" s="72"/>
      <c r="S4753" s="72"/>
    </row>
    <row r="4754" spans="18:19" x14ac:dyDescent="0.25">
      <c r="R4754" s="72"/>
      <c r="S4754" s="72"/>
    </row>
    <row r="4755" spans="18:19" x14ac:dyDescent="0.25">
      <c r="R4755" s="72"/>
      <c r="S4755" s="72"/>
    </row>
    <row r="4756" spans="18:19" x14ac:dyDescent="0.25">
      <c r="R4756" s="72"/>
      <c r="S4756" s="72"/>
    </row>
    <row r="4757" spans="18:19" x14ac:dyDescent="0.25">
      <c r="R4757" s="72"/>
      <c r="S4757" s="72"/>
    </row>
    <row r="4758" spans="18:19" x14ac:dyDescent="0.25">
      <c r="R4758" s="72"/>
      <c r="S4758" s="72"/>
    </row>
    <row r="4759" spans="18:19" x14ac:dyDescent="0.25">
      <c r="R4759" s="72"/>
      <c r="S4759" s="72"/>
    </row>
    <row r="4760" spans="18:19" x14ac:dyDescent="0.25">
      <c r="R4760" s="72"/>
      <c r="S4760" s="72"/>
    </row>
    <row r="4761" spans="18:19" x14ac:dyDescent="0.25">
      <c r="R4761" s="72"/>
      <c r="S4761" s="72"/>
    </row>
    <row r="4762" spans="18:19" x14ac:dyDescent="0.25">
      <c r="R4762" s="72"/>
      <c r="S4762" s="72"/>
    </row>
    <row r="4763" spans="18:19" x14ac:dyDescent="0.25">
      <c r="R4763" s="72"/>
      <c r="S4763" s="72"/>
    </row>
    <row r="4764" spans="18:19" x14ac:dyDescent="0.25">
      <c r="R4764" s="72"/>
      <c r="S4764" s="72"/>
    </row>
    <row r="4765" spans="18:19" x14ac:dyDescent="0.25">
      <c r="R4765" s="72"/>
      <c r="S4765" s="72"/>
    </row>
    <row r="4766" spans="18:19" x14ac:dyDescent="0.25">
      <c r="R4766" s="72"/>
      <c r="S4766" s="72"/>
    </row>
    <row r="4767" spans="18:19" x14ac:dyDescent="0.25">
      <c r="R4767" s="72"/>
      <c r="S4767" s="72"/>
    </row>
    <row r="4768" spans="18:19" x14ac:dyDescent="0.25">
      <c r="R4768" s="72"/>
      <c r="S4768" s="72"/>
    </row>
    <row r="4769" spans="18:19" x14ac:dyDescent="0.25">
      <c r="R4769" s="72"/>
      <c r="S4769" s="72"/>
    </row>
    <row r="4770" spans="18:19" x14ac:dyDescent="0.25">
      <c r="R4770" s="72"/>
      <c r="S4770" s="72"/>
    </row>
    <row r="4771" spans="18:19" x14ac:dyDescent="0.25">
      <c r="R4771" s="72"/>
      <c r="S4771" s="72"/>
    </row>
    <row r="4772" spans="18:19" x14ac:dyDescent="0.25">
      <c r="R4772" s="72"/>
      <c r="S4772" s="72"/>
    </row>
    <row r="4773" spans="18:19" x14ac:dyDescent="0.25">
      <c r="R4773" s="72"/>
      <c r="S4773" s="72"/>
    </row>
    <row r="4774" spans="18:19" x14ac:dyDescent="0.25">
      <c r="R4774" s="72"/>
      <c r="S4774" s="72"/>
    </row>
    <row r="4775" spans="18:19" x14ac:dyDescent="0.25">
      <c r="R4775" s="72"/>
      <c r="S4775" s="72"/>
    </row>
    <row r="4776" spans="18:19" x14ac:dyDescent="0.25">
      <c r="R4776" s="72"/>
      <c r="S4776" s="72"/>
    </row>
    <row r="4777" spans="18:19" x14ac:dyDescent="0.25">
      <c r="R4777" s="72"/>
      <c r="S4777" s="72"/>
    </row>
    <row r="4778" spans="18:19" x14ac:dyDescent="0.25">
      <c r="R4778" s="72"/>
      <c r="S4778" s="72"/>
    </row>
    <row r="4779" spans="18:19" x14ac:dyDescent="0.25">
      <c r="R4779" s="72"/>
      <c r="S4779" s="72"/>
    </row>
    <row r="4780" spans="18:19" x14ac:dyDescent="0.25">
      <c r="R4780" s="72"/>
      <c r="S4780" s="72"/>
    </row>
    <row r="4781" spans="18:19" x14ac:dyDescent="0.25">
      <c r="R4781" s="72"/>
      <c r="S4781" s="72"/>
    </row>
    <row r="4782" spans="18:19" x14ac:dyDescent="0.25">
      <c r="R4782" s="72"/>
      <c r="S4782" s="72"/>
    </row>
    <row r="4783" spans="18:19" x14ac:dyDescent="0.25">
      <c r="R4783" s="72"/>
      <c r="S4783" s="72"/>
    </row>
    <row r="4784" spans="18:19" x14ac:dyDescent="0.25">
      <c r="R4784" s="72"/>
      <c r="S4784" s="72"/>
    </row>
    <row r="4785" spans="18:19" x14ac:dyDescent="0.25">
      <c r="R4785" s="72"/>
      <c r="S4785" s="72"/>
    </row>
    <row r="4786" spans="18:19" x14ac:dyDescent="0.25">
      <c r="R4786" s="72"/>
      <c r="S4786" s="72"/>
    </row>
    <row r="4787" spans="18:19" x14ac:dyDescent="0.25">
      <c r="R4787" s="72"/>
      <c r="S4787" s="72"/>
    </row>
    <row r="4788" spans="18:19" x14ac:dyDescent="0.25">
      <c r="R4788" s="72"/>
      <c r="S4788" s="72"/>
    </row>
    <row r="4789" spans="18:19" x14ac:dyDescent="0.25">
      <c r="R4789" s="72"/>
      <c r="S4789" s="72"/>
    </row>
    <row r="4790" spans="18:19" x14ac:dyDescent="0.25">
      <c r="R4790" s="72"/>
      <c r="S4790" s="72"/>
    </row>
    <row r="4791" spans="18:19" x14ac:dyDescent="0.25">
      <c r="R4791" s="72"/>
      <c r="S4791" s="72"/>
    </row>
    <row r="4792" spans="18:19" x14ac:dyDescent="0.25">
      <c r="R4792" s="72"/>
      <c r="S4792" s="72"/>
    </row>
    <row r="4793" spans="18:19" x14ac:dyDescent="0.25">
      <c r="R4793" s="72"/>
      <c r="S4793" s="72"/>
    </row>
    <row r="4794" spans="18:19" x14ac:dyDescent="0.25">
      <c r="R4794" s="72"/>
      <c r="S4794" s="72"/>
    </row>
    <row r="4795" spans="18:19" x14ac:dyDescent="0.25">
      <c r="R4795" s="72"/>
      <c r="S4795" s="72"/>
    </row>
    <row r="4796" spans="18:19" x14ac:dyDescent="0.25">
      <c r="R4796" s="72"/>
      <c r="S4796" s="72"/>
    </row>
    <row r="4797" spans="18:19" x14ac:dyDescent="0.25">
      <c r="R4797" s="72"/>
      <c r="S4797" s="72"/>
    </row>
    <row r="4798" spans="18:19" x14ac:dyDescent="0.25">
      <c r="R4798" s="72"/>
      <c r="S4798" s="72"/>
    </row>
    <row r="4799" spans="18:19" x14ac:dyDescent="0.25">
      <c r="R4799" s="72"/>
      <c r="S4799" s="72"/>
    </row>
    <row r="4800" spans="18:19" x14ac:dyDescent="0.25">
      <c r="R4800" s="72"/>
      <c r="S4800" s="72"/>
    </row>
    <row r="4801" spans="18:19" x14ac:dyDescent="0.25">
      <c r="R4801" s="72"/>
      <c r="S4801" s="72"/>
    </row>
    <row r="4802" spans="18:19" x14ac:dyDescent="0.25">
      <c r="R4802" s="72"/>
      <c r="S4802" s="72"/>
    </row>
    <row r="4803" spans="18:19" x14ac:dyDescent="0.25">
      <c r="R4803" s="72"/>
      <c r="S4803" s="72"/>
    </row>
    <row r="4804" spans="18:19" x14ac:dyDescent="0.25">
      <c r="R4804" s="72"/>
      <c r="S4804" s="72"/>
    </row>
    <row r="4805" spans="18:19" x14ac:dyDescent="0.25">
      <c r="R4805" s="72"/>
      <c r="S4805" s="72"/>
    </row>
    <row r="4806" spans="18:19" x14ac:dyDescent="0.25">
      <c r="R4806" s="72"/>
      <c r="S4806" s="72"/>
    </row>
    <row r="4807" spans="18:19" x14ac:dyDescent="0.25">
      <c r="R4807" s="72"/>
      <c r="S4807" s="72"/>
    </row>
    <row r="4808" spans="18:19" x14ac:dyDescent="0.25">
      <c r="R4808" s="72"/>
      <c r="S4808" s="72"/>
    </row>
    <row r="4809" spans="18:19" x14ac:dyDescent="0.25">
      <c r="R4809" s="72"/>
      <c r="S4809" s="72"/>
    </row>
    <row r="4810" spans="18:19" x14ac:dyDescent="0.25">
      <c r="R4810" s="72"/>
      <c r="S4810" s="72"/>
    </row>
    <row r="4811" spans="18:19" x14ac:dyDescent="0.25">
      <c r="R4811" s="72"/>
      <c r="S4811" s="72"/>
    </row>
    <row r="4812" spans="18:19" x14ac:dyDescent="0.25">
      <c r="R4812" s="72"/>
      <c r="S4812" s="72"/>
    </row>
    <row r="4813" spans="18:19" x14ac:dyDescent="0.25">
      <c r="R4813" s="72"/>
      <c r="S4813" s="72"/>
    </row>
    <row r="4814" spans="18:19" x14ac:dyDescent="0.25">
      <c r="R4814" s="72"/>
      <c r="S4814" s="72"/>
    </row>
    <row r="4815" spans="18:19" x14ac:dyDescent="0.25">
      <c r="R4815" s="72"/>
      <c r="S4815" s="72"/>
    </row>
    <row r="4816" spans="18:19" x14ac:dyDescent="0.25">
      <c r="R4816" s="72"/>
      <c r="S4816" s="72"/>
    </row>
    <row r="4817" spans="18:19" x14ac:dyDescent="0.25">
      <c r="R4817" s="72"/>
      <c r="S4817" s="72"/>
    </row>
    <row r="4818" spans="18:19" x14ac:dyDescent="0.25">
      <c r="R4818" s="72"/>
      <c r="S4818" s="72"/>
    </row>
    <row r="4819" spans="18:19" x14ac:dyDescent="0.25">
      <c r="R4819" s="72"/>
      <c r="S4819" s="72"/>
    </row>
    <row r="4820" spans="18:19" x14ac:dyDescent="0.25">
      <c r="R4820" s="72"/>
      <c r="S4820" s="72"/>
    </row>
    <row r="4821" spans="18:19" x14ac:dyDescent="0.25">
      <c r="R4821" s="72"/>
      <c r="S4821" s="72"/>
    </row>
    <row r="4822" spans="18:19" x14ac:dyDescent="0.25">
      <c r="R4822" s="72"/>
      <c r="S4822" s="72"/>
    </row>
    <row r="4823" spans="18:19" x14ac:dyDescent="0.25">
      <c r="R4823" s="72"/>
      <c r="S4823" s="72"/>
    </row>
    <row r="4824" spans="18:19" x14ac:dyDescent="0.25">
      <c r="R4824" s="72"/>
      <c r="S4824" s="72"/>
    </row>
    <row r="4825" spans="18:19" x14ac:dyDescent="0.25">
      <c r="R4825" s="72"/>
      <c r="S4825" s="72"/>
    </row>
    <row r="4826" spans="18:19" x14ac:dyDescent="0.25">
      <c r="R4826" s="72"/>
      <c r="S4826" s="72"/>
    </row>
    <row r="4827" spans="18:19" x14ac:dyDescent="0.25">
      <c r="R4827" s="72"/>
      <c r="S4827" s="72"/>
    </row>
    <row r="4828" spans="18:19" x14ac:dyDescent="0.25">
      <c r="R4828" s="72"/>
      <c r="S4828" s="72"/>
    </row>
    <row r="4829" spans="18:19" x14ac:dyDescent="0.25">
      <c r="R4829" s="72"/>
      <c r="S4829" s="72"/>
    </row>
    <row r="4830" spans="18:19" x14ac:dyDescent="0.25">
      <c r="R4830" s="72"/>
      <c r="S4830" s="72"/>
    </row>
    <row r="4831" spans="18:19" x14ac:dyDescent="0.25">
      <c r="R4831" s="72"/>
      <c r="S4831" s="72"/>
    </row>
    <row r="4832" spans="18:19" x14ac:dyDescent="0.25">
      <c r="R4832" s="72"/>
      <c r="S4832" s="72"/>
    </row>
    <row r="4833" spans="18:19" x14ac:dyDescent="0.25">
      <c r="R4833" s="72"/>
      <c r="S4833" s="72"/>
    </row>
    <row r="4834" spans="18:19" x14ac:dyDescent="0.25">
      <c r="R4834" s="72"/>
      <c r="S4834" s="72"/>
    </row>
    <row r="4835" spans="18:19" x14ac:dyDescent="0.25">
      <c r="R4835" s="72"/>
      <c r="S4835" s="72"/>
    </row>
    <row r="4836" spans="18:19" x14ac:dyDescent="0.25">
      <c r="R4836" s="72"/>
      <c r="S4836" s="72"/>
    </row>
    <row r="4837" spans="18:19" x14ac:dyDescent="0.25">
      <c r="R4837" s="72"/>
      <c r="S4837" s="72"/>
    </row>
    <row r="4838" spans="18:19" x14ac:dyDescent="0.25">
      <c r="R4838" s="72"/>
      <c r="S4838" s="72"/>
    </row>
    <row r="4839" spans="18:19" x14ac:dyDescent="0.25">
      <c r="R4839" s="72"/>
      <c r="S4839" s="72"/>
    </row>
    <row r="4840" spans="18:19" x14ac:dyDescent="0.25">
      <c r="R4840" s="72"/>
      <c r="S4840" s="72"/>
    </row>
    <row r="4841" spans="18:19" x14ac:dyDescent="0.25">
      <c r="R4841" s="72"/>
      <c r="S4841" s="72"/>
    </row>
    <row r="4842" spans="18:19" x14ac:dyDescent="0.25">
      <c r="R4842" s="72"/>
      <c r="S4842" s="72"/>
    </row>
    <row r="4843" spans="18:19" x14ac:dyDescent="0.25">
      <c r="R4843" s="72"/>
      <c r="S4843" s="72"/>
    </row>
    <row r="4844" spans="18:19" x14ac:dyDescent="0.25">
      <c r="R4844" s="72"/>
      <c r="S4844" s="72"/>
    </row>
    <row r="4845" spans="18:19" x14ac:dyDescent="0.25">
      <c r="R4845" s="72"/>
      <c r="S4845" s="72"/>
    </row>
    <row r="4846" spans="18:19" x14ac:dyDescent="0.25">
      <c r="R4846" s="72"/>
      <c r="S4846" s="72"/>
    </row>
    <row r="4847" spans="18:19" x14ac:dyDescent="0.25">
      <c r="R4847" s="72"/>
      <c r="S4847" s="72"/>
    </row>
    <row r="4848" spans="18:19" x14ac:dyDescent="0.25">
      <c r="R4848" s="72"/>
      <c r="S4848" s="72"/>
    </row>
    <row r="4849" spans="18:19" x14ac:dyDescent="0.25">
      <c r="R4849" s="72"/>
      <c r="S4849" s="72"/>
    </row>
    <row r="4850" spans="18:19" x14ac:dyDescent="0.25">
      <c r="R4850" s="72"/>
      <c r="S4850" s="72"/>
    </row>
    <row r="4851" spans="18:19" x14ac:dyDescent="0.25">
      <c r="R4851" s="72"/>
      <c r="S4851" s="72"/>
    </row>
    <row r="4852" spans="18:19" x14ac:dyDescent="0.25">
      <c r="R4852" s="72"/>
      <c r="S4852" s="72"/>
    </row>
    <row r="4853" spans="18:19" x14ac:dyDescent="0.25">
      <c r="R4853" s="72"/>
      <c r="S4853" s="72"/>
    </row>
    <row r="4854" spans="18:19" x14ac:dyDescent="0.25">
      <c r="R4854" s="72"/>
      <c r="S4854" s="72"/>
    </row>
    <row r="4855" spans="18:19" x14ac:dyDescent="0.25">
      <c r="R4855" s="72"/>
      <c r="S4855" s="72"/>
    </row>
    <row r="4856" spans="18:19" x14ac:dyDescent="0.25">
      <c r="R4856" s="72"/>
      <c r="S4856" s="72"/>
    </row>
    <row r="4857" spans="18:19" x14ac:dyDescent="0.25">
      <c r="R4857" s="72"/>
      <c r="S4857" s="72"/>
    </row>
    <row r="4858" spans="18:19" x14ac:dyDescent="0.25">
      <c r="R4858" s="72"/>
      <c r="S4858" s="72"/>
    </row>
    <row r="4859" spans="18:19" x14ac:dyDescent="0.25">
      <c r="R4859" s="72"/>
      <c r="S4859" s="72"/>
    </row>
    <row r="4860" spans="18:19" x14ac:dyDescent="0.25">
      <c r="R4860" s="72"/>
      <c r="S4860" s="72"/>
    </row>
    <row r="4861" spans="18:19" x14ac:dyDescent="0.25">
      <c r="R4861" s="72"/>
      <c r="S4861" s="72"/>
    </row>
    <row r="4862" spans="18:19" x14ac:dyDescent="0.25">
      <c r="R4862" s="72"/>
      <c r="S4862" s="72"/>
    </row>
    <row r="4863" spans="18:19" x14ac:dyDescent="0.25">
      <c r="R4863" s="72"/>
      <c r="S4863" s="72"/>
    </row>
    <row r="4864" spans="18:19" x14ac:dyDescent="0.25">
      <c r="R4864" s="72"/>
      <c r="S4864" s="72"/>
    </row>
    <row r="4865" spans="18:19" x14ac:dyDescent="0.25">
      <c r="R4865" s="72"/>
      <c r="S4865" s="72"/>
    </row>
    <row r="4866" spans="18:19" x14ac:dyDescent="0.25">
      <c r="R4866" s="72"/>
      <c r="S4866" s="72"/>
    </row>
    <row r="4867" spans="18:19" x14ac:dyDescent="0.25">
      <c r="R4867" s="72"/>
      <c r="S4867" s="72"/>
    </row>
    <row r="4868" spans="18:19" x14ac:dyDescent="0.25">
      <c r="R4868" s="72"/>
      <c r="S4868" s="72"/>
    </row>
    <row r="4869" spans="18:19" x14ac:dyDescent="0.25">
      <c r="R4869" s="72"/>
      <c r="S4869" s="72"/>
    </row>
    <row r="4870" spans="18:19" x14ac:dyDescent="0.25">
      <c r="R4870" s="72"/>
      <c r="S4870" s="72"/>
    </row>
    <row r="4871" spans="18:19" x14ac:dyDescent="0.25">
      <c r="R4871" s="72"/>
      <c r="S4871" s="72"/>
    </row>
    <row r="4872" spans="18:19" x14ac:dyDescent="0.25">
      <c r="R4872" s="72"/>
      <c r="S4872" s="72"/>
    </row>
    <row r="4873" spans="18:19" x14ac:dyDescent="0.25">
      <c r="R4873" s="72"/>
      <c r="S4873" s="72"/>
    </row>
    <row r="4874" spans="18:19" x14ac:dyDescent="0.25">
      <c r="R4874" s="72"/>
      <c r="S4874" s="72"/>
    </row>
    <row r="4875" spans="18:19" x14ac:dyDescent="0.25">
      <c r="R4875" s="72"/>
      <c r="S4875" s="72"/>
    </row>
    <row r="4876" spans="18:19" x14ac:dyDescent="0.25">
      <c r="R4876" s="72"/>
      <c r="S4876" s="72"/>
    </row>
    <row r="4877" spans="18:19" x14ac:dyDescent="0.25">
      <c r="R4877" s="72"/>
      <c r="S4877" s="72"/>
    </row>
    <row r="4878" spans="18:19" x14ac:dyDescent="0.25">
      <c r="R4878" s="72"/>
      <c r="S4878" s="72"/>
    </row>
    <row r="4879" spans="18:19" x14ac:dyDescent="0.25">
      <c r="R4879" s="72"/>
      <c r="S4879" s="72"/>
    </row>
    <row r="4880" spans="18:19" x14ac:dyDescent="0.25">
      <c r="R4880" s="72"/>
      <c r="S4880" s="72"/>
    </row>
    <row r="4881" spans="18:19" x14ac:dyDescent="0.25">
      <c r="R4881" s="72"/>
      <c r="S4881" s="72"/>
    </row>
    <row r="4882" spans="18:19" x14ac:dyDescent="0.25">
      <c r="R4882" s="72"/>
      <c r="S4882" s="72"/>
    </row>
    <row r="4883" spans="18:19" x14ac:dyDescent="0.25">
      <c r="R4883" s="72"/>
      <c r="S4883" s="72"/>
    </row>
    <row r="4884" spans="18:19" x14ac:dyDescent="0.25">
      <c r="R4884" s="72"/>
      <c r="S4884" s="72"/>
    </row>
    <row r="4885" spans="18:19" x14ac:dyDescent="0.25">
      <c r="R4885" s="72"/>
      <c r="S4885" s="72"/>
    </row>
    <row r="4886" spans="18:19" x14ac:dyDescent="0.25">
      <c r="R4886" s="72"/>
      <c r="S4886" s="72"/>
    </row>
    <row r="4887" spans="18:19" x14ac:dyDescent="0.25">
      <c r="R4887" s="72"/>
      <c r="S4887" s="72"/>
    </row>
    <row r="4888" spans="18:19" x14ac:dyDescent="0.25">
      <c r="R4888" s="72"/>
      <c r="S4888" s="72"/>
    </row>
    <row r="4889" spans="18:19" x14ac:dyDescent="0.25">
      <c r="R4889" s="72"/>
      <c r="S4889" s="72"/>
    </row>
    <row r="4890" spans="18:19" x14ac:dyDescent="0.25">
      <c r="R4890" s="72"/>
      <c r="S4890" s="72"/>
    </row>
    <row r="4891" spans="18:19" x14ac:dyDescent="0.25">
      <c r="R4891" s="72"/>
      <c r="S4891" s="72"/>
    </row>
    <row r="4892" spans="18:19" x14ac:dyDescent="0.25">
      <c r="R4892" s="72"/>
      <c r="S4892" s="72"/>
    </row>
    <row r="4893" spans="18:19" x14ac:dyDescent="0.25">
      <c r="R4893" s="72"/>
      <c r="S4893" s="72"/>
    </row>
    <row r="4894" spans="18:19" x14ac:dyDescent="0.25">
      <c r="R4894" s="72"/>
      <c r="S4894" s="72"/>
    </row>
    <row r="4895" spans="18:19" x14ac:dyDescent="0.25">
      <c r="R4895" s="72"/>
      <c r="S4895" s="72"/>
    </row>
    <row r="4896" spans="18:19" x14ac:dyDescent="0.25">
      <c r="R4896" s="72"/>
      <c r="S4896" s="72"/>
    </row>
    <row r="4897" spans="18:19" x14ac:dyDescent="0.25">
      <c r="R4897" s="72"/>
      <c r="S4897" s="72"/>
    </row>
    <row r="4898" spans="18:19" x14ac:dyDescent="0.25">
      <c r="R4898" s="72"/>
      <c r="S4898" s="72"/>
    </row>
    <row r="4899" spans="18:19" x14ac:dyDescent="0.25">
      <c r="R4899" s="72"/>
      <c r="S4899" s="72"/>
    </row>
    <row r="4900" spans="18:19" x14ac:dyDescent="0.25">
      <c r="R4900" s="72"/>
      <c r="S4900" s="72"/>
    </row>
    <row r="4901" spans="18:19" x14ac:dyDescent="0.25">
      <c r="R4901" s="72"/>
      <c r="S4901" s="72"/>
    </row>
    <row r="4902" spans="18:19" x14ac:dyDescent="0.25">
      <c r="R4902" s="72"/>
      <c r="S4902" s="72"/>
    </row>
    <row r="4903" spans="18:19" x14ac:dyDescent="0.25">
      <c r="R4903" s="72"/>
      <c r="S4903" s="72"/>
    </row>
    <row r="4904" spans="18:19" x14ac:dyDescent="0.25">
      <c r="R4904" s="72"/>
      <c r="S4904" s="72"/>
    </row>
    <row r="4905" spans="18:19" x14ac:dyDescent="0.25">
      <c r="R4905" s="72"/>
      <c r="S4905" s="72"/>
    </row>
    <row r="4906" spans="18:19" x14ac:dyDescent="0.25">
      <c r="R4906" s="72"/>
      <c r="S4906" s="72"/>
    </row>
    <row r="4907" spans="18:19" x14ac:dyDescent="0.25">
      <c r="R4907" s="72"/>
      <c r="S4907" s="72"/>
    </row>
    <row r="4908" spans="18:19" x14ac:dyDescent="0.25">
      <c r="R4908" s="72"/>
      <c r="S4908" s="72"/>
    </row>
    <row r="4909" spans="18:19" x14ac:dyDescent="0.25">
      <c r="R4909" s="72"/>
      <c r="S4909" s="72"/>
    </row>
    <row r="4910" spans="18:19" x14ac:dyDescent="0.25">
      <c r="R4910" s="72"/>
      <c r="S4910" s="72"/>
    </row>
    <row r="4911" spans="18:19" x14ac:dyDescent="0.25">
      <c r="R4911" s="72"/>
      <c r="S4911" s="72"/>
    </row>
    <row r="4912" spans="18:19" x14ac:dyDescent="0.25">
      <c r="R4912" s="72"/>
      <c r="S4912" s="72"/>
    </row>
    <row r="4913" spans="18:19" x14ac:dyDescent="0.25">
      <c r="R4913" s="72"/>
      <c r="S4913" s="72"/>
    </row>
    <row r="4914" spans="18:19" x14ac:dyDescent="0.25">
      <c r="R4914" s="72"/>
      <c r="S4914" s="72"/>
    </row>
    <row r="4915" spans="18:19" x14ac:dyDescent="0.25">
      <c r="R4915" s="72"/>
      <c r="S4915" s="72"/>
    </row>
    <row r="4916" spans="18:19" x14ac:dyDescent="0.25">
      <c r="R4916" s="72"/>
      <c r="S4916" s="72"/>
    </row>
    <row r="4917" spans="18:19" x14ac:dyDescent="0.25">
      <c r="R4917" s="72"/>
      <c r="S4917" s="72"/>
    </row>
    <row r="4918" spans="18:19" x14ac:dyDescent="0.25">
      <c r="R4918" s="72"/>
      <c r="S4918" s="72"/>
    </row>
    <row r="4919" spans="18:19" x14ac:dyDescent="0.25">
      <c r="R4919" s="72"/>
      <c r="S4919" s="72"/>
    </row>
    <row r="4920" spans="18:19" x14ac:dyDescent="0.25">
      <c r="R4920" s="72"/>
      <c r="S4920" s="72"/>
    </row>
    <row r="4921" spans="18:19" x14ac:dyDescent="0.25">
      <c r="R4921" s="72"/>
      <c r="S4921" s="72"/>
    </row>
    <row r="4922" spans="18:19" x14ac:dyDescent="0.25">
      <c r="R4922" s="72"/>
      <c r="S4922" s="72"/>
    </row>
    <row r="4923" spans="18:19" x14ac:dyDescent="0.25">
      <c r="R4923" s="72"/>
      <c r="S4923" s="72"/>
    </row>
    <row r="4924" spans="18:19" x14ac:dyDescent="0.25">
      <c r="R4924" s="72"/>
      <c r="S4924" s="72"/>
    </row>
    <row r="4925" spans="18:19" x14ac:dyDescent="0.25">
      <c r="R4925" s="72"/>
      <c r="S4925" s="72"/>
    </row>
    <row r="4926" spans="18:19" x14ac:dyDescent="0.25">
      <c r="R4926" s="72"/>
      <c r="S4926" s="72"/>
    </row>
    <row r="4927" spans="18:19" x14ac:dyDescent="0.25">
      <c r="R4927" s="72"/>
      <c r="S4927" s="72"/>
    </row>
    <row r="4928" spans="18:19" x14ac:dyDescent="0.25">
      <c r="R4928" s="72"/>
      <c r="S4928" s="72"/>
    </row>
    <row r="4929" spans="18:19" x14ac:dyDescent="0.25">
      <c r="R4929" s="72"/>
      <c r="S4929" s="72"/>
    </row>
    <row r="4930" spans="18:19" x14ac:dyDescent="0.25">
      <c r="R4930" s="72"/>
      <c r="S4930" s="72"/>
    </row>
    <row r="4931" spans="18:19" x14ac:dyDescent="0.25">
      <c r="R4931" s="72"/>
      <c r="S4931" s="72"/>
    </row>
    <row r="4932" spans="18:19" x14ac:dyDescent="0.25">
      <c r="R4932" s="72"/>
      <c r="S4932" s="72"/>
    </row>
    <row r="4933" spans="18:19" x14ac:dyDescent="0.25">
      <c r="R4933" s="72"/>
      <c r="S4933" s="72"/>
    </row>
    <row r="4934" spans="18:19" x14ac:dyDescent="0.25">
      <c r="R4934" s="72"/>
      <c r="S4934" s="72"/>
    </row>
    <row r="4935" spans="18:19" x14ac:dyDescent="0.25">
      <c r="R4935" s="72"/>
      <c r="S4935" s="72"/>
    </row>
    <row r="4936" spans="18:19" x14ac:dyDescent="0.25">
      <c r="R4936" s="72"/>
      <c r="S4936" s="72"/>
    </row>
    <row r="4937" spans="18:19" x14ac:dyDescent="0.25">
      <c r="R4937" s="72"/>
      <c r="S4937" s="72"/>
    </row>
    <row r="4938" spans="18:19" x14ac:dyDescent="0.25">
      <c r="R4938" s="72"/>
      <c r="S4938" s="72"/>
    </row>
    <row r="4939" spans="18:19" x14ac:dyDescent="0.25">
      <c r="R4939" s="72"/>
      <c r="S4939" s="72"/>
    </row>
    <row r="4940" spans="18:19" x14ac:dyDescent="0.25">
      <c r="R4940" s="72"/>
      <c r="S4940" s="72"/>
    </row>
    <row r="4941" spans="18:19" x14ac:dyDescent="0.25">
      <c r="R4941" s="72"/>
      <c r="S4941" s="72"/>
    </row>
    <row r="4942" spans="18:19" x14ac:dyDescent="0.25">
      <c r="R4942" s="72"/>
      <c r="S4942" s="72"/>
    </row>
    <row r="4943" spans="18:19" x14ac:dyDescent="0.25">
      <c r="R4943" s="72"/>
      <c r="S4943" s="72"/>
    </row>
    <row r="4944" spans="18:19" x14ac:dyDescent="0.25">
      <c r="R4944" s="72"/>
      <c r="S4944" s="72"/>
    </row>
    <row r="4945" spans="18:19" x14ac:dyDescent="0.25">
      <c r="R4945" s="72"/>
      <c r="S4945" s="72"/>
    </row>
    <row r="4946" spans="18:19" x14ac:dyDescent="0.25">
      <c r="R4946" s="72"/>
      <c r="S4946" s="72"/>
    </row>
    <row r="4947" spans="18:19" x14ac:dyDescent="0.25">
      <c r="R4947" s="72"/>
      <c r="S4947" s="72"/>
    </row>
    <row r="4948" spans="18:19" x14ac:dyDescent="0.25">
      <c r="R4948" s="72"/>
      <c r="S4948" s="72"/>
    </row>
    <row r="4949" spans="18:19" x14ac:dyDescent="0.25">
      <c r="R4949" s="72"/>
      <c r="S4949" s="72"/>
    </row>
    <row r="4950" spans="18:19" x14ac:dyDescent="0.25">
      <c r="R4950" s="72"/>
      <c r="S4950" s="72"/>
    </row>
    <row r="4951" spans="18:19" x14ac:dyDescent="0.25">
      <c r="R4951" s="72"/>
      <c r="S4951" s="72"/>
    </row>
    <row r="4952" spans="18:19" x14ac:dyDescent="0.25">
      <c r="R4952" s="72"/>
      <c r="S4952" s="72"/>
    </row>
    <row r="4953" spans="18:19" x14ac:dyDescent="0.25">
      <c r="R4953" s="72"/>
      <c r="S4953" s="72"/>
    </row>
    <row r="4954" spans="18:19" x14ac:dyDescent="0.25">
      <c r="R4954" s="72"/>
      <c r="S4954" s="72"/>
    </row>
    <row r="4955" spans="18:19" x14ac:dyDescent="0.25">
      <c r="R4955" s="72"/>
      <c r="S4955" s="72"/>
    </row>
    <row r="4956" spans="18:19" x14ac:dyDescent="0.25">
      <c r="R4956" s="72"/>
      <c r="S4956" s="72"/>
    </row>
    <row r="4957" spans="18:19" x14ac:dyDescent="0.25">
      <c r="R4957" s="72"/>
      <c r="S4957" s="72"/>
    </row>
    <row r="4958" spans="18:19" x14ac:dyDescent="0.25">
      <c r="R4958" s="72"/>
      <c r="S4958" s="72"/>
    </row>
    <row r="4959" spans="18:19" x14ac:dyDescent="0.25">
      <c r="R4959" s="72"/>
      <c r="S4959" s="72"/>
    </row>
    <row r="4960" spans="18:19" x14ac:dyDescent="0.25">
      <c r="R4960" s="72"/>
      <c r="S4960" s="72"/>
    </row>
    <row r="4961" spans="18:19" x14ac:dyDescent="0.25">
      <c r="R4961" s="72"/>
      <c r="S4961" s="72"/>
    </row>
    <row r="4962" spans="18:19" x14ac:dyDescent="0.25">
      <c r="R4962" s="72"/>
      <c r="S4962" s="72"/>
    </row>
    <row r="4963" spans="18:19" x14ac:dyDescent="0.25">
      <c r="R4963" s="72"/>
      <c r="S4963" s="72"/>
    </row>
    <row r="4964" spans="18:19" x14ac:dyDescent="0.25">
      <c r="R4964" s="72"/>
      <c r="S4964" s="72"/>
    </row>
    <row r="4965" spans="18:19" x14ac:dyDescent="0.25">
      <c r="R4965" s="72"/>
      <c r="S4965" s="72"/>
    </row>
    <row r="4966" spans="18:19" x14ac:dyDescent="0.25">
      <c r="R4966" s="72"/>
      <c r="S4966" s="72"/>
    </row>
    <row r="4967" spans="18:19" x14ac:dyDescent="0.25">
      <c r="R4967" s="72"/>
      <c r="S4967" s="72"/>
    </row>
    <row r="4968" spans="18:19" x14ac:dyDescent="0.25">
      <c r="R4968" s="72"/>
      <c r="S4968" s="72"/>
    </row>
    <row r="4969" spans="18:19" x14ac:dyDescent="0.25">
      <c r="R4969" s="72"/>
      <c r="S4969" s="72"/>
    </row>
    <row r="4970" spans="18:19" x14ac:dyDescent="0.25">
      <c r="R4970" s="72"/>
      <c r="S4970" s="72"/>
    </row>
    <row r="4971" spans="18:19" x14ac:dyDescent="0.25">
      <c r="R4971" s="72"/>
      <c r="S4971" s="72"/>
    </row>
    <row r="4972" spans="18:19" x14ac:dyDescent="0.25">
      <c r="R4972" s="72"/>
      <c r="S4972" s="72"/>
    </row>
    <row r="4973" spans="18:19" x14ac:dyDescent="0.25">
      <c r="R4973" s="72"/>
      <c r="S4973" s="72"/>
    </row>
    <row r="4974" spans="18:19" x14ac:dyDescent="0.25">
      <c r="R4974" s="72"/>
      <c r="S4974" s="72"/>
    </row>
    <row r="4975" spans="18:19" x14ac:dyDescent="0.25">
      <c r="R4975" s="72"/>
      <c r="S4975" s="72"/>
    </row>
    <row r="4976" spans="18:19" x14ac:dyDescent="0.25">
      <c r="R4976" s="72"/>
      <c r="S4976" s="72"/>
    </row>
    <row r="4977" spans="18:19" x14ac:dyDescent="0.25">
      <c r="R4977" s="72"/>
      <c r="S4977" s="72"/>
    </row>
    <row r="4978" spans="18:19" x14ac:dyDescent="0.25">
      <c r="R4978" s="72"/>
      <c r="S4978" s="72"/>
    </row>
    <row r="4979" spans="18:19" x14ac:dyDescent="0.25">
      <c r="R4979" s="72"/>
      <c r="S4979" s="72"/>
    </row>
    <row r="4980" spans="18:19" x14ac:dyDescent="0.25">
      <c r="R4980" s="72"/>
      <c r="S4980" s="72"/>
    </row>
    <row r="4981" spans="18:19" x14ac:dyDescent="0.25">
      <c r="R4981" s="72"/>
      <c r="S4981" s="72"/>
    </row>
    <row r="4982" spans="18:19" x14ac:dyDescent="0.25">
      <c r="R4982" s="72"/>
      <c r="S4982" s="72"/>
    </row>
    <row r="4983" spans="18:19" x14ac:dyDescent="0.25">
      <c r="R4983" s="72"/>
      <c r="S4983" s="72"/>
    </row>
    <row r="4984" spans="18:19" x14ac:dyDescent="0.25">
      <c r="R4984" s="72"/>
      <c r="S4984" s="72"/>
    </row>
    <row r="4985" spans="18:19" x14ac:dyDescent="0.25">
      <c r="R4985" s="72"/>
      <c r="S4985" s="72"/>
    </row>
    <row r="4986" spans="18:19" x14ac:dyDescent="0.25">
      <c r="R4986" s="72"/>
      <c r="S4986" s="72"/>
    </row>
    <row r="4987" spans="18:19" x14ac:dyDescent="0.25">
      <c r="R4987" s="72"/>
      <c r="S4987" s="72"/>
    </row>
    <row r="4988" spans="18:19" x14ac:dyDescent="0.25">
      <c r="R4988" s="72"/>
      <c r="S4988" s="72"/>
    </row>
    <row r="4989" spans="18:19" x14ac:dyDescent="0.25">
      <c r="R4989" s="72"/>
      <c r="S4989" s="72"/>
    </row>
    <row r="4990" spans="18:19" x14ac:dyDescent="0.25">
      <c r="R4990" s="72"/>
      <c r="S4990" s="72"/>
    </row>
    <row r="4991" spans="18:19" x14ac:dyDescent="0.25">
      <c r="R4991" s="72"/>
      <c r="S4991" s="72"/>
    </row>
    <row r="4992" spans="18:19" x14ac:dyDescent="0.25">
      <c r="R4992" s="72"/>
      <c r="S4992" s="72"/>
    </row>
    <row r="4993" spans="18:19" x14ac:dyDescent="0.25">
      <c r="R4993" s="72"/>
      <c r="S4993" s="72"/>
    </row>
    <row r="4994" spans="18:19" x14ac:dyDescent="0.25">
      <c r="R4994" s="72"/>
      <c r="S4994" s="72"/>
    </row>
    <row r="4995" spans="18:19" x14ac:dyDescent="0.25">
      <c r="R4995" s="72"/>
      <c r="S4995" s="72"/>
    </row>
    <row r="4996" spans="18:19" x14ac:dyDescent="0.25">
      <c r="R4996" s="72"/>
      <c r="S4996" s="72"/>
    </row>
    <row r="4997" spans="18:19" x14ac:dyDescent="0.25">
      <c r="R4997" s="72"/>
      <c r="S4997" s="72"/>
    </row>
    <row r="4998" spans="18:19" x14ac:dyDescent="0.25">
      <c r="R4998" s="72"/>
      <c r="S4998" s="72"/>
    </row>
    <row r="4999" spans="18:19" x14ac:dyDescent="0.25">
      <c r="R4999" s="72"/>
      <c r="S4999" s="72"/>
    </row>
    <row r="5000" spans="18:19" x14ac:dyDescent="0.25">
      <c r="R5000" s="72"/>
      <c r="S5000" s="72"/>
    </row>
    <row r="5001" spans="18:19" x14ac:dyDescent="0.25">
      <c r="R5001" s="72"/>
      <c r="S5001" s="72"/>
    </row>
    <row r="5002" spans="18:19" x14ac:dyDescent="0.25">
      <c r="R5002" s="72"/>
      <c r="S5002" s="72"/>
    </row>
    <row r="5003" spans="18:19" x14ac:dyDescent="0.25">
      <c r="R5003" s="72"/>
      <c r="S5003" s="72"/>
    </row>
    <row r="5004" spans="18:19" x14ac:dyDescent="0.25">
      <c r="R5004" s="72"/>
      <c r="S5004" s="72"/>
    </row>
    <row r="5005" spans="18:19" x14ac:dyDescent="0.25">
      <c r="R5005" s="72"/>
      <c r="S5005" s="72"/>
    </row>
  </sheetData>
  <autoFilter ref="C4:AD69" xr:uid="{00000000-0009-0000-0000-000003000000}"/>
  <conditionalFormatting sqref="C5:C5000">
    <cfRule type="expression" dxfId="11" priority="1">
      <formula>AND(C5&lt;&gt;"",COUNTIF($C$5:$C$5000,C5)&gt;1)</formula>
    </cfRule>
  </conditionalFormatting>
  <dataValidations count="24">
    <dataValidation type="custom" allowBlank="1" showInputMessage="1" showErrorMessage="1" errorTitle="Duplicate Trade ID" error="This Trade ID is already used. Enter a unique ID." promptTitle="Trade ID" prompt="Unique ID of the trade leg. A row with data but no Trade ID is rejected, and so is a repeated ID; either withholds the netting set's EAD." sqref="C5:C5000" xr:uid="{00000000-0002-0000-0300-000000000000}">
      <formula1>COUNTIF($C$5:$C$5000,C5)=1</formula1>
    </dataValidation>
    <dataValidation type="list" allowBlank="1" showInputMessage="1" showErrorMessage="1" errorTitle="Invalid asset class" error="Choose IR, FX, CR, EQ, CO or OT." promptTitle="Asset class" prompt="IR, FX, CR (credit), EQ (equity), CO (commodity) or OT (other risks, CRR only, Art. 280f)." sqref="E5:E5000" xr:uid="{00000000-0002-0000-0300-000002000000}">
      <formula1>"IR,FX,CR,EQ,CO,OT"</formula1>
    </dataValidation>
    <dataValidation type="custom" allowBlank="1" showInputMessage="1" showErrorMessage="1" errorTitle="Invalid reference" error="The reference must not contain | or #." promptTitle="Risk factor / reference" prompt="IR: currency (EUR; EUR-INFL for inflation). FX: pair (EUR/USD); options in market order (USD/JPY, not JPY/USD). CR, EQ: issuer or index. CO: commodity type. OT: primary risk driver. Same reference = aggregated together." sqref="G5:G5000" xr:uid="{00000000-0002-0000-0300-000004000000}">
      <formula1>AND(ISERROR(FIND("|",G5)),ISERROR(FIND("#",G5)))</formula1>
    </dataValidation>
    <dataValidation type="list" allowBlank="1" showInputMessage="1" showErrorMessage="1" errorTitle="Invalid instrument" error="Choose Linear, Option or CDO." promptTitle="Instrument" prompt="Linear, Option, or CDO (credit tranche: needs attachment and detachment)." sqref="H5:H5000" xr:uid="{00000000-0002-0000-0300-000005000000}">
      <formula1>"Linear,Option,CDO"</formula1>
    </dataValidation>
    <dataValidation type="list" allowBlank="1" showInputMessage="1" showErrorMessage="1" errorTitle="Invalid direction" error="Choose Long or Short." promptTitle="Direction" prompt="Long or Short in the primary risk factor; gives the sign of the supervisory delta (CRE52.38)." sqref="I5:I5000" xr:uid="{00000000-0002-0000-0300-000006000000}">
      <formula1>"Long,Short"</formula1>
    </dataValidation>
    <dataValidation type="list" allowBlank="1" showInputMessage="1" showErrorMessage="1" errorTitle="Invalid option type" error="Choose Call or Put." promptTitle="Option type" prompt="Options only: Call or Put." sqref="J5:J5000" xr:uid="{00000000-0002-0000-0300-000007000000}">
      <formula1>"Call,Put"</formula1>
    </dataValidation>
    <dataValidation type="list" allowBlank="1" showInputMessage="1" showErrorMessage="1" errorTitle="Invalid nature" error="Choose Standard, Basis or Volatility." promptTitle="Nature" prompt="Standard; Basis or Volatility transactions get their own hedging sets and factor multipliers (CRE52.46-47)." sqref="K5:K5000" xr:uid="{00000000-0002-0000-0300-000008000000}">
      <formula1>"Standard,Basis,Volatility"</formula1>
    </dataValidation>
    <dataValidation type="custom" allowBlank="1" showInputMessage="1" showErrorMessage="1" errorTitle="Invalid label" error="The label must not contain | or #." promptTitle="Hedging-set label" prompt="Basis and volatility trades only: label grouping the trades of one hedging set (e.g. the pair of risk factors)." sqref="L5:L5000" xr:uid="{00000000-0002-0000-0300-000009000000}">
      <formula1>AND(ISERROR(FIND("|",L5)),ISERROR(FIND("#",L5)))</formula1>
    </dataValidation>
    <dataValidation type="decimal" operator="greaterThan" allowBlank="1" showInputMessage="1" showErrorMessage="1" errorTitle="Invalid notional" error="Enter a number greater than zero." promptTitle="Notional" prompt="Trade notional, not adjusted: the engine applies the supervisory duration (IR, CR). Positive, in the notional currency. The sign comes from Direction." sqref="M5:M5000" xr:uid="{00000000-0002-0000-0300-00000A000000}">
      <formula1>0</formula1>
    </dataValidation>
    <dataValidation type="custom" allowBlank="1" showInputMessage="1" showErrorMessage="1" errorTitle="Invalid MtM" error="Enter a number (0 if the trade has no value)." promptTitle="MtM" prompt="Mark-to-market value, signed: positive is an asset. Enter 0 if the trade has no value." sqref="O5:O5000" xr:uid="{00000000-0002-0000-0300-00000C000000}">
      <formula1>ISNUMBER(O5)</formula1>
    </dataValidation>
    <dataValidation type="custom" allowBlank="1" showInputMessage="1" showErrorMessage="1" errorTitle="Invalid date" error="Enter a date between 1950 and 2200." promptTitle="Start date (S)" prompt="IR and credit: start of the time period referenced; blank = already started (CRE52.31). Required for IR/credit options: a swaption's exercise date, the earliest if Bermudan." sqref="Q5:Q5000" xr:uid="{00000000-0002-0000-0300-00000E000000}">
      <formula1>AND(ISNUMBER(Q5),Q5&gt;=DATE(1950,1,1),Q5&lt;=DATE(2200,12,31))</formula1>
    </dataValidation>
    <dataValidation type="custom" allowBlank="1" showInputMessage="1" showErrorMessage="1" errorTitle="Invalid end date" error="Enter a date between 1950 and 2200, after the start date." promptTitle="End date (E)" prompt="IR and credit: end of the time period referenced (CRE52.31)." sqref="R5:R5000" xr:uid="{00000000-0002-0000-0300-00000F000000}">
      <formula1>AND(ISNUMBER(R5),R5&gt;=DATE(1950,1,1),R5&lt;=DATE(2200,12,31),OR(Q5="",R5&gt;Q5))</formula1>
    </dataValidation>
    <dataValidation type="custom" allowBlank="1" showInputMessage="1" showErrorMessage="1" errorTitle="Invalid date" error="Enter a date between 1950 and 2200." promptTitle="Maturity date (M)" prompt="Latest date the contract may still be active (CRE52.31(1)); blank = end date, or the option expiry if that is blank too." sqref="S5:S5000" xr:uid="{00000000-0002-0000-0300-000010000000}">
      <formula1>AND(ISNUMBER(S5),S5&gt;=DATE(1950,1,1),S5&lt;=DATE(2200,12,31))</formula1>
    </dataValidation>
    <dataValidation type="custom" allowBlank="1" showInputMessage="1" showErrorMessage="1" errorTitle="Invalid date" error="Enter a date between 1950 and 2200." promptTitle="Option expiry (T)" prompt="Options only: latest exercise date (CRE52.40)." sqref="T5:T5000" xr:uid="{00000000-0002-0000-0300-000011000000}">
      <formula1>AND(ISNUMBER(T5),T5&gt;=DATE(1950,1,1),T5&lt;=DATE(2200,12,31))</formula1>
    </dataValidation>
    <dataValidation type="custom" allowBlank="1" showInputMessage="1" showErrorMessage="1" errorTitle="Invalid price" error="Enter a number." promptTitle="Underlying price P" prompt="Options only: price of the underlying (forward rate for IR options). May be negative before the lambda shift." sqref="U5:U5000" xr:uid="{00000000-0002-0000-0300-000012000000}">
      <formula1>ISNUMBER(U5)</formula1>
    </dataValidation>
    <dataValidation type="custom" allowBlank="1" showInputMessage="1" showErrorMessage="1" errorTitle="Invalid strike" error="Enter a number." promptTitle="Strike K" prompt="Options only: strike. May be negative before the lambda shift." sqref="V5:V5000" xr:uid="{00000000-0002-0000-0300-000013000000}">
      <formula1>ISNUMBER(V5)</formula1>
    </dataValidation>
    <dataValidation type="decimal" operator="greaterThanOrEqual" allowBlank="1" showInputMessage="1" showErrorMessage="1" errorTitle="Invalid lambda" error="Enter a number of zero or more." promptTitle="Lambda shift" prompt="Shift added to P and K when either is zero or negative (CRE52.40 FAQ2). Under CRR, IR and commodity options use the RTS lambda instead; a different value entered here is ignored with a warning." sqref="W5:W5000" xr:uid="{00000000-0002-0000-0300-000014000000}">
      <formula1>0</formula1>
    </dataValidation>
    <dataValidation type="decimal" allowBlank="1" showInputMessage="1" showErrorMessage="1" errorTitle="Invalid attachment" error="Enter a decimal from 0 to below 1, e.g. 0.03 for 3%." promptTitle="Attachment A" prompt="CDO tranches only: attachment point, 0 to below 1 (CRE52.41)." sqref="X5:X5000" xr:uid="{00000000-0002-0000-0300-000015000000}">
      <formula1>0</formula1>
      <formula2>0.9999</formula2>
    </dataValidation>
    <dataValidation type="custom" allowBlank="1" showInputMessage="1" showErrorMessage="1" errorTitle="Invalid detachment" error="Enter a decimal above the attachment point and at most 1." promptTitle="Detachment D" prompt="CDO tranches only: detachment point, above the attachment and at most 1 (CRE52.41)." sqref="Y5:Y5000" xr:uid="{00000000-0002-0000-0300-000016000000}">
      <formula1>AND(ISNUMBER(Y5),Y5&gt;0,Y5&lt;=1,OR(X5="",Y5&gt;X5))</formula1>
    </dataValidation>
    <dataValidation type="textLength" operator="lessThanOrEqual" allowBlank="1" showInputMessage="1" showErrorMessage="1" errorTitle="Comment too long" error="Keep the comment to 500 characters or fewer." promptTitle="Comment" prompt="Free text, not read by the engine." sqref="AD5:AD5000" xr:uid="{00000000-0002-0000-0300-000017000000}">
      <formula1>500</formula1>
    </dataValidation>
    <dataValidation type="custom" allowBlank="1" showInputMessage="1" showErrorMessage="1" errorTitle="Invalid economic trade ID" error="The ID must not contain | or #." promptTitle="Economic trade ID" prompt="Legs of one economic trade share this ID; blank = the row is a whole trade. Use legs for several risk categories or for an option structure split into options." sqref="Z5:Z5000" xr:uid="{00000000-0002-0000-0300-000018000000}">
      <formula1>AND(ISERROR(FIND("|",Z5)),ISERROR(FIND("#",Z5)))</formula1>
    </dataValidation>
    <dataValidation type="list" allowBlank="1" showInputMessage="1" showErrorMessage="1" errorTitle="Invalid choice" error="Choose Y or N." promptTitle="MtM leg" prompt="Y on the one leg that carries the economic trade's MtM; N on every other leg, whose MtM must be 0. Blank on a whole trade." sqref="AA5:AA5000" xr:uid="{00000000-0002-0000-0300-000019000000}">
      <formula1>"Y,N"</formula1>
    </dataValidation>
    <dataValidation type="list" allowBlank="1" showInputMessage="1" showErrorMessage="1" errorTitle="Invalid settlement type" error="Choose N or STM, or leave blank." promptTitle="Settlement type" prompt="STM: settled-to-market, the contract settles its exposure and resets its value to zero on set dates; daily VM alone is not STM. Needs a next reset date. Blank or N: ordinary." sqref="AB5:AB5000" xr:uid="{00000000-0002-0000-0300-00001A000000}">
      <formula1>"N,STM"</formula1>
    </dataValidation>
    <dataValidation type="custom" allowBlank="1" showInputMessage="1" showErrorMessage="1" errorTitle="Invalid date" error="Enter a date between 1950 and 2200." promptTitle="Next reset date" prompt="STM only: the first reset after the reporting date, not after the maturity date. M becomes the time to it, floored at 10 business days. Blank for N." sqref="AC5:AC5000" xr:uid="{00000000-0002-0000-0300-00001B000000}">
      <formula1>AND(ISNUMBER(AC5),AC5&gt;=DATE(1950,1,1),AC5&lt;=DATE(2200,12,31))</formula1>
    </dataValidation>
  </dataValidations>
  <pageMargins left="0.4" right="0.4" top="0.5" bottom="0.5" header="0.3" footer="0.3"/>
  <pageSetup paperSize="9" fitToHeight="0" orientation="landscape"/>
  <drawing r:id="rId1"/>
  <legacyDrawing r:id="rId2"/>
  <mc:AlternateContent xmlns:mc="http://schemas.openxmlformats.org/markup-compatibility/2006">
    <mc:Choice Requires="x14">
      <controls>
        <mc:AlternateContent xmlns:mc="http://schemas.openxmlformats.org/markup-compatibility/2006">
          <mc:Choice Requires="x14">
            <control shapeId="2049" r:id="rId3" name="Button 1">
              <controlPr defaultSize="0" print="0" autoFill="0" autoPict="0" macro="[0]!RunSACCR">
                <anchor moveWithCells="1" sizeWithCells="1">
                  <from>
                    <xdr:col>7</xdr:col>
                    <xdr:colOff>0</xdr:colOff>
                    <xdr:row>2</xdr:row>
                    <xdr:rowOff>66675</xdr:rowOff>
                  </from>
                  <to>
                    <xdr:col>8</xdr:col>
                    <xdr:colOff>419100</xdr:colOff>
                    <xdr:row>2</xdr:row>
                    <xdr:rowOff>314325</xdr:rowOff>
                  </to>
                </anchor>
              </controlPr>
            </control>
          </mc:Choice>
        </mc:AlternateContent>
        <mc:AlternateContent xmlns:mc="http://schemas.openxmlformats.org/markup-compatibility/2006">
          <mc:Choice Requires="x14">
            <control shapeId="2050" r:id="rId4" name="Button 2">
              <controlPr defaultSize="0" print="0" autoFill="0" autoPict="0" macro="[0]!ValidateInputs">
                <anchor moveWithCells="1" sizeWithCells="1">
                  <from>
                    <xdr:col>8</xdr:col>
                    <xdr:colOff>514350</xdr:colOff>
                    <xdr:row>2</xdr:row>
                    <xdr:rowOff>66675</xdr:rowOff>
                  </from>
                  <to>
                    <xdr:col>10</xdr:col>
                    <xdr:colOff>228600</xdr:colOff>
                    <xdr:row>2</xdr:row>
                    <xdr:rowOff>314325</xdr:rowOff>
                  </to>
                </anchor>
              </controlPr>
            </control>
          </mc:Choice>
        </mc:AlternateContent>
        <mc:AlternateContent xmlns:mc="http://schemas.openxmlformats.org/markup-compatibility/2006">
          <mc:Choice Requires="x14">
            <control shapeId="2051" r:id="rId5" name="Button 3">
              <controlPr defaultSize="0" print="0" autoFill="0" autoPict="0" macro="[0]!ClearOutputs">
                <anchor moveWithCells="1" sizeWithCells="1">
                  <from>
                    <xdr:col>10</xdr:col>
                    <xdr:colOff>323850</xdr:colOff>
                    <xdr:row>2</xdr:row>
                    <xdr:rowOff>66675</xdr:rowOff>
                  </from>
                  <to>
                    <xdr:col>11</xdr:col>
                    <xdr:colOff>742950</xdr:colOff>
                    <xdr:row>2</xdr:row>
                    <xdr:rowOff>314325</xdr:rowOff>
                  </to>
                </anchor>
              </controlPr>
            </control>
          </mc:Choice>
        </mc:AlternateContent>
        <mc:AlternateContent xmlns:mc="http://schemas.openxmlformats.org/markup-compatibility/2006">
          <mc:Choice Requires="x14">
            <control shapeId="2052" r:id="rId6" name="Button 4">
              <controlPr defaultSize="0" print="0" autoFill="0" autoPict="0" macro="[0]!ExportTradesCsvTemplate">
                <anchor moveWithCells="1" sizeWithCells="1">
                  <from>
                    <xdr:col>11</xdr:col>
                    <xdr:colOff>838200</xdr:colOff>
                    <xdr:row>1</xdr:row>
                    <xdr:rowOff>38100</xdr:rowOff>
                  </from>
                  <to>
                    <xdr:col>13</xdr:col>
                    <xdr:colOff>133350</xdr:colOff>
                    <xdr:row>1</xdr:row>
                    <xdr:rowOff>285750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errorStyle="warning" allowBlank="1" showInputMessage="1" showErrorMessage="1" errorTitle="Netting set not listed" error="This ID is not on NettingSets. Add the netting set there, or the trade will be rejected. Continue anyway?" promptTitle="Netting set" prompt="Choose the ID of a netting set listed on NettingSets. A trade whose netting set is not listed there is rejected." xr:uid="{00000000-0002-0000-0300-000001000000}">
          <x14:formula1>
            <xm:f>NettingSets!$C$7:$C$206</xm:f>
          </x14:formula1>
          <xm:sqref>D5:D5000</xm:sqref>
        </x14:dataValidation>
        <x14:dataValidation type="list" allowBlank="1" showInputMessage="1" showErrorMessage="1" errorTitle="Invalid sub-class" error="Choose a category listed in the factor table on Params." promptTitle="Sub-class" prompt="Credit rating or CRR credit quality step, credit or equity index type, or commodity category (e.g. OIL_GAS), from the Category column of the factor table on Params. Blank for IR, FX and OT." xr:uid="{00000000-0002-0000-0300-000003000000}">
          <x14:formula1>
            <xm:f>Params!$E$29:$E$54</xm:f>
          </x14:formula1>
          <xm:sqref>F5:F5000</xm:sqref>
        </x14:dataValidation>
        <x14:dataValidation type="custom" errorStyle="warning" allowBlank="1" showInputMessage="1" showErrorMessage="1" errorTitle="Currency not in FX table" error="This currency is not in the FX table on Params, so the trade will be rejected. Add it there. Continue anyway?" promptTitle="Notional currency" prompt="ISO code listed in the FX table on Params; blank = reporting currency. FX trades: one of the pair's currencies." xr:uid="{00000000-0002-0000-0300-00000B000000}">
          <x14:formula1>
            <xm:f>COUNTIF(Params!$C$58:$C$77,N5)&gt;0</xm:f>
          </x14:formula1>
          <xm:sqref>N5:N5000</xm:sqref>
        </x14:dataValidation>
        <x14:dataValidation type="custom" errorStyle="warning" allowBlank="1" showInputMessage="1" showErrorMessage="1" errorTitle="Currency not in FX table" error="This currency is not in the FX table on Params, so the trade will be rejected. Add it there. Continue anyway?" promptTitle="MtM currency" prompt="ISO code listed in the FX table on Params; blank = notional currency." xr:uid="{00000000-0002-0000-0300-00000D000000}">
          <x14:formula1>
            <xm:f>COUNTIF(Params!$C$58:$C$77,P5)&gt;0</xm:f>
          </x14:formula1>
          <xm:sqref>P5:P5000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Results">
    <tabColor rgb="FF2E75B6"/>
    <pageSetUpPr fitToPage="1"/>
  </sheetPr>
  <dimension ref="B1:AD25"/>
  <sheetViews>
    <sheetView showGridLines="0" zoomScale="90" zoomScaleNormal="90" workbookViewId="0">
      <pane xSplit="3" ySplit="6" topLeftCell="D7" activePane="bottomRight" state="frozen"/>
      <selection pane="topRight" activeCell="D3" sqref="D3"/>
      <selection pane="bottomLeft" activeCell="C7" sqref="C7"/>
      <selection pane="bottomRight" activeCell="C6" sqref="C6"/>
    </sheetView>
  </sheetViews>
  <sheetFormatPr defaultRowHeight="15" x14ac:dyDescent="0.25"/>
  <cols>
    <col min="1" max="2" width="4" customWidth="1"/>
    <col min="3" max="3" width="14.75" style="6" customWidth="1"/>
    <col min="4" max="4" width="44.75" style="6" customWidth="1"/>
    <col min="5" max="5" width="8.75" style="8" customWidth="1"/>
    <col min="6" max="6" width="9.75" style="8" customWidth="1"/>
    <col min="7" max="7" width="7.75" style="125" customWidth="1"/>
    <col min="8" max="8" width="8.75" style="9" customWidth="1"/>
    <col min="9" max="10" width="15.75" style="10" customWidth="1"/>
    <col min="11" max="11" width="14.75" style="10" customWidth="1"/>
    <col min="12" max="17" width="13.75" style="10" customWidth="1"/>
    <col min="18" max="18" width="14.75" style="10" customWidth="1"/>
    <col min="19" max="19" width="10.75" style="11" customWidth="1"/>
    <col min="20" max="20" width="14.75" style="10" customWidth="1"/>
    <col min="21" max="21" width="7.75" style="12" customWidth="1"/>
    <col min="22" max="24" width="15.75" style="10" customWidth="1"/>
    <col min="25" max="25" width="9.75" style="8" customWidth="1"/>
    <col min="26" max="28" width="15.75" style="10" customWidth="1"/>
    <col min="29" max="29" width="11.75" style="11" customWidth="1"/>
    <col min="30" max="30" width="34.75" style="6" customWidth="1"/>
  </cols>
  <sheetData>
    <row r="1" spans="2:30" ht="24" customHeight="1" x14ac:dyDescent="0.25">
      <c r="B1" s="24" t="s">
        <v>0</v>
      </c>
      <c r="C1" s="25"/>
      <c r="D1" s="26"/>
      <c r="E1" s="63"/>
      <c r="F1" s="63"/>
      <c r="G1" s="63"/>
      <c r="H1" s="63"/>
      <c r="I1" s="63"/>
      <c r="J1" s="63"/>
      <c r="K1" s="63"/>
      <c r="L1" s="63"/>
      <c r="M1" s="26"/>
      <c r="N1" s="26"/>
      <c r="O1" s="26"/>
      <c r="P1" s="26"/>
      <c r="Q1" s="63"/>
      <c r="R1" s="63"/>
      <c r="S1" s="63"/>
      <c r="T1" s="63"/>
      <c r="U1" s="63"/>
      <c r="V1" s="63"/>
      <c r="W1" s="63"/>
      <c r="X1" s="63"/>
      <c r="Y1" s="63"/>
      <c r="Z1" s="63"/>
      <c r="AA1" s="63"/>
      <c r="AB1" s="63"/>
      <c r="AC1"/>
      <c r="AD1"/>
    </row>
    <row r="2" spans="2:30" ht="26.1" customHeight="1" x14ac:dyDescent="0.25">
      <c r="B2" s="28" t="s">
        <v>52</v>
      </c>
      <c r="C2" s="29"/>
      <c r="D2" s="30"/>
      <c r="E2" s="65"/>
      <c r="F2" s="65"/>
      <c r="G2" s="65"/>
      <c r="H2" s="65"/>
      <c r="I2" s="65"/>
      <c r="J2" s="65"/>
      <c r="K2" s="65"/>
      <c r="L2" s="65"/>
      <c r="M2" s="30"/>
      <c r="N2" s="30"/>
      <c r="O2" s="30"/>
      <c r="P2" s="30"/>
      <c r="Q2" s="65"/>
      <c r="R2" s="65"/>
      <c r="S2" s="65"/>
      <c r="T2" s="65"/>
      <c r="U2" s="65"/>
      <c r="V2" s="65"/>
      <c r="W2" s="65"/>
      <c r="X2" s="65"/>
      <c r="Y2" s="65"/>
      <c r="Z2" s="65"/>
      <c r="AA2" s="65"/>
      <c r="AB2" s="65"/>
      <c r="AC2"/>
      <c r="AD2"/>
    </row>
    <row r="3" spans="2:30" ht="33.950000000000003" customHeight="1" x14ac:dyDescent="0.25">
      <c r="C3" s="1"/>
      <c r="G3" s="9"/>
    </row>
    <row r="4" spans="2:30" x14ac:dyDescent="0.25">
      <c r="C4" s="13" t="s">
        <v>905</v>
      </c>
      <c r="G4" s="9"/>
    </row>
    <row r="5" spans="2:30" x14ac:dyDescent="0.25">
      <c r="C5" s="13" t="str" cm="1">
        <f t="array" ref="C5">ResultsStatusText(SACCR_RunInputs,NettingSets!$C:$S,Trades!$C:$AC,Params!$1:$1048576)</f>
        <v>No results: press Run SA-CCR.</v>
      </c>
      <c r="G5" s="9"/>
    </row>
    <row r="6" spans="2:30" ht="42" customHeight="1" x14ac:dyDescent="0.25">
      <c r="C6" s="127" t="s">
        <v>233</v>
      </c>
      <c r="D6" s="127" t="s">
        <v>234</v>
      </c>
      <c r="E6" s="128" t="s">
        <v>141</v>
      </c>
      <c r="F6" s="128" t="s">
        <v>431</v>
      </c>
      <c r="G6" s="128" t="s">
        <v>916</v>
      </c>
      <c r="H6" s="128" t="s">
        <v>432</v>
      </c>
      <c r="I6" s="128" t="s">
        <v>433</v>
      </c>
      <c r="J6" s="128" t="s">
        <v>434</v>
      </c>
      <c r="K6" s="128" t="s">
        <v>29</v>
      </c>
      <c r="L6" s="128" t="s">
        <v>435</v>
      </c>
      <c r="M6" s="128" t="s">
        <v>436</v>
      </c>
      <c r="N6" s="128" t="s">
        <v>437</v>
      </c>
      <c r="O6" s="128" t="s">
        <v>438</v>
      </c>
      <c r="P6" s="128" t="s">
        <v>439</v>
      </c>
      <c r="Q6" s="128" t="s">
        <v>440</v>
      </c>
      <c r="R6" s="128" t="s">
        <v>441</v>
      </c>
      <c r="S6" s="128" t="s">
        <v>442</v>
      </c>
      <c r="T6" s="128" t="s">
        <v>30</v>
      </c>
      <c r="U6" s="128" t="s">
        <v>102</v>
      </c>
      <c r="V6" s="128" t="s">
        <v>443</v>
      </c>
      <c r="W6" s="128" t="s">
        <v>444</v>
      </c>
      <c r="X6" s="128" t="s">
        <v>28</v>
      </c>
      <c r="Y6" s="128" t="s">
        <v>445</v>
      </c>
      <c r="Z6" s="128" t="s">
        <v>446</v>
      </c>
      <c r="AA6" s="128" t="s">
        <v>447</v>
      </c>
      <c r="AB6" s="128" t="s">
        <v>448</v>
      </c>
      <c r="AC6" s="128" t="s">
        <v>449</v>
      </c>
      <c r="AD6" s="127" t="s">
        <v>473</v>
      </c>
    </row>
    <row r="7" spans="2:30" x14ac:dyDescent="0.25">
      <c r="C7" s="112"/>
      <c r="D7" s="112"/>
      <c r="E7" s="113"/>
      <c r="F7" s="113"/>
      <c r="G7" s="125"/>
      <c r="I7" s="10"/>
      <c r="J7" s="10"/>
      <c r="K7" s="10"/>
      <c r="L7" s="10"/>
      <c r="M7" s="10"/>
      <c r="N7" s="10"/>
      <c r="O7" s="10"/>
      <c r="P7" s="10"/>
      <c r="Q7" s="10"/>
      <c r="R7" s="10"/>
      <c r="S7" s="11"/>
      <c r="T7" s="10"/>
      <c r="U7" s="12"/>
      <c r="X7" s="10"/>
      <c r="Y7" s="113"/>
      <c r="AD7" s="112"/>
    </row>
    <row r="8" spans="2:30" x14ac:dyDescent="0.25">
      <c r="C8" s="112"/>
      <c r="D8" s="112"/>
      <c r="E8" s="113"/>
      <c r="F8" s="113"/>
      <c r="G8" s="125"/>
      <c r="I8" s="10"/>
      <c r="J8" s="10"/>
      <c r="K8" s="10"/>
      <c r="L8" s="10"/>
      <c r="M8" s="10"/>
      <c r="N8" s="10"/>
      <c r="O8" s="10"/>
      <c r="P8" s="10"/>
      <c r="Q8" s="10"/>
      <c r="R8" s="10"/>
      <c r="S8" s="11"/>
      <c r="T8" s="10"/>
      <c r="U8" s="12"/>
      <c r="X8" s="10"/>
      <c r="Y8" s="113"/>
      <c r="AD8" s="112"/>
    </row>
    <row r="9" spans="2:30" x14ac:dyDescent="0.25">
      <c r="C9" s="112"/>
      <c r="D9" s="112"/>
      <c r="E9" s="113"/>
      <c r="F9" s="113"/>
      <c r="G9" s="125"/>
      <c r="I9" s="10"/>
      <c r="J9" s="10"/>
      <c r="K9" s="10"/>
      <c r="L9" s="10"/>
      <c r="M9" s="10"/>
      <c r="N9" s="10"/>
      <c r="O9" s="10"/>
      <c r="P9" s="10"/>
      <c r="Q9" s="10"/>
      <c r="R9" s="10"/>
      <c r="S9" s="11"/>
      <c r="T9" s="10"/>
      <c r="U9" s="12"/>
      <c r="X9" s="10"/>
      <c r="Y9" s="113"/>
      <c r="AD9" s="112"/>
    </row>
    <row r="10" spans="2:30" x14ac:dyDescent="0.25">
      <c r="C10" s="112"/>
      <c r="D10" s="112"/>
      <c r="E10" s="113"/>
      <c r="F10" s="113"/>
      <c r="G10" s="125"/>
      <c r="I10" s="10"/>
      <c r="J10" s="10"/>
      <c r="K10" s="10"/>
      <c r="L10" s="10"/>
      <c r="M10" s="10"/>
      <c r="N10" s="10"/>
      <c r="O10" s="10"/>
      <c r="P10" s="10"/>
      <c r="Q10" s="10"/>
      <c r="R10" s="10"/>
      <c r="S10" s="11"/>
      <c r="T10" s="10"/>
      <c r="U10" s="12"/>
      <c r="X10" s="10"/>
      <c r="Y10" s="113"/>
      <c r="AD10" s="112"/>
    </row>
    <row r="11" spans="2:30" x14ac:dyDescent="0.25">
      <c r="C11" s="112"/>
      <c r="D11" s="112"/>
      <c r="E11" s="113"/>
      <c r="F11" s="113"/>
      <c r="G11" s="125"/>
      <c r="H11" s="9"/>
      <c r="I11" s="10"/>
      <c r="J11" s="10"/>
      <c r="K11" s="10"/>
      <c r="L11" s="10"/>
      <c r="M11" s="10"/>
      <c r="N11" s="10"/>
      <c r="O11" s="10"/>
      <c r="P11" s="10"/>
      <c r="Q11" s="10"/>
      <c r="R11" s="10"/>
      <c r="S11" s="11"/>
      <c r="T11" s="10"/>
      <c r="U11" s="12"/>
      <c r="V11" s="10"/>
      <c r="W11" s="10"/>
      <c r="X11" s="10"/>
      <c r="Y11" s="113"/>
      <c r="Z11" s="10"/>
      <c r="AA11" s="10"/>
      <c r="AB11" s="10"/>
      <c r="AC11" s="11"/>
      <c r="AD11" s="112"/>
    </row>
    <row r="12" spans="2:30" x14ac:dyDescent="0.25">
      <c r="C12" s="112"/>
      <c r="D12" s="112"/>
      <c r="E12" s="113"/>
      <c r="F12" s="113"/>
      <c r="G12" s="125"/>
      <c r="H12" s="9"/>
      <c r="I12" s="10"/>
      <c r="J12" s="10"/>
      <c r="K12" s="10"/>
      <c r="L12" s="10"/>
      <c r="M12" s="10"/>
      <c r="N12" s="10"/>
      <c r="O12" s="10"/>
      <c r="P12" s="10"/>
      <c r="Q12" s="10"/>
      <c r="R12" s="10"/>
      <c r="S12" s="11"/>
      <c r="T12" s="10"/>
      <c r="U12" s="12"/>
      <c r="V12" s="10"/>
      <c r="W12" s="10"/>
      <c r="X12" s="10"/>
      <c r="Y12" s="113"/>
      <c r="Z12" s="10"/>
      <c r="AA12" s="10"/>
      <c r="AB12" s="10"/>
      <c r="AC12" s="11"/>
      <c r="AD12" s="112"/>
    </row>
    <row r="13" spans="2:30" x14ac:dyDescent="0.25">
      <c r="C13" s="112"/>
      <c r="D13" s="112"/>
      <c r="E13" s="113"/>
      <c r="F13" s="113"/>
      <c r="G13" s="125"/>
      <c r="H13" s="9"/>
      <c r="I13" s="10"/>
      <c r="J13" s="10"/>
      <c r="K13" s="10"/>
      <c r="L13" s="10"/>
      <c r="M13" s="10"/>
      <c r="N13" s="10"/>
      <c r="O13" s="10"/>
      <c r="P13" s="10"/>
      <c r="Q13" s="10"/>
      <c r="R13" s="10"/>
      <c r="S13" s="11"/>
      <c r="T13" s="10"/>
      <c r="U13" s="12"/>
      <c r="V13" s="10"/>
      <c r="W13" s="10"/>
      <c r="X13" s="10"/>
      <c r="Y13" s="113"/>
      <c r="Z13" s="10"/>
      <c r="AA13" s="10"/>
      <c r="AB13" s="10"/>
      <c r="AC13" s="11"/>
      <c r="AD13" s="112"/>
    </row>
    <row r="14" spans="2:30" x14ac:dyDescent="0.25">
      <c r="C14" s="112"/>
      <c r="D14" s="112"/>
      <c r="E14" s="113"/>
      <c r="F14" s="113"/>
      <c r="G14" s="125"/>
      <c r="H14" s="9"/>
      <c r="I14" s="10"/>
      <c r="J14" s="10"/>
      <c r="K14" s="10"/>
      <c r="L14" s="10"/>
      <c r="M14" s="10"/>
      <c r="N14" s="10"/>
      <c r="O14" s="10"/>
      <c r="P14" s="10"/>
      <c r="Q14" s="10"/>
      <c r="R14" s="10"/>
      <c r="S14" s="11"/>
      <c r="T14" s="10"/>
      <c r="U14" s="12"/>
      <c r="V14" s="10"/>
      <c r="W14" s="10"/>
      <c r="X14" s="10"/>
      <c r="Y14" s="113"/>
      <c r="Z14" s="10"/>
      <c r="AA14" s="10"/>
      <c r="AB14" s="10"/>
      <c r="AC14" s="11"/>
      <c r="AD14" s="112"/>
    </row>
    <row r="15" spans="2:30" x14ac:dyDescent="0.25">
      <c r="C15" s="112"/>
      <c r="D15" s="112"/>
      <c r="E15" s="113"/>
      <c r="F15" s="113"/>
      <c r="G15" s="125"/>
      <c r="I15" s="10"/>
      <c r="J15" s="10"/>
      <c r="K15" s="10"/>
      <c r="L15" s="10"/>
      <c r="M15" s="10"/>
      <c r="N15" s="10"/>
      <c r="O15" s="10"/>
      <c r="P15" s="10"/>
      <c r="Q15" s="10"/>
      <c r="R15" s="10"/>
      <c r="S15" s="11"/>
      <c r="T15" s="10"/>
      <c r="U15" s="12"/>
      <c r="X15" s="10"/>
      <c r="Y15" s="113"/>
      <c r="AD15" s="112"/>
    </row>
    <row r="16" spans="2:30" x14ac:dyDescent="0.25">
      <c r="C16" s="112"/>
      <c r="D16" s="112"/>
      <c r="E16" s="113"/>
      <c r="F16" s="113"/>
      <c r="G16" s="125"/>
      <c r="I16" s="10"/>
      <c r="J16" s="10"/>
      <c r="K16" s="10"/>
      <c r="L16" s="10"/>
      <c r="M16" s="10"/>
      <c r="N16" s="10"/>
      <c r="O16" s="10"/>
      <c r="P16" s="10"/>
      <c r="Q16" s="10"/>
      <c r="R16" s="10"/>
      <c r="S16" s="11"/>
      <c r="T16" s="10"/>
      <c r="U16" s="12"/>
      <c r="X16" s="10"/>
      <c r="Y16" s="113"/>
      <c r="AD16" s="112"/>
    </row>
    <row r="17" spans="3:30" x14ac:dyDescent="0.25">
      <c r="C17" s="112"/>
      <c r="D17" s="112"/>
      <c r="E17" s="113"/>
      <c r="F17" s="113"/>
      <c r="G17" s="125"/>
      <c r="Y17" s="113"/>
      <c r="AD17" s="112"/>
    </row>
    <row r="18" spans="3:30" x14ac:dyDescent="0.25">
      <c r="C18" s="112"/>
      <c r="D18" s="112"/>
      <c r="E18" s="113"/>
      <c r="F18" s="113"/>
      <c r="G18" s="125"/>
      <c r="I18" s="10"/>
      <c r="J18" s="10"/>
      <c r="K18" s="10"/>
      <c r="L18" s="10"/>
      <c r="M18" s="10"/>
      <c r="N18" s="10"/>
      <c r="O18" s="10"/>
      <c r="P18" s="10"/>
      <c r="Q18" s="10"/>
      <c r="R18" s="10"/>
      <c r="S18" s="11"/>
      <c r="T18" s="10"/>
      <c r="U18" s="12"/>
      <c r="X18" s="10"/>
      <c r="Y18" s="113"/>
      <c r="AD18" s="112"/>
    </row>
    <row r="19" spans="3:30" x14ac:dyDescent="0.25">
      <c r="C19" s="112"/>
      <c r="D19" s="112"/>
      <c r="E19" s="113"/>
      <c r="F19" s="113"/>
      <c r="G19" s="125"/>
      <c r="I19" s="10"/>
      <c r="J19" s="10"/>
      <c r="K19" s="10"/>
      <c r="L19" s="10"/>
      <c r="M19" s="10"/>
      <c r="N19" s="10"/>
      <c r="O19" s="10"/>
      <c r="P19" s="10"/>
      <c r="Q19" s="10"/>
      <c r="R19" s="10"/>
      <c r="S19" s="11"/>
      <c r="T19" s="10"/>
      <c r="U19" s="12"/>
      <c r="X19" s="10"/>
      <c r="Y19" s="113"/>
      <c r="AD19" s="112"/>
    </row>
    <row r="20" spans="3:30" x14ac:dyDescent="0.25">
      <c r="C20" s="112"/>
      <c r="D20" s="112"/>
      <c r="E20" s="113"/>
      <c r="F20" s="113"/>
      <c r="G20" s="125"/>
      <c r="I20" s="10"/>
      <c r="J20" s="10"/>
      <c r="K20" s="10"/>
      <c r="L20" s="10"/>
      <c r="M20" s="10"/>
      <c r="N20" s="10"/>
      <c r="O20" s="10"/>
      <c r="P20" s="10"/>
      <c r="Q20" s="10"/>
      <c r="R20" s="10"/>
      <c r="S20" s="11"/>
      <c r="T20" s="10"/>
      <c r="U20" s="12"/>
      <c r="X20" s="10"/>
      <c r="Y20" s="113"/>
      <c r="AD20" s="112"/>
    </row>
    <row r="21" spans="3:30" x14ac:dyDescent="0.25">
      <c r="C21" s="112"/>
      <c r="D21" s="112"/>
      <c r="E21" s="113"/>
      <c r="F21" s="113"/>
      <c r="G21" s="125"/>
      <c r="I21" s="10"/>
      <c r="J21" s="10"/>
      <c r="K21" s="10"/>
      <c r="L21" s="10"/>
      <c r="M21" s="10"/>
      <c r="N21" s="10"/>
      <c r="O21" s="10"/>
      <c r="P21" s="10"/>
      <c r="Q21" s="10"/>
      <c r="R21" s="10"/>
      <c r="S21" s="11"/>
      <c r="T21" s="10"/>
      <c r="U21" s="12"/>
      <c r="X21" s="10"/>
      <c r="Y21" s="113"/>
      <c r="AD21" s="112"/>
    </row>
    <row r="22" spans="3:30" x14ac:dyDescent="0.25">
      <c r="C22" s="112"/>
      <c r="D22" s="112"/>
      <c r="E22" s="113"/>
      <c r="F22" s="113"/>
      <c r="G22" s="125"/>
      <c r="H22" s="9"/>
      <c r="I22" s="10"/>
      <c r="J22" s="10"/>
      <c r="K22" s="10"/>
      <c r="L22" s="10"/>
      <c r="M22" s="10"/>
      <c r="N22" s="10"/>
      <c r="O22" s="10"/>
      <c r="P22" s="10"/>
      <c r="Q22" s="10"/>
      <c r="R22" s="10"/>
      <c r="S22" s="11"/>
      <c r="T22" s="10"/>
      <c r="U22" s="12"/>
      <c r="V22" s="10"/>
      <c r="W22" s="10"/>
      <c r="X22" s="10"/>
      <c r="Y22" s="113"/>
      <c r="Z22" s="10"/>
      <c r="AA22" s="10"/>
      <c r="AB22" s="10"/>
      <c r="AC22" s="11"/>
      <c r="AD22" s="112"/>
    </row>
    <row r="23" spans="3:30" x14ac:dyDescent="0.25">
      <c r="C23" s="112"/>
      <c r="D23" s="112"/>
      <c r="E23" s="113"/>
      <c r="F23" s="113"/>
      <c r="G23" s="125"/>
      <c r="Y23" s="113"/>
      <c r="AD23" s="112"/>
    </row>
    <row r="24" spans="3:30" x14ac:dyDescent="0.25">
      <c r="C24" s="114"/>
      <c r="D24" s="114"/>
      <c r="E24" s="115"/>
      <c r="F24" s="115"/>
      <c r="G24" s="126"/>
      <c r="H24" s="116"/>
      <c r="I24" s="117"/>
      <c r="J24" s="117"/>
      <c r="K24" s="117"/>
      <c r="L24" s="117"/>
      <c r="M24" s="117"/>
      <c r="N24" s="117"/>
      <c r="O24" s="117"/>
      <c r="P24" s="117"/>
      <c r="Q24" s="117"/>
      <c r="R24" s="117"/>
      <c r="S24" s="118"/>
      <c r="T24" s="117"/>
      <c r="U24" s="119"/>
      <c r="V24" s="117"/>
      <c r="W24" s="117"/>
      <c r="X24" s="117"/>
      <c r="Y24" s="115"/>
      <c r="Z24" s="117"/>
      <c r="AA24" s="117"/>
      <c r="AB24" s="117"/>
      <c r="AC24" s="118"/>
      <c r="AD24" s="114"/>
    </row>
    <row r="25" spans="3:30" x14ac:dyDescent="0.25">
      <c r="C25" s="114"/>
      <c r="D25" s="114"/>
      <c r="E25" s="115"/>
      <c r="F25" s="115"/>
      <c r="G25" s="126"/>
      <c r="H25" s="116"/>
      <c r="I25" s="117"/>
      <c r="J25" s="117"/>
      <c r="K25" s="117"/>
      <c r="L25" s="117"/>
      <c r="M25" s="117"/>
      <c r="N25" s="117"/>
      <c r="O25" s="117"/>
      <c r="P25" s="117"/>
      <c r="Q25" s="117"/>
      <c r="R25" s="117"/>
      <c r="S25" s="118"/>
      <c r="T25" s="117"/>
      <c r="U25" s="119"/>
      <c r="V25" s="117"/>
      <c r="W25" s="117"/>
      <c r="X25" s="117"/>
      <c r="Y25" s="115"/>
      <c r="Z25" s="117"/>
      <c r="AA25" s="117"/>
      <c r="AB25" s="117"/>
      <c r="AC25" s="118"/>
      <c r="AD25" s="114"/>
    </row>
  </sheetData>
  <conditionalFormatting sqref="C5">
    <cfRule type="beginsWith" dxfId="10" priority="1" operator="beginsWith" text="OUT OF DATE">
      <formula>LEFT(C5,LEN("OUT OF DATE"))="OUT OF DATE"</formula>
    </cfRule>
  </conditionalFormatting>
  <conditionalFormatting sqref="C7:AD100000">
    <cfRule type="expression" dxfId="19" priority="2">
      <formula>OR(LEFT($AD7,7)="INVALID",LEFT($AD7,10)="INCOMPLETE")</formula>
    </cfRule>
  </conditionalFormatting>
  <pageMargins left="0.4" right="0.4" top="0.5" bottom="0.5" header="0.3" footer="0.3"/>
  <pageSetup paperSize="9" fitToHeight="0" orientation="landscape"/>
  <drawing r:id="rId1"/>
  <legacyDrawing r:id="rId2"/>
  <mc:AlternateContent xmlns:mc="http://schemas.openxmlformats.org/markup-compatibility/2006">
    <mc:Choice Requires="x14">
      <controls>
        <mc:AlternateContent xmlns:mc="http://schemas.openxmlformats.org/markup-compatibility/2006">
          <mc:Choice Requires="x14">
            <control shapeId="3073" r:id="rId3" name="Button 1">
              <controlPr defaultSize="0" print="0" autoFill="0" autoPict="0" macro="[0]!RunSACCR">
                <anchor moveWithCells="1" sizeWithCells="1">
                  <from>
                    <xdr:col>6</xdr:col>
                    <xdr:colOff>0</xdr:colOff>
                    <xdr:row>2</xdr:row>
                    <xdr:rowOff>38100</xdr:rowOff>
                  </from>
                  <to>
                    <xdr:col>8</xdr:col>
                    <xdr:colOff>28575</xdr:colOff>
                    <xdr:row>2</xdr:row>
                    <xdr:rowOff>285750</xdr:rowOff>
                  </to>
                </anchor>
              </controlPr>
            </control>
          </mc:Choice>
        </mc:AlternateContent>
        <mc:AlternateContent xmlns:mc="http://schemas.openxmlformats.org/markup-compatibility/2006">
          <mc:Choice Requires="x14">
            <control shapeId="3074" r:id="rId4" name="Button 2">
              <controlPr defaultSize="0" print="0" autoFill="0" autoPict="0" macro="[0]!ValidateInputs">
                <anchor moveWithCells="1" sizeWithCells="1">
                  <from>
                    <xdr:col>8</xdr:col>
                    <xdr:colOff>123825</xdr:colOff>
                    <xdr:row>2</xdr:row>
                    <xdr:rowOff>38100</xdr:rowOff>
                  </from>
                  <to>
                    <xdr:col>9</xdr:col>
                    <xdr:colOff>200025</xdr:colOff>
                    <xdr:row>2</xdr:row>
                    <xdr:rowOff>285750</xdr:rowOff>
                  </to>
                </anchor>
              </controlPr>
            </control>
          </mc:Choice>
        </mc:AlternateContent>
        <mc:AlternateContent xmlns:mc="http://schemas.openxmlformats.org/markup-compatibility/2006">
          <mc:Choice Requires="x14">
            <control shapeId="3075" r:id="rId5" name="Button 3">
              <controlPr defaultSize="0" print="0" autoFill="0" autoPict="0" macro="[0]!ClearOutputs">
                <anchor moveWithCells="1" sizeWithCells="1">
                  <from>
                    <xdr:col>9</xdr:col>
                    <xdr:colOff>295275</xdr:colOff>
                    <xdr:row>2</xdr:row>
                    <xdr:rowOff>38100</xdr:rowOff>
                  </from>
                  <to>
                    <xdr:col>10</xdr:col>
                    <xdr:colOff>371475</xdr:colOff>
                    <xdr:row>2</xdr:row>
                    <xdr:rowOff>285750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HedgingSets">
    <tabColor rgb="FF2E75B6"/>
    <pageSetUpPr fitToPage="1"/>
  </sheetPr>
  <dimension ref="B1:AB43"/>
  <sheetViews>
    <sheetView showGridLines="0" zoomScaleNormal="100" workbookViewId="0">
      <pane xSplit="3" ySplit="5" topLeftCell="D6" activePane="bottomRight" state="frozen"/>
      <selection pane="topRight" activeCell="D3" sqref="D3"/>
      <selection pane="bottomLeft" activeCell="C7" sqref="C7"/>
      <selection pane="bottomRight" activeCell="A6" sqref="A6"/>
    </sheetView>
  </sheetViews>
  <sheetFormatPr defaultRowHeight="15" x14ac:dyDescent="0.25"/>
  <cols>
    <col min="1" max="2" width="4" customWidth="1"/>
    <col min="3" max="3" width="12.75" style="6" customWidth="1"/>
    <col min="4" max="4" width="8.75" style="6" customWidth="1"/>
    <col min="5" max="5" width="34.75" style="6" customWidth="1"/>
    <col min="6" max="6" width="7.75" style="9" customWidth="1"/>
    <col min="7" max="9" width="14.75" style="10" customWidth="1"/>
    <col min="10" max="11" width="15.75" style="10" customWidth="1"/>
    <col min="12" max="12" width="17.75" style="10" customWidth="1"/>
    <col min="13" max="14" width="15.75" style="10" customWidth="1"/>
    <col min="15" max="15" width="11.75" style="8" customWidth="1"/>
    <col min="16" max="16" width="9.75" style="15" customWidth="1"/>
  </cols>
  <sheetData>
    <row r="1" spans="2:28" ht="24" customHeight="1" x14ac:dyDescent="0.25">
      <c r="B1" s="24" t="s">
        <v>0</v>
      </c>
      <c r="C1" s="25"/>
      <c r="D1" s="26"/>
      <c r="E1" s="63"/>
      <c r="F1" s="63"/>
      <c r="G1" s="63"/>
      <c r="H1" s="63"/>
      <c r="I1" s="63"/>
      <c r="J1" s="63"/>
      <c r="K1" s="63"/>
      <c r="L1" s="63"/>
      <c r="M1" s="26"/>
      <c r="N1" s="26"/>
      <c r="O1" s="26"/>
      <c r="P1" s="26"/>
      <c r="Q1" s="63"/>
      <c r="R1" s="63"/>
      <c r="S1" s="63"/>
      <c r="T1" s="63"/>
      <c r="U1" s="63"/>
      <c r="V1" s="63"/>
      <c r="W1" s="63"/>
      <c r="X1" s="63"/>
      <c r="Y1" s="63"/>
      <c r="Z1" s="63"/>
      <c r="AA1" s="63"/>
      <c r="AB1" s="63"/>
    </row>
    <row r="2" spans="2:28" ht="26.1" customHeight="1" x14ac:dyDescent="0.25">
      <c r="B2" s="28" t="s">
        <v>450</v>
      </c>
      <c r="C2" s="29"/>
      <c r="D2" s="30"/>
      <c r="E2" s="65"/>
      <c r="F2" s="65"/>
      <c r="G2" s="65"/>
      <c r="H2" s="65"/>
      <c r="I2" s="65"/>
      <c r="J2" s="65"/>
      <c r="K2" s="65"/>
      <c r="L2" s="65"/>
      <c r="M2" s="30"/>
      <c r="N2" s="30"/>
      <c r="O2" s="30"/>
      <c r="P2" s="30"/>
      <c r="Q2" s="65"/>
      <c r="R2" s="65"/>
      <c r="S2" s="65"/>
      <c r="T2" s="65"/>
      <c r="U2" s="65"/>
      <c r="V2" s="65"/>
      <c r="W2" s="65"/>
      <c r="X2" s="65"/>
      <c r="Y2" s="65"/>
      <c r="Z2" s="65"/>
      <c r="AA2" s="65"/>
      <c r="AB2" s="65"/>
    </row>
    <row r="3" spans="2:28" ht="30" customHeight="1" x14ac:dyDescent="0.25">
      <c r="C3" s="2" t="s">
        <v>451</v>
      </c>
      <c r="O3" s="6"/>
    </row>
    <row r="4" spans="2:28" x14ac:dyDescent="0.25">
      <c r="O4" s="6"/>
    </row>
    <row r="5" spans="2:28" ht="42" customHeight="1" x14ac:dyDescent="0.25">
      <c r="C5" s="127" t="s">
        <v>233</v>
      </c>
      <c r="D5" s="128" t="s">
        <v>153</v>
      </c>
      <c r="E5" s="127" t="s">
        <v>452</v>
      </c>
      <c r="F5" s="128" t="s">
        <v>50</v>
      </c>
      <c r="G5" s="128" t="s">
        <v>453</v>
      </c>
      <c r="H5" s="128" t="s">
        <v>454</v>
      </c>
      <c r="I5" s="128" t="s">
        <v>455</v>
      </c>
      <c r="J5" s="128" t="s">
        <v>456</v>
      </c>
      <c r="K5" s="128" t="s">
        <v>457</v>
      </c>
      <c r="L5" s="128" t="s">
        <v>458</v>
      </c>
      <c r="M5" s="128" t="s">
        <v>459</v>
      </c>
      <c r="N5" s="128" t="s">
        <v>460</v>
      </c>
      <c r="O5" s="128" t="s">
        <v>917</v>
      </c>
      <c r="P5" s="128" t="s">
        <v>461</v>
      </c>
    </row>
    <row r="6" spans="2:28" x14ac:dyDescent="0.25">
      <c r="C6" s="112"/>
      <c r="D6" s="112"/>
      <c r="E6" s="112"/>
      <c r="F6" s="125"/>
      <c r="G6" s="10"/>
      <c r="H6" s="10"/>
      <c r="I6" s="10"/>
      <c r="J6" s="10"/>
      <c r="M6" s="10"/>
      <c r="N6" s="10"/>
      <c r="O6" s="113"/>
      <c r="P6" s="15"/>
    </row>
    <row r="7" spans="2:28" x14ac:dyDescent="0.25">
      <c r="C7" s="112"/>
      <c r="D7" s="112"/>
      <c r="E7" s="112"/>
      <c r="F7" s="125"/>
      <c r="G7" s="10"/>
      <c r="H7" s="10"/>
      <c r="I7" s="10"/>
      <c r="J7" s="10"/>
      <c r="M7" s="10"/>
      <c r="N7" s="10"/>
      <c r="O7" s="113"/>
      <c r="P7" s="15"/>
    </row>
    <row r="8" spans="2:28" x14ac:dyDescent="0.25">
      <c r="C8" s="112"/>
      <c r="D8" s="112"/>
      <c r="E8" s="112"/>
      <c r="F8" s="125"/>
      <c r="K8" s="10"/>
      <c r="L8" s="10"/>
      <c r="M8" s="10"/>
      <c r="N8" s="10"/>
      <c r="O8" s="113"/>
    </row>
    <row r="9" spans="2:28" x14ac:dyDescent="0.25">
      <c r="C9" s="112"/>
      <c r="D9" s="112"/>
      <c r="E9" s="112"/>
      <c r="F9" s="125"/>
      <c r="K9" s="10"/>
      <c r="L9" s="10"/>
      <c r="M9" s="10"/>
      <c r="N9" s="10"/>
      <c r="O9" s="113"/>
    </row>
    <row r="10" spans="2:28" x14ac:dyDescent="0.25">
      <c r="C10" s="112"/>
      <c r="D10" s="112"/>
      <c r="E10" s="112"/>
      <c r="F10" s="125"/>
      <c r="K10" s="10"/>
      <c r="L10" s="10"/>
      <c r="M10" s="10"/>
      <c r="N10" s="10"/>
      <c r="O10" s="113"/>
    </row>
    <row r="11" spans="2:28" x14ac:dyDescent="0.25">
      <c r="C11" s="112"/>
      <c r="D11" s="112"/>
      <c r="E11" s="112"/>
      <c r="F11" s="125"/>
      <c r="G11" s="10"/>
      <c r="H11" s="10"/>
      <c r="I11" s="10"/>
      <c r="J11" s="10"/>
      <c r="M11" s="10"/>
      <c r="N11" s="10"/>
      <c r="O11" s="113"/>
      <c r="P11" s="15"/>
    </row>
    <row r="12" spans="2:28" x14ac:dyDescent="0.25">
      <c r="C12" s="112"/>
      <c r="D12" s="112"/>
      <c r="E12" s="112"/>
      <c r="F12" s="125"/>
      <c r="G12" s="10"/>
      <c r="H12" s="10"/>
      <c r="I12" s="10"/>
      <c r="J12" s="10"/>
      <c r="M12" s="10"/>
      <c r="N12" s="10"/>
      <c r="O12" s="113"/>
      <c r="P12" s="15"/>
    </row>
    <row r="13" spans="2:28" x14ac:dyDescent="0.25">
      <c r="C13" s="112"/>
      <c r="D13" s="112"/>
      <c r="E13" s="112"/>
      <c r="F13" s="125"/>
      <c r="K13" s="10"/>
      <c r="L13" s="10"/>
      <c r="M13" s="10"/>
      <c r="N13" s="10"/>
      <c r="O13" s="113"/>
    </row>
    <row r="14" spans="2:28" x14ac:dyDescent="0.25">
      <c r="C14" s="112"/>
      <c r="D14" s="112"/>
      <c r="E14" s="112"/>
      <c r="F14" s="125"/>
      <c r="G14" s="10"/>
      <c r="H14" s="10"/>
      <c r="I14" s="10"/>
      <c r="J14" s="10"/>
      <c r="M14" s="10"/>
      <c r="N14" s="10"/>
      <c r="O14" s="113"/>
      <c r="P14" s="15"/>
    </row>
    <row r="15" spans="2:28" x14ac:dyDescent="0.25">
      <c r="C15" s="112"/>
      <c r="D15" s="112"/>
      <c r="E15" s="112"/>
      <c r="F15" s="125"/>
      <c r="G15" s="10"/>
      <c r="H15" s="10"/>
      <c r="I15" s="10"/>
      <c r="J15" s="10"/>
      <c r="M15" s="10"/>
      <c r="N15" s="10"/>
      <c r="O15" s="113"/>
      <c r="P15" s="15"/>
    </row>
    <row r="16" spans="2:28" x14ac:dyDescent="0.25">
      <c r="C16" s="112"/>
      <c r="D16" s="112"/>
      <c r="E16" s="112"/>
      <c r="F16" s="125"/>
      <c r="K16" s="10"/>
      <c r="L16" s="10"/>
      <c r="M16" s="10"/>
      <c r="N16" s="10"/>
      <c r="O16" s="113"/>
    </row>
    <row r="17" spans="3:16" x14ac:dyDescent="0.25">
      <c r="C17" s="112"/>
      <c r="D17" s="112"/>
      <c r="E17" s="112"/>
      <c r="F17" s="125"/>
      <c r="K17" s="10"/>
      <c r="L17" s="10"/>
      <c r="M17" s="10"/>
      <c r="N17" s="10"/>
      <c r="O17" s="113"/>
    </row>
    <row r="18" spans="3:16" x14ac:dyDescent="0.25">
      <c r="C18" s="112"/>
      <c r="D18" s="112"/>
      <c r="E18" s="112"/>
      <c r="F18" s="125"/>
      <c r="G18" s="10"/>
      <c r="H18" s="10"/>
      <c r="I18" s="10"/>
      <c r="J18" s="10"/>
      <c r="M18" s="10"/>
      <c r="N18" s="10"/>
      <c r="O18" s="113"/>
      <c r="P18" s="15"/>
    </row>
    <row r="19" spans="3:16" x14ac:dyDescent="0.25">
      <c r="C19" s="112"/>
      <c r="D19" s="112"/>
      <c r="E19" s="112"/>
      <c r="F19" s="125"/>
      <c r="G19" s="10"/>
      <c r="H19" s="10"/>
      <c r="I19" s="10"/>
      <c r="J19" s="10"/>
      <c r="M19" s="10"/>
      <c r="N19" s="10"/>
      <c r="O19" s="113"/>
      <c r="P19" s="15"/>
    </row>
    <row r="20" spans="3:16" x14ac:dyDescent="0.25">
      <c r="C20" s="112"/>
      <c r="D20" s="112"/>
      <c r="E20" s="112"/>
      <c r="F20" s="125"/>
      <c r="K20" s="10"/>
      <c r="L20" s="10"/>
      <c r="M20" s="10"/>
      <c r="N20" s="10"/>
      <c r="O20" s="113"/>
    </row>
    <row r="21" spans="3:16" x14ac:dyDescent="0.25">
      <c r="C21" s="112"/>
      <c r="D21" s="112"/>
      <c r="E21" s="112"/>
      <c r="F21" s="125"/>
      <c r="K21" s="10"/>
      <c r="L21" s="10"/>
      <c r="M21" s="10"/>
      <c r="N21" s="10"/>
      <c r="O21" s="113"/>
    </row>
    <row r="22" spans="3:16" x14ac:dyDescent="0.25">
      <c r="C22" s="112"/>
      <c r="D22" s="112"/>
      <c r="E22" s="112"/>
      <c r="F22" s="125"/>
      <c r="G22" s="10"/>
      <c r="H22" s="10"/>
      <c r="I22" s="10"/>
      <c r="J22" s="10"/>
      <c r="M22" s="10"/>
      <c r="N22" s="10"/>
      <c r="O22" s="113"/>
      <c r="P22" s="15"/>
    </row>
    <row r="23" spans="3:16" x14ac:dyDescent="0.25">
      <c r="C23" s="112"/>
      <c r="D23" s="112"/>
      <c r="E23" s="112"/>
      <c r="F23" s="125"/>
      <c r="G23" s="10"/>
      <c r="H23" s="10"/>
      <c r="I23" s="10"/>
      <c r="J23" s="10"/>
      <c r="M23" s="10"/>
      <c r="N23" s="10"/>
      <c r="O23" s="113"/>
      <c r="P23" s="15"/>
    </row>
    <row r="24" spans="3:16" x14ac:dyDescent="0.25">
      <c r="C24" s="112"/>
      <c r="D24" s="112"/>
      <c r="E24" s="112"/>
      <c r="F24" s="125"/>
      <c r="G24" s="10"/>
      <c r="H24" s="10"/>
      <c r="I24" s="10"/>
      <c r="J24" s="10"/>
      <c r="M24" s="10"/>
      <c r="N24" s="10"/>
      <c r="O24" s="113"/>
      <c r="P24" s="15"/>
    </row>
    <row r="25" spans="3:16" x14ac:dyDescent="0.25">
      <c r="C25" s="112"/>
      <c r="D25" s="112"/>
      <c r="E25" s="112"/>
      <c r="F25" s="125"/>
      <c r="G25" s="10"/>
      <c r="H25" s="10"/>
      <c r="I25" s="10"/>
      <c r="J25" s="10"/>
      <c r="M25" s="10"/>
      <c r="N25" s="10"/>
      <c r="O25" s="113"/>
      <c r="P25" s="15"/>
    </row>
    <row r="26" spans="3:16" x14ac:dyDescent="0.25">
      <c r="C26" s="112"/>
      <c r="D26" s="112"/>
      <c r="E26" s="112"/>
      <c r="F26" s="125"/>
      <c r="G26" s="10"/>
      <c r="H26" s="10"/>
      <c r="I26" s="10"/>
      <c r="J26" s="10"/>
      <c r="M26" s="10"/>
      <c r="N26" s="10"/>
      <c r="O26" s="113"/>
      <c r="P26" s="15"/>
    </row>
    <row r="27" spans="3:16" x14ac:dyDescent="0.25">
      <c r="C27" s="112"/>
      <c r="D27" s="112"/>
      <c r="E27" s="112"/>
      <c r="F27" s="125"/>
      <c r="K27" s="10"/>
      <c r="L27" s="10"/>
      <c r="M27" s="10"/>
      <c r="N27" s="10"/>
      <c r="O27" s="113"/>
    </row>
    <row r="28" spans="3:16" x14ac:dyDescent="0.25">
      <c r="C28" s="112"/>
      <c r="D28" s="112"/>
      <c r="E28" s="112"/>
      <c r="F28" s="125"/>
      <c r="J28" s="10"/>
      <c r="M28" s="10"/>
      <c r="N28" s="10"/>
      <c r="O28" s="113"/>
      <c r="P28" s="15"/>
    </row>
    <row r="29" spans="3:16" x14ac:dyDescent="0.25">
      <c r="C29" s="112"/>
      <c r="D29" s="112"/>
      <c r="E29" s="112"/>
      <c r="F29" s="125"/>
      <c r="J29" s="10"/>
      <c r="M29" s="10"/>
      <c r="N29" s="10"/>
      <c r="O29" s="113"/>
      <c r="P29" s="15"/>
    </row>
    <row r="30" spans="3:16" x14ac:dyDescent="0.25">
      <c r="C30" s="112"/>
      <c r="D30" s="112"/>
      <c r="E30" s="112"/>
      <c r="F30" s="125"/>
      <c r="K30" s="10"/>
      <c r="L30" s="10"/>
      <c r="M30" s="10"/>
      <c r="N30" s="10"/>
      <c r="O30" s="113"/>
    </row>
    <row r="31" spans="3:16" x14ac:dyDescent="0.25">
      <c r="C31" s="112"/>
      <c r="D31" s="112"/>
      <c r="E31" s="112"/>
      <c r="F31" s="125"/>
      <c r="G31" s="10"/>
      <c r="H31" s="10"/>
      <c r="I31" s="10"/>
      <c r="J31" s="10"/>
      <c r="M31" s="10"/>
      <c r="N31" s="10"/>
      <c r="O31" s="113"/>
      <c r="P31" s="15"/>
    </row>
    <row r="32" spans="3:16" x14ac:dyDescent="0.25">
      <c r="C32" s="112"/>
      <c r="D32" s="112"/>
      <c r="E32" s="112"/>
      <c r="F32" s="125"/>
      <c r="G32" s="10"/>
      <c r="H32" s="10"/>
      <c r="I32" s="10"/>
      <c r="J32" s="10"/>
      <c r="M32" s="10"/>
      <c r="N32" s="10"/>
      <c r="O32" s="113"/>
      <c r="P32" s="15"/>
    </row>
    <row r="33" spans="3:16" x14ac:dyDescent="0.25">
      <c r="C33" s="112"/>
      <c r="D33" s="112"/>
      <c r="E33" s="112"/>
      <c r="F33" s="125"/>
      <c r="G33" s="10"/>
      <c r="H33" s="10"/>
      <c r="I33" s="10"/>
      <c r="J33" s="10"/>
      <c r="M33" s="10"/>
      <c r="N33" s="10"/>
      <c r="O33" s="113"/>
      <c r="P33" s="15"/>
    </row>
    <row r="34" spans="3:16" x14ac:dyDescent="0.25">
      <c r="C34" s="112"/>
      <c r="D34" s="112"/>
      <c r="E34" s="112"/>
      <c r="F34" s="125"/>
      <c r="J34" s="10"/>
      <c r="M34" s="10"/>
      <c r="N34" s="10"/>
      <c r="O34" s="113"/>
      <c r="P34" s="15"/>
    </row>
    <row r="35" spans="3:16" x14ac:dyDescent="0.25">
      <c r="C35" s="112"/>
      <c r="D35" s="112"/>
      <c r="E35" s="112"/>
      <c r="F35" s="125"/>
      <c r="J35" s="10"/>
      <c r="M35" s="10"/>
      <c r="N35" s="10"/>
      <c r="O35" s="113"/>
      <c r="P35" s="15"/>
    </row>
    <row r="36" spans="3:16" x14ac:dyDescent="0.25">
      <c r="C36" s="112"/>
      <c r="D36" s="112"/>
      <c r="E36" s="112"/>
      <c r="F36" s="125"/>
      <c r="J36" s="10"/>
      <c r="M36" s="10"/>
      <c r="N36" s="10"/>
      <c r="O36" s="113"/>
      <c r="P36" s="15"/>
    </row>
    <row r="37" spans="3:16" x14ac:dyDescent="0.25">
      <c r="C37" s="112"/>
      <c r="D37" s="112"/>
      <c r="E37" s="112"/>
      <c r="F37" s="125"/>
      <c r="G37" s="10"/>
      <c r="H37" s="10"/>
      <c r="I37" s="10"/>
      <c r="J37" s="10"/>
      <c r="M37" s="10"/>
      <c r="N37" s="10"/>
      <c r="O37" s="113"/>
      <c r="P37" s="15"/>
    </row>
    <row r="38" spans="3:16" x14ac:dyDescent="0.25">
      <c r="C38" s="112"/>
      <c r="D38" s="112"/>
      <c r="E38" s="112"/>
      <c r="F38" s="125"/>
      <c r="K38" s="10"/>
      <c r="L38" s="10"/>
      <c r="M38" s="10"/>
      <c r="N38" s="10"/>
      <c r="O38" s="113"/>
    </row>
    <row r="39" spans="3:16" x14ac:dyDescent="0.25">
      <c r="C39" s="112"/>
      <c r="D39" s="112"/>
      <c r="E39" s="112"/>
      <c r="F39" s="125"/>
      <c r="K39" s="10"/>
      <c r="L39" s="10"/>
      <c r="M39" s="10"/>
      <c r="N39" s="10"/>
      <c r="O39" s="113"/>
    </row>
    <row r="40" spans="3:16" x14ac:dyDescent="0.25">
      <c r="C40" s="112"/>
      <c r="D40" s="112"/>
      <c r="E40" s="112"/>
      <c r="F40" s="125"/>
      <c r="K40" s="10"/>
      <c r="L40" s="10"/>
      <c r="M40" s="10"/>
      <c r="N40" s="10"/>
      <c r="O40" s="113"/>
    </row>
    <row r="41" spans="3:16" x14ac:dyDescent="0.25">
      <c r="C41" s="112"/>
      <c r="D41" s="112"/>
      <c r="E41" s="112"/>
      <c r="F41" s="125"/>
      <c r="K41" s="10"/>
      <c r="L41" s="10"/>
      <c r="M41" s="10"/>
      <c r="N41" s="10"/>
      <c r="O41" s="113"/>
    </row>
    <row r="42" spans="3:16" x14ac:dyDescent="0.25">
      <c r="C42" s="112"/>
      <c r="D42" s="112"/>
      <c r="E42" s="112"/>
      <c r="F42" s="125"/>
      <c r="K42" s="10"/>
      <c r="L42" s="10"/>
      <c r="M42" s="10"/>
      <c r="N42" s="10"/>
      <c r="O42" s="113"/>
    </row>
    <row r="43" spans="3:16" x14ac:dyDescent="0.25">
      <c r="C43" s="112"/>
      <c r="D43" s="112"/>
      <c r="E43" s="112"/>
      <c r="F43" s="125"/>
      <c r="K43" s="10"/>
      <c r="L43" s="10"/>
      <c r="M43" s="10"/>
      <c r="N43" s="10"/>
      <c r="O43" s="113"/>
    </row>
  </sheetData>
  <pageMargins left="0.4" right="0.4" top="0.5" bottom="0.5" header="0.3" footer="0.3"/>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Buckets">
    <tabColor rgb="FF2E75B6"/>
    <pageSetUpPr fitToPage="1"/>
  </sheetPr>
  <dimension ref="B1:AB60"/>
  <sheetViews>
    <sheetView showGridLines="0" zoomScaleNormal="100" workbookViewId="0">
      <pane xSplit="3" ySplit="5" topLeftCell="D6" activePane="bottomRight" state="frozen"/>
      <selection pane="topRight" activeCell="D3" sqref="D3"/>
      <selection pane="bottomLeft" activeCell="C7" sqref="C7"/>
      <selection pane="bottomRight" activeCell="J5" sqref="J5"/>
    </sheetView>
  </sheetViews>
  <sheetFormatPr defaultRowHeight="15" x14ac:dyDescent="0.25"/>
  <cols>
    <col min="1" max="2" width="4" customWidth="1"/>
    <col min="3" max="3" width="12.75" style="6" customWidth="1"/>
    <col min="4" max="4" width="8.75" style="8" customWidth="1"/>
    <col min="5" max="5" width="34.75" style="6" customWidth="1"/>
    <col min="6" max="6" width="26.75" style="6" customWidth="1"/>
    <col min="7" max="7" width="7.75" style="125" customWidth="1"/>
    <col min="8" max="8" width="8.75" style="15" customWidth="1"/>
    <col min="9" max="9" width="10.625" style="16" customWidth="1"/>
    <col min="10" max="13" width="16.75" style="10" customWidth="1"/>
  </cols>
  <sheetData>
    <row r="1" spans="2:28" ht="24" customHeight="1" x14ac:dyDescent="0.25">
      <c r="B1" s="24" t="s">
        <v>0</v>
      </c>
      <c r="C1" s="25"/>
      <c r="D1" s="26"/>
      <c r="E1" s="63"/>
      <c r="F1" s="63"/>
      <c r="G1" s="63"/>
      <c r="H1" s="63"/>
      <c r="I1" s="63"/>
      <c r="J1" s="63"/>
      <c r="K1" s="63"/>
      <c r="L1" s="63"/>
      <c r="M1" s="26"/>
      <c r="N1" s="26"/>
      <c r="O1" s="26"/>
      <c r="P1" s="26"/>
      <c r="Q1" s="63"/>
      <c r="R1" s="63"/>
      <c r="S1" s="63"/>
      <c r="T1" s="63"/>
      <c r="U1" s="63"/>
      <c r="V1" s="63"/>
      <c r="W1" s="63"/>
      <c r="X1" s="63"/>
      <c r="Y1" s="63"/>
      <c r="Z1" s="63"/>
      <c r="AA1" s="63"/>
      <c r="AB1" s="63"/>
    </row>
    <row r="2" spans="2:28" ht="26.1" customHeight="1" x14ac:dyDescent="0.25">
      <c r="B2" s="28" t="s">
        <v>463</v>
      </c>
      <c r="C2" s="29"/>
      <c r="D2" s="30"/>
      <c r="E2" s="65"/>
      <c r="F2" s="65"/>
      <c r="G2" s="65"/>
      <c r="H2" s="65"/>
      <c r="I2" s="65"/>
      <c r="J2" s="65"/>
      <c r="K2" s="65"/>
      <c r="L2" s="65"/>
      <c r="M2" s="30"/>
      <c r="N2" s="30"/>
      <c r="O2" s="30"/>
      <c r="P2" s="30"/>
      <c r="Q2" s="65"/>
      <c r="R2" s="65"/>
      <c r="S2" s="65"/>
      <c r="T2" s="65"/>
      <c r="U2" s="65"/>
      <c r="V2" s="65"/>
      <c r="W2" s="65"/>
      <c r="X2" s="65"/>
      <c r="Y2" s="65"/>
      <c r="Z2" s="65"/>
      <c r="AA2" s="65"/>
      <c r="AB2" s="65"/>
    </row>
    <row r="3" spans="2:28" ht="30" customHeight="1" x14ac:dyDescent="0.25">
      <c r="C3" s="2" t="s">
        <v>464</v>
      </c>
      <c r="D3" s="6"/>
      <c r="G3" s="9"/>
    </row>
    <row r="4" spans="2:28" x14ac:dyDescent="0.25">
      <c r="D4" s="6"/>
      <c r="G4" s="9"/>
    </row>
    <row r="5" spans="2:28" ht="42" customHeight="1" x14ac:dyDescent="0.25">
      <c r="C5" s="127" t="s">
        <v>233</v>
      </c>
      <c r="D5" s="128" t="s">
        <v>153</v>
      </c>
      <c r="E5" s="127" t="s">
        <v>452</v>
      </c>
      <c r="F5" s="127" t="s">
        <v>465</v>
      </c>
      <c r="G5" s="128" t="s">
        <v>50</v>
      </c>
      <c r="H5" s="128" t="s">
        <v>466</v>
      </c>
      <c r="I5" s="127" t="s">
        <v>156</v>
      </c>
      <c r="J5" s="128" t="s">
        <v>467</v>
      </c>
      <c r="K5" s="128" t="s">
        <v>468</v>
      </c>
      <c r="L5" s="128" t="s">
        <v>469</v>
      </c>
      <c r="M5" s="128" t="s">
        <v>470</v>
      </c>
    </row>
    <row r="6" spans="2:28" x14ac:dyDescent="0.25">
      <c r="C6" s="112"/>
      <c r="D6" s="113"/>
      <c r="E6" s="112"/>
      <c r="F6" s="112"/>
      <c r="G6" s="125"/>
      <c r="H6" s="15"/>
      <c r="J6" s="10"/>
    </row>
    <row r="7" spans="2:28" x14ac:dyDescent="0.25">
      <c r="C7" s="112"/>
      <c r="D7" s="113"/>
      <c r="E7" s="112"/>
      <c r="F7" s="112"/>
      <c r="G7" s="125"/>
      <c r="H7" s="15"/>
      <c r="J7" s="10"/>
    </row>
    <row r="8" spans="2:28" x14ac:dyDescent="0.25">
      <c r="C8" s="112"/>
      <c r="D8" s="113"/>
      <c r="E8" s="112"/>
      <c r="F8" s="112"/>
      <c r="G8" s="125"/>
      <c r="H8" s="15"/>
      <c r="J8" s="10"/>
    </row>
    <row r="9" spans="2:28" x14ac:dyDescent="0.25">
      <c r="C9" s="112"/>
      <c r="D9" s="113"/>
      <c r="E9" s="112"/>
      <c r="F9" s="112"/>
      <c r="G9" s="125"/>
      <c r="H9" s="15"/>
      <c r="I9" s="16"/>
      <c r="J9" s="10"/>
      <c r="L9" s="10"/>
    </row>
    <row r="10" spans="2:28" x14ac:dyDescent="0.25">
      <c r="C10" s="112"/>
      <c r="D10" s="113"/>
      <c r="E10" s="112"/>
      <c r="F10" s="112"/>
      <c r="G10" s="125"/>
      <c r="H10" s="15"/>
      <c r="I10" s="16"/>
      <c r="J10" s="10"/>
      <c r="L10" s="10"/>
    </row>
    <row r="11" spans="2:28" x14ac:dyDescent="0.25">
      <c r="C11" s="112"/>
      <c r="D11" s="113"/>
      <c r="E11" s="112"/>
      <c r="F11" s="112"/>
      <c r="G11" s="125"/>
      <c r="H11" s="15"/>
      <c r="I11" s="16"/>
      <c r="J11" s="10"/>
      <c r="L11" s="10"/>
    </row>
    <row r="12" spans="2:28" x14ac:dyDescent="0.25">
      <c r="C12" s="112"/>
      <c r="D12" s="113"/>
      <c r="E12" s="112"/>
      <c r="F12" s="112"/>
      <c r="G12" s="125"/>
      <c r="H12" s="15"/>
      <c r="I12" s="16"/>
      <c r="J12" s="10"/>
      <c r="L12" s="10"/>
    </row>
    <row r="13" spans="2:28" x14ac:dyDescent="0.25">
      <c r="C13" s="112"/>
      <c r="D13" s="113"/>
      <c r="E13" s="112"/>
      <c r="F13" s="112"/>
      <c r="G13" s="125"/>
      <c r="H13" s="15"/>
      <c r="I13" s="16"/>
      <c r="J13" s="10"/>
      <c r="L13" s="10"/>
    </row>
    <row r="14" spans="2:28" x14ac:dyDescent="0.25">
      <c r="C14" s="112"/>
      <c r="D14" s="113"/>
      <c r="E14" s="112"/>
      <c r="F14" s="112"/>
      <c r="G14" s="125"/>
      <c r="H14" s="15"/>
      <c r="J14" s="10"/>
    </row>
    <row r="15" spans="2:28" x14ac:dyDescent="0.25">
      <c r="C15" s="112"/>
      <c r="D15" s="113"/>
      <c r="E15" s="112"/>
      <c r="F15" s="112"/>
      <c r="G15" s="125"/>
      <c r="H15" s="15"/>
      <c r="J15" s="10"/>
    </row>
    <row r="16" spans="2:28" x14ac:dyDescent="0.25">
      <c r="C16" s="112"/>
      <c r="D16" s="113"/>
      <c r="E16" s="112"/>
      <c r="F16" s="112"/>
      <c r="G16" s="125"/>
      <c r="H16" s="15"/>
      <c r="J16" s="10"/>
    </row>
    <row r="17" spans="3:13" x14ac:dyDescent="0.25">
      <c r="C17" s="112"/>
      <c r="D17" s="113"/>
      <c r="E17" s="112"/>
      <c r="F17" s="112"/>
      <c r="G17" s="125"/>
      <c r="H17" s="15"/>
      <c r="I17" s="16"/>
      <c r="J17" s="10"/>
      <c r="L17" s="10"/>
    </row>
    <row r="18" spans="3:13" x14ac:dyDescent="0.25">
      <c r="C18" s="112"/>
      <c r="D18" s="113"/>
      <c r="E18" s="112"/>
      <c r="F18" s="112"/>
      <c r="G18" s="125"/>
      <c r="H18" s="15"/>
      <c r="I18" s="16"/>
      <c r="J18" s="10"/>
      <c r="L18" s="10"/>
    </row>
    <row r="19" spans="3:13" x14ac:dyDescent="0.25">
      <c r="C19" s="112"/>
      <c r="D19" s="113"/>
      <c r="E19" s="112"/>
      <c r="F19" s="112"/>
      <c r="G19" s="125"/>
      <c r="H19" s="15"/>
      <c r="I19" s="16"/>
      <c r="J19" s="10"/>
      <c r="L19" s="10"/>
    </row>
    <row r="20" spans="3:13" x14ac:dyDescent="0.25">
      <c r="C20" s="112"/>
      <c r="D20" s="113"/>
      <c r="E20" s="112"/>
      <c r="F20" s="112"/>
      <c r="G20" s="125"/>
      <c r="H20" s="15"/>
      <c r="J20" s="10"/>
      <c r="K20" s="10"/>
    </row>
    <row r="21" spans="3:13" x14ac:dyDescent="0.25">
      <c r="C21" s="112"/>
      <c r="D21" s="113"/>
      <c r="E21" s="112"/>
      <c r="F21" s="112"/>
      <c r="G21" s="125"/>
      <c r="H21" s="15"/>
      <c r="J21" s="10"/>
      <c r="K21" s="10"/>
    </row>
    <row r="22" spans="3:13" x14ac:dyDescent="0.25">
      <c r="C22" s="112"/>
      <c r="D22" s="113"/>
      <c r="E22" s="112"/>
      <c r="F22" s="112"/>
      <c r="G22" s="125"/>
      <c r="H22" s="15"/>
      <c r="J22" s="10"/>
      <c r="K22" s="10"/>
    </row>
    <row r="23" spans="3:13" x14ac:dyDescent="0.25">
      <c r="C23" s="112"/>
      <c r="D23" s="113"/>
      <c r="E23" s="112"/>
      <c r="F23" s="112"/>
      <c r="G23" s="125"/>
      <c r="H23" s="15"/>
      <c r="I23" s="16"/>
      <c r="J23" s="10"/>
      <c r="K23" s="10"/>
      <c r="L23" s="10"/>
      <c r="M23" s="10"/>
    </row>
    <row r="24" spans="3:13" x14ac:dyDescent="0.25">
      <c r="C24" s="112"/>
      <c r="D24" s="113"/>
      <c r="E24" s="112"/>
      <c r="F24" s="112"/>
      <c r="G24" s="125"/>
      <c r="H24" s="15"/>
      <c r="I24" s="16"/>
      <c r="J24" s="10"/>
      <c r="K24" s="10"/>
      <c r="L24" s="10"/>
      <c r="M24" s="10"/>
    </row>
    <row r="25" spans="3:13" x14ac:dyDescent="0.25">
      <c r="C25" s="112"/>
      <c r="D25" s="113"/>
      <c r="E25" s="112"/>
      <c r="F25" s="112"/>
      <c r="G25" s="125"/>
      <c r="H25" s="15"/>
      <c r="J25" s="10"/>
      <c r="K25" s="10"/>
    </row>
    <row r="26" spans="3:13" x14ac:dyDescent="0.25">
      <c r="C26" s="112"/>
      <c r="D26" s="113"/>
      <c r="E26" s="112"/>
      <c r="F26" s="112"/>
      <c r="G26" s="125"/>
      <c r="H26" s="15"/>
      <c r="J26" s="10"/>
      <c r="K26" s="10"/>
    </row>
    <row r="27" spans="3:13" x14ac:dyDescent="0.25">
      <c r="C27" s="112"/>
      <c r="D27" s="113"/>
      <c r="E27" s="112"/>
      <c r="F27" s="112"/>
      <c r="G27" s="125"/>
      <c r="H27" s="15"/>
      <c r="J27" s="10"/>
      <c r="K27" s="10"/>
    </row>
    <row r="28" spans="3:13" x14ac:dyDescent="0.25">
      <c r="C28" s="112"/>
      <c r="D28" s="113"/>
      <c r="E28" s="112"/>
      <c r="F28" s="112"/>
      <c r="G28" s="125"/>
      <c r="H28" s="15"/>
      <c r="I28" s="16"/>
      <c r="J28" s="10"/>
      <c r="K28" s="10"/>
      <c r="L28" s="10"/>
      <c r="M28" s="10"/>
    </row>
    <row r="29" spans="3:13" x14ac:dyDescent="0.25">
      <c r="C29" s="112"/>
      <c r="D29" s="113"/>
      <c r="E29" s="112"/>
      <c r="F29" s="112"/>
      <c r="G29" s="125"/>
      <c r="H29" s="15"/>
      <c r="I29" s="16"/>
      <c r="J29" s="10"/>
      <c r="K29" s="10"/>
      <c r="L29" s="10"/>
      <c r="M29" s="10"/>
    </row>
    <row r="30" spans="3:13" x14ac:dyDescent="0.25">
      <c r="C30" s="112"/>
      <c r="D30" s="113"/>
      <c r="E30" s="112"/>
      <c r="F30" s="112"/>
      <c r="G30" s="125"/>
      <c r="H30" s="15"/>
      <c r="J30" s="10"/>
    </row>
    <row r="31" spans="3:13" x14ac:dyDescent="0.25">
      <c r="C31" s="112"/>
      <c r="D31" s="113"/>
      <c r="E31" s="112"/>
      <c r="F31" s="112"/>
      <c r="G31" s="125"/>
      <c r="H31" s="15"/>
      <c r="J31" s="10"/>
    </row>
    <row r="32" spans="3:13" x14ac:dyDescent="0.25">
      <c r="C32" s="112"/>
      <c r="D32" s="113"/>
      <c r="E32" s="112"/>
      <c r="F32" s="112"/>
      <c r="G32" s="125"/>
      <c r="H32" s="15"/>
      <c r="J32" s="10"/>
    </row>
    <row r="33" spans="3:13" x14ac:dyDescent="0.25">
      <c r="C33" s="112"/>
      <c r="D33" s="113"/>
      <c r="E33" s="112"/>
      <c r="F33" s="112"/>
      <c r="G33" s="125"/>
      <c r="H33" s="15"/>
      <c r="J33" s="10"/>
      <c r="K33" s="10"/>
    </row>
    <row r="34" spans="3:13" x14ac:dyDescent="0.25">
      <c r="C34" s="112"/>
      <c r="D34" s="113"/>
      <c r="E34" s="112"/>
      <c r="F34" s="112"/>
      <c r="G34" s="125"/>
      <c r="H34" s="15"/>
      <c r="J34" s="10"/>
      <c r="K34" s="10"/>
    </row>
    <row r="35" spans="3:13" x14ac:dyDescent="0.25">
      <c r="C35" s="112"/>
      <c r="D35" s="113"/>
      <c r="E35" s="112"/>
      <c r="F35" s="112"/>
      <c r="G35" s="125"/>
      <c r="H35" s="15"/>
      <c r="J35" s="10"/>
    </row>
    <row r="36" spans="3:13" x14ac:dyDescent="0.25">
      <c r="C36" s="112"/>
      <c r="D36" s="113"/>
      <c r="E36" s="112"/>
      <c r="F36" s="112"/>
      <c r="G36" s="125"/>
      <c r="H36" s="15"/>
      <c r="I36" s="16"/>
      <c r="J36" s="10"/>
      <c r="L36" s="10"/>
    </row>
    <row r="37" spans="3:13" x14ac:dyDescent="0.25">
      <c r="C37" s="112"/>
      <c r="D37" s="113"/>
      <c r="E37" s="112"/>
      <c r="F37" s="112"/>
      <c r="G37" s="125"/>
      <c r="H37" s="15"/>
      <c r="J37" s="10"/>
    </row>
    <row r="38" spans="3:13" x14ac:dyDescent="0.25">
      <c r="C38" s="112"/>
      <c r="D38" s="113"/>
      <c r="E38" s="112"/>
      <c r="F38" s="112"/>
      <c r="G38" s="125"/>
      <c r="H38" s="15"/>
      <c r="J38" s="10"/>
    </row>
    <row r="39" spans="3:13" x14ac:dyDescent="0.25">
      <c r="C39" s="112"/>
      <c r="D39" s="113"/>
      <c r="E39" s="112"/>
      <c r="F39" s="112"/>
      <c r="G39" s="125"/>
      <c r="H39" s="15"/>
      <c r="I39" s="16"/>
      <c r="J39" s="10"/>
      <c r="L39" s="10"/>
    </row>
    <row r="40" spans="3:13" x14ac:dyDescent="0.25">
      <c r="C40" s="112"/>
      <c r="D40" s="113"/>
      <c r="E40" s="112"/>
      <c r="F40" s="112"/>
      <c r="G40" s="125"/>
      <c r="H40" s="15"/>
      <c r="J40" s="10"/>
    </row>
    <row r="41" spans="3:13" x14ac:dyDescent="0.25">
      <c r="C41" s="112"/>
      <c r="D41" s="113"/>
      <c r="E41" s="112"/>
      <c r="F41" s="112"/>
      <c r="G41" s="125"/>
      <c r="H41" s="15"/>
      <c r="J41" s="10"/>
    </row>
    <row r="42" spans="3:13" x14ac:dyDescent="0.25">
      <c r="C42" s="112"/>
      <c r="D42" s="113"/>
      <c r="E42" s="112"/>
      <c r="F42" s="112"/>
      <c r="G42" s="125"/>
      <c r="H42" s="15"/>
      <c r="J42" s="10"/>
    </row>
    <row r="43" spans="3:13" x14ac:dyDescent="0.25">
      <c r="C43" s="112"/>
      <c r="D43" s="113"/>
      <c r="E43" s="112"/>
      <c r="F43" s="112"/>
      <c r="G43" s="125"/>
      <c r="H43" s="15"/>
      <c r="J43" s="10"/>
    </row>
    <row r="44" spans="3:13" x14ac:dyDescent="0.25">
      <c r="C44" s="112"/>
      <c r="D44" s="113"/>
      <c r="E44" s="112"/>
      <c r="F44" s="112"/>
      <c r="G44" s="125"/>
      <c r="H44" s="15"/>
      <c r="J44" s="10"/>
    </row>
    <row r="45" spans="3:13" x14ac:dyDescent="0.25">
      <c r="C45" s="112"/>
      <c r="D45" s="113"/>
      <c r="E45" s="112"/>
      <c r="F45" s="112"/>
      <c r="G45" s="125"/>
      <c r="H45" s="15"/>
      <c r="J45" s="10"/>
    </row>
    <row r="46" spans="3:13" x14ac:dyDescent="0.25">
      <c r="C46" s="112"/>
      <c r="D46" s="113"/>
      <c r="E46" s="112"/>
      <c r="F46" s="112"/>
      <c r="G46" s="125"/>
      <c r="H46" s="15"/>
      <c r="J46" s="10"/>
    </row>
    <row r="47" spans="3:13" x14ac:dyDescent="0.25">
      <c r="C47" s="112"/>
      <c r="D47" s="113"/>
      <c r="E47" s="112"/>
      <c r="F47" s="112"/>
      <c r="G47" s="125"/>
      <c r="H47" s="15"/>
      <c r="J47" s="10"/>
    </row>
    <row r="48" spans="3:13" x14ac:dyDescent="0.25">
      <c r="C48" s="112"/>
      <c r="D48" s="113"/>
      <c r="E48" s="112"/>
      <c r="F48" s="112"/>
      <c r="G48" s="125"/>
      <c r="H48" s="15"/>
      <c r="I48" s="16"/>
      <c r="J48" s="10"/>
      <c r="K48" s="10"/>
      <c r="L48" s="10"/>
      <c r="M48" s="10"/>
    </row>
    <row r="49" spans="3:13" x14ac:dyDescent="0.25">
      <c r="C49" s="112"/>
      <c r="D49" s="113"/>
      <c r="E49" s="112"/>
      <c r="F49" s="112"/>
      <c r="G49" s="125"/>
      <c r="H49" s="15"/>
      <c r="I49" s="16"/>
      <c r="J49" s="10"/>
      <c r="K49" s="10"/>
      <c r="L49" s="10"/>
      <c r="M49" s="10"/>
    </row>
    <row r="50" spans="3:13" x14ac:dyDescent="0.25">
      <c r="C50" s="112"/>
      <c r="D50" s="113"/>
      <c r="E50" s="112"/>
      <c r="F50" s="112"/>
      <c r="G50" s="125"/>
      <c r="H50" s="15"/>
      <c r="I50" s="16"/>
      <c r="J50" s="10"/>
      <c r="K50" s="10"/>
      <c r="L50" s="10"/>
      <c r="M50" s="10"/>
    </row>
    <row r="51" spans="3:13" x14ac:dyDescent="0.25">
      <c r="C51" s="112"/>
      <c r="D51" s="113"/>
      <c r="E51" s="112"/>
      <c r="F51" s="112"/>
      <c r="G51" s="125"/>
      <c r="H51" s="15"/>
      <c r="I51" s="16"/>
      <c r="J51" s="10"/>
      <c r="K51" s="10"/>
      <c r="L51" s="10"/>
      <c r="M51" s="10"/>
    </row>
    <row r="52" spans="3:13" x14ac:dyDescent="0.25">
      <c r="C52" s="112"/>
      <c r="D52" s="113"/>
      <c r="E52" s="112"/>
      <c r="F52" s="112"/>
      <c r="G52" s="125"/>
      <c r="H52" s="15"/>
      <c r="I52" s="16"/>
      <c r="J52" s="10"/>
      <c r="K52" s="10"/>
      <c r="L52" s="10"/>
      <c r="M52" s="10"/>
    </row>
    <row r="53" spans="3:13" x14ac:dyDescent="0.25">
      <c r="C53" s="112"/>
      <c r="D53" s="113"/>
      <c r="E53" s="112"/>
      <c r="F53" s="112"/>
      <c r="G53" s="125"/>
      <c r="H53" s="15"/>
      <c r="I53" s="16"/>
      <c r="J53" s="10"/>
      <c r="K53" s="10"/>
      <c r="L53" s="10"/>
      <c r="M53" s="10"/>
    </row>
    <row r="54" spans="3:13" x14ac:dyDescent="0.25">
      <c r="C54" s="112"/>
      <c r="D54" s="113"/>
      <c r="E54" s="112"/>
      <c r="F54" s="112"/>
      <c r="G54" s="125"/>
      <c r="H54" s="15"/>
      <c r="I54" s="16"/>
      <c r="J54" s="10"/>
      <c r="K54" s="10"/>
      <c r="L54" s="10"/>
      <c r="M54" s="10"/>
    </row>
    <row r="55" spans="3:13" x14ac:dyDescent="0.25">
      <c r="C55" s="112"/>
      <c r="D55" s="113"/>
      <c r="E55" s="112"/>
      <c r="F55" s="112"/>
      <c r="G55" s="125"/>
      <c r="H55" s="15"/>
      <c r="I55" s="16"/>
      <c r="J55" s="10"/>
      <c r="K55" s="10"/>
      <c r="L55" s="10"/>
      <c r="M55" s="10"/>
    </row>
    <row r="56" spans="3:13" x14ac:dyDescent="0.25">
      <c r="C56" s="112"/>
      <c r="D56" s="113"/>
      <c r="E56" s="112"/>
      <c r="F56" s="112"/>
      <c r="G56" s="125"/>
      <c r="H56" s="15"/>
      <c r="I56" s="16"/>
      <c r="J56" s="10"/>
      <c r="K56" s="10"/>
      <c r="L56" s="10"/>
      <c r="M56" s="10"/>
    </row>
    <row r="57" spans="3:13" x14ac:dyDescent="0.25">
      <c r="C57" s="112"/>
      <c r="D57" s="113"/>
      <c r="E57" s="112"/>
      <c r="F57" s="112"/>
      <c r="G57" s="125"/>
      <c r="H57" s="15"/>
      <c r="I57" s="16"/>
      <c r="J57" s="10"/>
      <c r="K57" s="10"/>
      <c r="L57" s="10"/>
      <c r="M57" s="10"/>
    </row>
    <row r="58" spans="3:13" x14ac:dyDescent="0.25">
      <c r="C58" s="112"/>
      <c r="D58" s="113"/>
      <c r="E58" s="112"/>
      <c r="F58" s="112"/>
      <c r="G58" s="125"/>
      <c r="H58" s="15"/>
      <c r="I58" s="16"/>
      <c r="J58" s="10"/>
      <c r="K58" s="10"/>
      <c r="L58" s="10"/>
      <c r="M58" s="10"/>
    </row>
    <row r="59" spans="3:13" x14ac:dyDescent="0.25">
      <c r="C59" s="112"/>
      <c r="D59" s="113"/>
      <c r="E59" s="112"/>
      <c r="F59" s="112"/>
      <c r="G59" s="125"/>
      <c r="H59" s="15"/>
      <c r="I59" s="16"/>
      <c r="J59" s="10"/>
      <c r="K59" s="10"/>
      <c r="L59" s="10"/>
      <c r="M59" s="10"/>
    </row>
    <row r="60" spans="3:13" x14ac:dyDescent="0.25">
      <c r="C60" s="112"/>
      <c r="D60" s="113"/>
      <c r="E60" s="112"/>
      <c r="F60" s="112"/>
      <c r="G60" s="125"/>
      <c r="H60" s="15"/>
      <c r="I60" s="16"/>
      <c r="J60" s="10"/>
      <c r="K60" s="10"/>
      <c r="L60" s="10"/>
      <c r="M60" s="10"/>
    </row>
  </sheetData>
  <pageMargins left="0.4" right="0.4" top="0.5" bottom="0.5" header="0.3" footer="0.3"/>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TradeCalc">
    <tabColor rgb="FF2E75B6"/>
    <pageSetUpPr fitToPage="1"/>
  </sheetPr>
  <dimension ref="B1:AB5006"/>
  <sheetViews>
    <sheetView showGridLines="0" zoomScaleNormal="100" workbookViewId="0">
      <pane xSplit="3" ySplit="5" topLeftCell="D67" activePane="bottomRight" state="frozen"/>
      <selection pane="topRight" activeCell="D3" sqref="D3"/>
      <selection pane="bottomLeft" activeCell="C7" sqref="C7"/>
      <selection pane="bottomRight" activeCell="AA68" sqref="AA68"/>
    </sheetView>
  </sheetViews>
  <sheetFormatPr defaultRowHeight="15" x14ac:dyDescent="0.25"/>
  <cols>
    <col min="1" max="2" width="4" customWidth="1"/>
    <col min="3" max="3" width="10.75" style="6" customWidth="1"/>
    <col min="4" max="4" width="13.75" style="6" customWidth="1"/>
    <col min="5" max="5" width="8.75" style="8" customWidth="1"/>
    <col min="6" max="6" width="10.75" style="8" customWidth="1"/>
    <col min="7" max="7" width="30.75" style="6" customWidth="1"/>
    <col min="8" max="8" width="22.75" style="6" customWidth="1"/>
    <col min="9" max="9" width="9.75" style="15" customWidth="1"/>
    <col min="10" max="10" width="15.75" style="10" customWidth="1"/>
    <col min="11" max="11" width="13.75" style="10" customWidth="1"/>
    <col min="12" max="15" width="10.625" style="11" customWidth="1"/>
    <col min="16" max="16" width="15.625" style="11" customWidth="1"/>
    <col min="17" max="17" width="15.625" style="10" customWidth="1"/>
    <col min="18" max="20" width="15.625" style="11" customWidth="1"/>
    <col min="21" max="22" width="15.625" style="10" customWidth="1"/>
    <col min="23" max="23" width="10.625" style="9" customWidth="1"/>
    <col min="24" max="24" width="10.625" style="10" customWidth="1"/>
    <col min="25" max="25" width="10.625" style="17" customWidth="1"/>
    <col min="26" max="26" width="10.625" style="6" customWidth="1"/>
    <col min="27" max="27" width="70.75" style="6" customWidth="1"/>
  </cols>
  <sheetData>
    <row r="1" spans="2:28" ht="24" customHeight="1" x14ac:dyDescent="0.25">
      <c r="B1" s="24" t="s">
        <v>0</v>
      </c>
      <c r="C1" s="25"/>
      <c r="D1" s="26"/>
      <c r="E1" s="63"/>
      <c r="F1" s="63"/>
      <c r="G1" s="63"/>
      <c r="H1" s="63"/>
      <c r="I1" s="63"/>
      <c r="J1" s="63"/>
      <c r="K1" s="63"/>
      <c r="L1" s="63"/>
      <c r="M1" s="26"/>
      <c r="N1" s="26"/>
      <c r="O1" s="26"/>
      <c r="P1" s="26"/>
      <c r="Q1" s="63"/>
      <c r="R1" s="63"/>
      <c r="S1" s="63"/>
      <c r="T1" s="63"/>
      <c r="U1" s="63"/>
      <c r="V1" s="63"/>
      <c r="W1" s="63"/>
      <c r="X1" s="63"/>
      <c r="Y1" s="63"/>
      <c r="Z1" s="63"/>
      <c r="AA1" s="63"/>
      <c r="AB1" s="63"/>
    </row>
    <row r="2" spans="2:28" ht="26.1" customHeight="1" x14ac:dyDescent="0.25">
      <c r="B2" s="28" t="s">
        <v>471</v>
      </c>
      <c r="C2" s="29"/>
      <c r="D2" s="30"/>
      <c r="E2" s="65"/>
      <c r="F2" s="65"/>
      <c r="G2" s="65"/>
      <c r="H2" s="65"/>
      <c r="I2" s="65"/>
      <c r="J2" s="65"/>
      <c r="K2" s="65"/>
      <c r="L2" s="65"/>
      <c r="M2" s="30"/>
      <c r="N2" s="30"/>
      <c r="O2" s="30"/>
      <c r="P2" s="30"/>
      <c r="Q2" s="65"/>
      <c r="R2" s="65"/>
      <c r="S2" s="65"/>
      <c r="T2" s="65"/>
      <c r="U2" s="65"/>
      <c r="V2" s="65"/>
      <c r="W2" s="65"/>
      <c r="X2" s="65"/>
      <c r="Y2" s="65"/>
      <c r="Z2" s="65"/>
      <c r="AA2" s="65"/>
      <c r="AB2" s="65"/>
    </row>
    <row r="3" spans="2:28" ht="30" customHeight="1" x14ac:dyDescent="0.25">
      <c r="C3" s="2" t="s">
        <v>472</v>
      </c>
      <c r="E3" s="6"/>
      <c r="F3" s="6"/>
    </row>
    <row r="4" spans="2:28" x14ac:dyDescent="0.25">
      <c r="E4" s="6"/>
      <c r="F4" s="6"/>
    </row>
    <row r="5" spans="2:28" ht="42" customHeight="1" x14ac:dyDescent="0.25">
      <c r="C5" s="127" t="s">
        <v>281</v>
      </c>
      <c r="D5" s="127" t="s">
        <v>233</v>
      </c>
      <c r="E5" s="128" t="s">
        <v>153</v>
      </c>
      <c r="F5" s="128" t="s">
        <v>473</v>
      </c>
      <c r="G5" s="127" t="s">
        <v>452</v>
      </c>
      <c r="H5" s="127" t="s">
        <v>465</v>
      </c>
      <c r="I5" s="128" t="s">
        <v>474</v>
      </c>
      <c r="J5" s="128" t="s">
        <v>475</v>
      </c>
      <c r="K5" s="128" t="s">
        <v>476</v>
      </c>
      <c r="L5" s="128" t="s">
        <v>477</v>
      </c>
      <c r="M5" s="128" t="s">
        <v>478</v>
      </c>
      <c r="N5" s="128" t="s">
        <v>479</v>
      </c>
      <c r="O5" s="128" t="s">
        <v>480</v>
      </c>
      <c r="P5" s="128" t="s">
        <v>68</v>
      </c>
      <c r="Q5" s="128" t="s">
        <v>481</v>
      </c>
      <c r="R5" s="128" t="s">
        <v>482</v>
      </c>
      <c r="S5" s="128" t="s">
        <v>483</v>
      </c>
      <c r="T5" s="128" t="s">
        <v>484</v>
      </c>
      <c r="U5" s="128" t="s">
        <v>467</v>
      </c>
      <c r="V5" s="128" t="s">
        <v>468</v>
      </c>
      <c r="W5" s="128" t="s">
        <v>485</v>
      </c>
      <c r="X5" s="128" t="s">
        <v>486</v>
      </c>
      <c r="Y5" s="128" t="s">
        <v>487</v>
      </c>
      <c r="Z5" s="128" t="s">
        <v>141</v>
      </c>
      <c r="AA5" s="129" t="s">
        <v>488</v>
      </c>
    </row>
    <row r="6" spans="2:28" x14ac:dyDescent="0.25">
      <c r="C6" s="112"/>
      <c r="D6" s="112"/>
      <c r="E6" s="113"/>
      <c r="F6" s="113"/>
      <c r="G6" s="112"/>
      <c r="H6" s="112"/>
      <c r="I6" s="15"/>
      <c r="J6" s="10"/>
      <c r="K6" s="10"/>
      <c r="L6" s="11"/>
      <c r="M6" s="11"/>
      <c r="N6" s="11"/>
      <c r="P6" s="11"/>
      <c r="Q6" s="10"/>
      <c r="R6" s="11"/>
      <c r="S6" s="11"/>
      <c r="U6" s="10"/>
      <c r="W6" s="9"/>
      <c r="X6" s="10"/>
      <c r="Z6" s="112"/>
      <c r="AA6" s="112"/>
    </row>
    <row r="7" spans="2:28" x14ac:dyDescent="0.25">
      <c r="C7" s="112"/>
      <c r="D7" s="112"/>
      <c r="E7" s="113"/>
      <c r="F7" s="113"/>
      <c r="G7" s="112"/>
      <c r="H7" s="112"/>
      <c r="I7" s="15"/>
      <c r="J7" s="10"/>
      <c r="K7" s="10"/>
      <c r="L7" s="11"/>
      <c r="M7" s="11"/>
      <c r="N7" s="11"/>
      <c r="P7" s="11"/>
      <c r="Q7" s="10"/>
      <c r="R7" s="11"/>
      <c r="S7" s="11"/>
      <c r="U7" s="10"/>
      <c r="W7" s="9"/>
      <c r="X7" s="10"/>
      <c r="Z7" s="112"/>
      <c r="AA7" s="112"/>
    </row>
    <row r="8" spans="2:28" x14ac:dyDescent="0.25">
      <c r="C8" s="112"/>
      <c r="D8" s="112"/>
      <c r="E8" s="113"/>
      <c r="F8" s="113"/>
      <c r="G8" s="112"/>
      <c r="H8" s="112"/>
      <c r="I8" s="15"/>
      <c r="J8" s="10"/>
      <c r="K8" s="10"/>
      <c r="L8" s="11"/>
      <c r="M8" s="11"/>
      <c r="N8" s="11"/>
      <c r="O8" s="11"/>
      <c r="P8" s="11"/>
      <c r="Q8" s="10"/>
      <c r="R8" s="11"/>
      <c r="S8" s="11"/>
      <c r="U8" s="10"/>
      <c r="W8" s="9"/>
      <c r="X8" s="10"/>
      <c r="Y8" s="17"/>
      <c r="Z8" s="112"/>
      <c r="AA8" s="112"/>
    </row>
    <row r="9" spans="2:28" x14ac:dyDescent="0.25">
      <c r="C9" s="112"/>
      <c r="D9" s="112"/>
      <c r="E9" s="113"/>
      <c r="F9" s="113"/>
      <c r="G9" s="112"/>
      <c r="H9" s="112"/>
      <c r="I9" s="15"/>
      <c r="J9" s="10"/>
      <c r="K9" s="10"/>
      <c r="L9" s="11"/>
      <c r="M9" s="11"/>
      <c r="N9" s="11"/>
      <c r="P9" s="11"/>
      <c r="Q9" s="10"/>
      <c r="R9" s="11"/>
      <c r="S9" s="11"/>
      <c r="U9" s="10"/>
      <c r="X9" s="10"/>
      <c r="Z9" s="112"/>
      <c r="AA9" s="112"/>
    </row>
    <row r="10" spans="2:28" x14ac:dyDescent="0.25">
      <c r="C10" s="112"/>
      <c r="D10" s="112"/>
      <c r="E10" s="113"/>
      <c r="F10" s="113"/>
      <c r="G10" s="112"/>
      <c r="H10" s="112"/>
      <c r="I10" s="15"/>
      <c r="J10" s="10"/>
      <c r="K10" s="10"/>
      <c r="L10" s="11"/>
      <c r="M10" s="11"/>
      <c r="N10" s="11"/>
      <c r="P10" s="11"/>
      <c r="Q10" s="10"/>
      <c r="R10" s="11"/>
      <c r="S10" s="11"/>
      <c r="U10" s="10"/>
      <c r="X10" s="10"/>
      <c r="Z10" s="112"/>
      <c r="AA10" s="112"/>
    </row>
    <row r="11" spans="2:28" x14ac:dyDescent="0.25">
      <c r="C11" s="112"/>
      <c r="D11" s="112"/>
      <c r="E11" s="113"/>
      <c r="F11" s="113"/>
      <c r="G11" s="112"/>
      <c r="H11" s="112"/>
      <c r="I11" s="15"/>
      <c r="J11" s="10"/>
      <c r="K11" s="10"/>
      <c r="L11" s="11"/>
      <c r="M11" s="11"/>
      <c r="N11" s="11"/>
      <c r="P11" s="11"/>
      <c r="Q11" s="10"/>
      <c r="R11" s="11"/>
      <c r="S11" s="11"/>
      <c r="U11" s="10"/>
      <c r="X11" s="10"/>
      <c r="Z11" s="112"/>
      <c r="AA11" s="112"/>
    </row>
    <row r="12" spans="2:28" x14ac:dyDescent="0.25">
      <c r="C12" s="112"/>
      <c r="D12" s="112"/>
      <c r="E12" s="113"/>
      <c r="F12" s="113"/>
      <c r="G12" s="112"/>
      <c r="H12" s="112"/>
      <c r="I12" s="15"/>
      <c r="J12" s="10"/>
      <c r="K12" s="10"/>
      <c r="L12" s="11"/>
      <c r="M12" s="11"/>
      <c r="N12" s="11"/>
      <c r="Q12" s="10"/>
      <c r="R12" s="11"/>
      <c r="S12" s="11"/>
      <c r="U12" s="10"/>
      <c r="X12" s="10"/>
      <c r="Z12" s="112"/>
      <c r="AA12" s="112"/>
    </row>
    <row r="13" spans="2:28" x14ac:dyDescent="0.25">
      <c r="C13" s="112"/>
      <c r="D13" s="112"/>
      <c r="E13" s="113"/>
      <c r="F13" s="113"/>
      <c r="G13" s="112"/>
      <c r="H13" s="112"/>
      <c r="I13" s="15"/>
      <c r="J13" s="10"/>
      <c r="K13" s="10"/>
      <c r="L13" s="11"/>
      <c r="M13" s="11"/>
      <c r="N13" s="11"/>
      <c r="Q13" s="10"/>
      <c r="R13" s="11"/>
      <c r="S13" s="11"/>
      <c r="U13" s="10"/>
      <c r="X13" s="10"/>
      <c r="Z13" s="112"/>
      <c r="AA13" s="112"/>
    </row>
    <row r="14" spans="2:28" x14ac:dyDescent="0.25">
      <c r="C14" s="112"/>
      <c r="D14" s="112"/>
      <c r="E14" s="113"/>
      <c r="F14" s="113"/>
      <c r="G14" s="112"/>
      <c r="H14" s="112"/>
      <c r="I14" s="15"/>
      <c r="J14" s="10"/>
      <c r="K14" s="10"/>
      <c r="L14" s="11"/>
      <c r="M14" s="11"/>
      <c r="N14" s="11"/>
      <c r="Q14" s="10"/>
      <c r="R14" s="11"/>
      <c r="S14" s="11"/>
      <c r="U14" s="10"/>
      <c r="X14" s="10"/>
      <c r="Z14" s="112"/>
      <c r="AA14" s="112"/>
    </row>
    <row r="15" spans="2:28" x14ac:dyDescent="0.25">
      <c r="C15" s="112"/>
      <c r="D15" s="112"/>
      <c r="E15" s="113"/>
      <c r="F15" s="113"/>
      <c r="G15" s="112"/>
      <c r="H15" s="112"/>
      <c r="I15" s="15"/>
      <c r="J15" s="10"/>
      <c r="K15" s="10"/>
      <c r="L15" s="11"/>
      <c r="M15" s="11"/>
      <c r="N15" s="11"/>
      <c r="P15" s="11"/>
      <c r="Q15" s="10"/>
      <c r="R15" s="11"/>
      <c r="S15" s="11"/>
      <c r="U15" s="10"/>
      <c r="W15" s="9"/>
      <c r="X15" s="10"/>
      <c r="Z15" s="112"/>
      <c r="AA15" s="112"/>
    </row>
    <row r="16" spans="2:28" x14ac:dyDescent="0.25">
      <c r="C16" s="112"/>
      <c r="D16" s="112"/>
      <c r="E16" s="113"/>
      <c r="F16" s="113"/>
      <c r="G16" s="112"/>
      <c r="H16" s="112"/>
      <c r="I16" s="15"/>
      <c r="J16" s="10"/>
      <c r="K16" s="10"/>
      <c r="L16" s="11"/>
      <c r="M16" s="11"/>
      <c r="N16" s="11"/>
      <c r="P16" s="11"/>
      <c r="Q16" s="10"/>
      <c r="R16" s="11"/>
      <c r="S16" s="11"/>
      <c r="U16" s="10"/>
      <c r="W16" s="9"/>
      <c r="X16" s="10"/>
      <c r="Z16" s="112"/>
      <c r="AA16" s="112"/>
    </row>
    <row r="17" spans="3:27" x14ac:dyDescent="0.25">
      <c r="C17" s="112"/>
      <c r="D17" s="112"/>
      <c r="E17" s="113"/>
      <c r="F17" s="113"/>
      <c r="G17" s="112"/>
      <c r="H17" s="112"/>
      <c r="I17" s="15"/>
      <c r="J17" s="10"/>
      <c r="K17" s="10"/>
      <c r="L17" s="11"/>
      <c r="M17" s="11"/>
      <c r="N17" s="11"/>
      <c r="O17" s="11"/>
      <c r="P17" s="11"/>
      <c r="Q17" s="10"/>
      <c r="R17" s="11"/>
      <c r="S17" s="11"/>
      <c r="U17" s="10"/>
      <c r="W17" s="9"/>
      <c r="X17" s="10"/>
      <c r="Y17" s="17"/>
      <c r="Z17" s="112"/>
      <c r="AA17" s="112"/>
    </row>
    <row r="18" spans="3:27" x14ac:dyDescent="0.25">
      <c r="C18" s="112"/>
      <c r="D18" s="112"/>
      <c r="E18" s="113"/>
      <c r="F18" s="113"/>
      <c r="G18" s="112"/>
      <c r="H18" s="112"/>
      <c r="I18" s="15"/>
      <c r="J18" s="10"/>
      <c r="K18" s="10"/>
      <c r="L18" s="11"/>
      <c r="M18" s="11"/>
      <c r="N18" s="11"/>
      <c r="P18" s="11"/>
      <c r="Q18" s="10"/>
      <c r="R18" s="11"/>
      <c r="S18" s="11"/>
      <c r="U18" s="10"/>
      <c r="X18" s="10"/>
      <c r="Z18" s="112"/>
      <c r="AA18" s="112"/>
    </row>
    <row r="19" spans="3:27" x14ac:dyDescent="0.25">
      <c r="C19" s="112"/>
      <c r="D19" s="112"/>
      <c r="E19" s="113"/>
      <c r="F19" s="113"/>
      <c r="G19" s="112"/>
      <c r="H19" s="112"/>
      <c r="I19" s="15"/>
      <c r="J19" s="10"/>
      <c r="K19" s="10"/>
      <c r="L19" s="11"/>
      <c r="M19" s="11"/>
      <c r="N19" s="11"/>
      <c r="P19" s="11"/>
      <c r="Q19" s="10"/>
      <c r="R19" s="11"/>
      <c r="S19" s="11"/>
      <c r="U19" s="10"/>
      <c r="X19" s="10"/>
      <c r="Z19" s="112"/>
      <c r="AA19" s="112"/>
    </row>
    <row r="20" spans="3:27" x14ac:dyDescent="0.25">
      <c r="C20" s="112"/>
      <c r="D20" s="112"/>
      <c r="E20" s="113"/>
      <c r="F20" s="113"/>
      <c r="G20" s="112"/>
      <c r="H20" s="112"/>
      <c r="I20" s="15"/>
      <c r="J20" s="10"/>
      <c r="K20" s="10"/>
      <c r="L20" s="11"/>
      <c r="M20" s="11"/>
      <c r="N20" s="11"/>
      <c r="P20" s="11"/>
      <c r="Q20" s="10"/>
      <c r="R20" s="11"/>
      <c r="S20" s="11"/>
      <c r="U20" s="10"/>
      <c r="X20" s="10"/>
      <c r="Z20" s="112"/>
      <c r="AA20" s="112"/>
    </row>
    <row r="21" spans="3:27" x14ac:dyDescent="0.25">
      <c r="C21" s="112"/>
      <c r="D21" s="112"/>
      <c r="E21" s="113"/>
      <c r="F21" s="113"/>
      <c r="G21" s="112"/>
      <c r="H21" s="112"/>
      <c r="I21" s="15"/>
      <c r="J21" s="10"/>
      <c r="K21" s="10"/>
      <c r="L21" s="11"/>
      <c r="M21" s="11"/>
      <c r="N21" s="11"/>
      <c r="P21" s="11"/>
      <c r="Q21" s="10"/>
      <c r="R21" s="11"/>
      <c r="S21" s="11"/>
      <c r="T21" s="11"/>
      <c r="U21" s="10"/>
      <c r="V21" s="10"/>
      <c r="W21" s="9"/>
      <c r="X21" s="10"/>
      <c r="Z21" s="112"/>
      <c r="AA21" s="112"/>
    </row>
    <row r="22" spans="3:27" x14ac:dyDescent="0.25">
      <c r="C22" s="112"/>
      <c r="D22" s="112"/>
      <c r="E22" s="113"/>
      <c r="F22" s="113"/>
      <c r="G22" s="112"/>
      <c r="H22" s="112"/>
      <c r="I22" s="15"/>
      <c r="J22" s="10"/>
      <c r="K22" s="10"/>
      <c r="L22" s="11"/>
      <c r="M22" s="11"/>
      <c r="N22" s="11"/>
      <c r="P22" s="11"/>
      <c r="Q22" s="10"/>
      <c r="R22" s="11"/>
      <c r="S22" s="11"/>
      <c r="T22" s="11"/>
      <c r="U22" s="10"/>
      <c r="V22" s="10"/>
      <c r="W22" s="9"/>
      <c r="X22" s="10"/>
      <c r="Z22" s="112"/>
      <c r="AA22" s="112"/>
    </row>
    <row r="23" spans="3:27" x14ac:dyDescent="0.25">
      <c r="C23" s="112"/>
      <c r="D23" s="112"/>
      <c r="E23" s="113"/>
      <c r="F23" s="113"/>
      <c r="G23" s="112"/>
      <c r="H23" s="112"/>
      <c r="I23" s="15"/>
      <c r="J23" s="10"/>
      <c r="K23" s="10"/>
      <c r="L23" s="11"/>
      <c r="M23" s="11"/>
      <c r="N23" s="11"/>
      <c r="O23" s="11"/>
      <c r="P23" s="11"/>
      <c r="Q23" s="10"/>
      <c r="R23" s="11"/>
      <c r="S23" s="11"/>
      <c r="T23" s="11"/>
      <c r="U23" s="10"/>
      <c r="V23" s="10"/>
      <c r="W23" s="9"/>
      <c r="X23" s="10"/>
      <c r="Y23" s="17"/>
      <c r="Z23" s="112"/>
      <c r="AA23" s="112"/>
    </row>
    <row r="24" spans="3:27" x14ac:dyDescent="0.25">
      <c r="C24" s="112"/>
      <c r="D24" s="112"/>
      <c r="E24" s="113"/>
      <c r="F24" s="113"/>
      <c r="G24" s="112"/>
      <c r="H24" s="112"/>
      <c r="I24" s="15"/>
      <c r="J24" s="10"/>
      <c r="K24" s="10"/>
      <c r="L24" s="11"/>
      <c r="M24" s="11"/>
      <c r="N24" s="11"/>
      <c r="Q24" s="10"/>
      <c r="R24" s="11"/>
      <c r="S24" s="11"/>
      <c r="T24" s="11"/>
      <c r="U24" s="10"/>
      <c r="V24" s="10"/>
      <c r="X24" s="10"/>
      <c r="Z24" s="112"/>
      <c r="AA24" s="112"/>
    </row>
    <row r="25" spans="3:27" x14ac:dyDescent="0.25">
      <c r="C25" s="112"/>
      <c r="D25" s="112"/>
      <c r="E25" s="113"/>
      <c r="F25" s="113"/>
      <c r="G25" s="112"/>
      <c r="H25" s="112"/>
      <c r="I25" s="15"/>
      <c r="J25" s="10"/>
      <c r="K25" s="10"/>
      <c r="L25" s="11"/>
      <c r="M25" s="11"/>
      <c r="N25" s="11"/>
      <c r="Q25" s="10"/>
      <c r="R25" s="11"/>
      <c r="S25" s="11"/>
      <c r="T25" s="11"/>
      <c r="U25" s="10"/>
      <c r="V25" s="10"/>
      <c r="X25" s="10"/>
      <c r="Z25" s="112"/>
      <c r="AA25" s="112"/>
    </row>
    <row r="26" spans="3:27" x14ac:dyDescent="0.25">
      <c r="C26" s="112"/>
      <c r="D26" s="112"/>
      <c r="E26" s="113"/>
      <c r="F26" s="113"/>
      <c r="G26" s="112"/>
      <c r="H26" s="112"/>
      <c r="I26" s="15"/>
      <c r="J26" s="10"/>
      <c r="K26" s="10"/>
      <c r="L26" s="11"/>
      <c r="M26" s="11"/>
      <c r="N26" s="11"/>
      <c r="Q26" s="10"/>
      <c r="R26" s="11"/>
      <c r="S26" s="11"/>
      <c r="T26" s="11"/>
      <c r="U26" s="10"/>
      <c r="V26" s="10"/>
      <c r="X26" s="10"/>
      <c r="Z26" s="112"/>
      <c r="AA26" s="112"/>
    </row>
    <row r="27" spans="3:27" x14ac:dyDescent="0.25">
      <c r="C27" s="112"/>
      <c r="D27" s="112"/>
      <c r="E27" s="113"/>
      <c r="F27" s="113"/>
      <c r="G27" s="112"/>
      <c r="H27" s="112"/>
      <c r="I27" s="15"/>
      <c r="J27" s="10"/>
      <c r="K27" s="10"/>
      <c r="L27" s="11"/>
      <c r="M27" s="11"/>
      <c r="N27" s="11"/>
      <c r="P27" s="11"/>
      <c r="Q27" s="10"/>
      <c r="R27" s="11"/>
      <c r="S27" s="11"/>
      <c r="T27" s="11"/>
      <c r="U27" s="10"/>
      <c r="V27" s="10"/>
      <c r="W27" s="9"/>
      <c r="X27" s="10"/>
      <c r="Z27" s="112"/>
      <c r="AA27" s="112"/>
    </row>
    <row r="28" spans="3:27" x14ac:dyDescent="0.25">
      <c r="C28" s="112"/>
      <c r="D28" s="112"/>
      <c r="E28" s="113"/>
      <c r="F28" s="113"/>
      <c r="G28" s="112"/>
      <c r="H28" s="112"/>
      <c r="I28" s="15"/>
      <c r="J28" s="10"/>
      <c r="K28" s="10"/>
      <c r="L28" s="11"/>
      <c r="M28" s="11"/>
      <c r="N28" s="11"/>
      <c r="P28" s="11"/>
      <c r="Q28" s="10"/>
      <c r="R28" s="11"/>
      <c r="S28" s="11"/>
      <c r="T28" s="11"/>
      <c r="U28" s="10"/>
      <c r="V28" s="10"/>
      <c r="W28" s="9"/>
      <c r="X28" s="10"/>
      <c r="Z28" s="112"/>
      <c r="AA28" s="112"/>
    </row>
    <row r="29" spans="3:27" x14ac:dyDescent="0.25">
      <c r="C29" s="112"/>
      <c r="D29" s="112"/>
      <c r="E29" s="113"/>
      <c r="F29" s="113"/>
      <c r="G29" s="112"/>
      <c r="H29" s="112"/>
      <c r="I29" s="15"/>
      <c r="J29" s="10"/>
      <c r="K29" s="10"/>
      <c r="L29" s="11"/>
      <c r="M29" s="11"/>
      <c r="N29" s="11"/>
      <c r="O29" s="11"/>
      <c r="P29" s="11"/>
      <c r="Q29" s="10"/>
      <c r="R29" s="11"/>
      <c r="S29" s="11"/>
      <c r="T29" s="11"/>
      <c r="U29" s="10"/>
      <c r="V29" s="10"/>
      <c r="W29" s="9"/>
      <c r="X29" s="10"/>
      <c r="Y29" s="17"/>
      <c r="Z29" s="112"/>
      <c r="AA29" s="112"/>
    </row>
    <row r="30" spans="3:27" x14ac:dyDescent="0.25">
      <c r="C30" s="112"/>
      <c r="D30" s="112"/>
      <c r="E30" s="113"/>
      <c r="F30" s="113"/>
      <c r="G30" s="112"/>
      <c r="H30" s="112"/>
      <c r="I30" s="15"/>
      <c r="J30" s="10"/>
      <c r="K30" s="10"/>
      <c r="L30" s="11"/>
      <c r="M30" s="11"/>
      <c r="N30" s="11"/>
      <c r="Q30" s="10"/>
      <c r="R30" s="11"/>
      <c r="S30" s="11"/>
      <c r="T30" s="11"/>
      <c r="U30" s="10"/>
      <c r="V30" s="10"/>
      <c r="X30" s="10"/>
      <c r="Z30" s="112"/>
      <c r="AA30" s="112"/>
    </row>
    <row r="31" spans="3:27" x14ac:dyDescent="0.25">
      <c r="C31" s="112"/>
      <c r="D31" s="112"/>
      <c r="E31" s="113"/>
      <c r="F31" s="113"/>
      <c r="G31" s="112"/>
      <c r="H31" s="112"/>
      <c r="I31" s="15"/>
      <c r="J31" s="10"/>
      <c r="K31" s="10"/>
      <c r="L31" s="11"/>
      <c r="M31" s="11"/>
      <c r="N31" s="11"/>
      <c r="Q31" s="10"/>
      <c r="R31" s="11"/>
      <c r="S31" s="11"/>
      <c r="T31" s="11"/>
      <c r="U31" s="10"/>
      <c r="V31" s="10"/>
      <c r="X31" s="10"/>
      <c r="Z31" s="112"/>
      <c r="AA31" s="112"/>
    </row>
    <row r="32" spans="3:27" x14ac:dyDescent="0.25">
      <c r="C32" s="112"/>
      <c r="D32" s="112"/>
      <c r="E32" s="113"/>
      <c r="F32" s="113"/>
      <c r="G32" s="112"/>
      <c r="H32" s="112"/>
      <c r="I32" s="15"/>
      <c r="J32" s="10"/>
      <c r="K32" s="10"/>
      <c r="L32" s="11"/>
      <c r="M32" s="11"/>
      <c r="N32" s="11"/>
      <c r="Q32" s="10"/>
      <c r="R32" s="11"/>
      <c r="S32" s="11"/>
      <c r="T32" s="11"/>
      <c r="U32" s="10"/>
      <c r="V32" s="10"/>
      <c r="X32" s="10"/>
      <c r="Z32" s="112"/>
      <c r="AA32" s="112"/>
    </row>
    <row r="33" spans="3:27" x14ac:dyDescent="0.25">
      <c r="C33" s="112"/>
      <c r="D33" s="112"/>
      <c r="E33" s="113"/>
      <c r="F33" s="113"/>
      <c r="G33" s="112"/>
      <c r="H33" s="112"/>
      <c r="I33" s="15"/>
      <c r="J33" s="10"/>
      <c r="K33" s="10"/>
      <c r="L33" s="11"/>
      <c r="M33" s="11"/>
      <c r="N33" s="11"/>
      <c r="P33" s="11"/>
      <c r="Q33" s="10"/>
      <c r="R33" s="11"/>
      <c r="S33" s="11"/>
      <c r="U33" s="10"/>
      <c r="W33" s="9"/>
      <c r="X33" s="10"/>
      <c r="Z33" s="112"/>
      <c r="AA33" s="112"/>
    </row>
    <row r="34" spans="3:27" x14ac:dyDescent="0.25">
      <c r="C34" s="112"/>
      <c r="D34" s="112"/>
      <c r="E34" s="113"/>
      <c r="F34" s="113"/>
      <c r="G34" s="112"/>
      <c r="H34" s="112"/>
      <c r="I34" s="15"/>
      <c r="J34" s="10"/>
      <c r="K34" s="10"/>
      <c r="L34" s="11"/>
      <c r="M34" s="11"/>
      <c r="N34" s="11"/>
      <c r="P34" s="11"/>
      <c r="Q34" s="10"/>
      <c r="R34" s="11"/>
      <c r="S34" s="11"/>
      <c r="U34" s="10"/>
      <c r="W34" s="9"/>
      <c r="X34" s="10"/>
      <c r="Z34" s="112"/>
      <c r="AA34" s="112"/>
    </row>
    <row r="35" spans="3:27" x14ac:dyDescent="0.25">
      <c r="C35" s="112"/>
      <c r="D35" s="112"/>
      <c r="E35" s="113"/>
      <c r="F35" s="113"/>
      <c r="G35" s="112"/>
      <c r="H35" s="112"/>
      <c r="I35" s="15"/>
      <c r="J35" s="10"/>
      <c r="K35" s="10"/>
      <c r="L35" s="11"/>
      <c r="M35" s="11"/>
      <c r="N35" s="11"/>
      <c r="O35" s="11"/>
      <c r="P35" s="11"/>
      <c r="Q35" s="10"/>
      <c r="R35" s="11"/>
      <c r="S35" s="11"/>
      <c r="U35" s="10"/>
      <c r="W35" s="9"/>
      <c r="X35" s="10"/>
      <c r="Y35" s="17"/>
      <c r="Z35" s="112"/>
      <c r="AA35" s="112"/>
    </row>
    <row r="36" spans="3:27" x14ac:dyDescent="0.25">
      <c r="C36" s="112"/>
      <c r="D36" s="112"/>
      <c r="E36" s="113"/>
      <c r="F36" s="113"/>
      <c r="G36" s="112"/>
      <c r="H36" s="112"/>
      <c r="I36" s="15"/>
      <c r="J36" s="10"/>
      <c r="K36" s="10"/>
      <c r="L36" s="11"/>
      <c r="M36" s="11"/>
      <c r="N36" s="11"/>
      <c r="P36" s="11"/>
      <c r="Q36" s="10"/>
      <c r="R36" s="11"/>
      <c r="S36" s="11"/>
      <c r="T36" s="11"/>
      <c r="U36" s="10"/>
      <c r="V36" s="10"/>
      <c r="W36" s="9"/>
      <c r="X36" s="10"/>
      <c r="Z36" s="112"/>
      <c r="AA36" s="112"/>
    </row>
    <row r="37" spans="3:27" x14ac:dyDescent="0.25">
      <c r="C37" s="112"/>
      <c r="D37" s="112"/>
      <c r="E37" s="113"/>
      <c r="F37" s="113"/>
      <c r="G37" s="112"/>
      <c r="H37" s="112"/>
      <c r="I37" s="15"/>
      <c r="J37" s="10"/>
      <c r="K37" s="10"/>
      <c r="L37" s="11"/>
      <c r="M37" s="11"/>
      <c r="N37" s="11"/>
      <c r="P37" s="11"/>
      <c r="Q37" s="10"/>
      <c r="R37" s="11"/>
      <c r="S37" s="11"/>
      <c r="T37" s="11"/>
      <c r="U37" s="10"/>
      <c r="V37" s="10"/>
      <c r="W37" s="9"/>
      <c r="X37" s="10"/>
      <c r="Z37" s="112"/>
      <c r="AA37" s="112"/>
    </row>
    <row r="38" spans="3:27" x14ac:dyDescent="0.25">
      <c r="C38" s="112"/>
      <c r="D38" s="112"/>
      <c r="E38" s="113"/>
      <c r="F38" s="113"/>
      <c r="G38" s="112"/>
      <c r="H38" s="112"/>
      <c r="I38" s="15"/>
      <c r="J38" s="10"/>
      <c r="K38" s="10"/>
      <c r="L38" s="11"/>
      <c r="M38" s="11"/>
      <c r="N38" s="11"/>
      <c r="O38" s="11"/>
      <c r="P38" s="11"/>
      <c r="Q38" s="10"/>
      <c r="R38" s="11"/>
      <c r="S38" s="11"/>
      <c r="U38" s="10"/>
      <c r="W38" s="9"/>
      <c r="X38" s="10"/>
      <c r="Y38" s="17"/>
      <c r="Z38" s="112"/>
      <c r="AA38" s="112"/>
    </row>
    <row r="39" spans="3:27" x14ac:dyDescent="0.25">
      <c r="C39" s="112"/>
      <c r="D39" s="112"/>
      <c r="E39" s="113"/>
      <c r="F39" s="113"/>
      <c r="G39" s="112"/>
      <c r="H39" s="112"/>
      <c r="Z39" s="112"/>
      <c r="AA39" s="112"/>
    </row>
    <row r="40" spans="3:27" x14ac:dyDescent="0.25">
      <c r="C40" s="112"/>
      <c r="D40" s="112"/>
      <c r="E40" s="113"/>
      <c r="F40" s="113"/>
      <c r="G40" s="112"/>
      <c r="H40" s="112"/>
      <c r="I40" s="15"/>
      <c r="J40" s="10"/>
      <c r="K40" s="10"/>
      <c r="L40" s="11"/>
      <c r="M40" s="11"/>
      <c r="N40" s="11"/>
      <c r="O40" s="11"/>
      <c r="Q40" s="10"/>
      <c r="R40" s="11"/>
      <c r="S40" s="11"/>
      <c r="U40" s="10"/>
      <c r="X40" s="10"/>
      <c r="Y40" s="17"/>
      <c r="Z40" s="112"/>
      <c r="AA40" s="112"/>
    </row>
    <row r="41" spans="3:27" x14ac:dyDescent="0.25">
      <c r="C41" s="112"/>
      <c r="D41" s="112"/>
      <c r="E41" s="113"/>
      <c r="F41" s="113"/>
      <c r="G41" s="112"/>
      <c r="H41" s="112"/>
      <c r="I41" s="15"/>
      <c r="J41" s="10"/>
      <c r="K41" s="10"/>
      <c r="L41" s="11"/>
      <c r="M41" s="11"/>
      <c r="N41" s="11"/>
      <c r="Q41" s="10"/>
      <c r="R41" s="11"/>
      <c r="S41" s="11"/>
      <c r="U41" s="10"/>
      <c r="X41" s="10"/>
      <c r="Z41" s="112"/>
      <c r="AA41" s="112"/>
    </row>
    <row r="42" spans="3:27" x14ac:dyDescent="0.25">
      <c r="C42" s="112"/>
      <c r="D42" s="112"/>
      <c r="E42" s="113"/>
      <c r="F42" s="113"/>
      <c r="G42" s="112"/>
      <c r="H42" s="112"/>
      <c r="I42" s="15"/>
      <c r="J42" s="10"/>
      <c r="K42" s="10"/>
      <c r="L42" s="11"/>
      <c r="M42" s="11"/>
      <c r="N42" s="11"/>
      <c r="Q42" s="10"/>
      <c r="R42" s="11"/>
      <c r="S42" s="11"/>
      <c r="U42" s="10"/>
      <c r="X42" s="10"/>
      <c r="Z42" s="112"/>
      <c r="AA42" s="112"/>
    </row>
    <row r="43" spans="3:27" x14ac:dyDescent="0.25">
      <c r="C43" s="112"/>
      <c r="D43" s="112"/>
      <c r="E43" s="113"/>
      <c r="F43" s="113"/>
      <c r="G43" s="112"/>
      <c r="H43" s="112"/>
      <c r="I43" s="15"/>
      <c r="J43" s="10"/>
      <c r="K43" s="10"/>
      <c r="L43" s="11"/>
      <c r="M43" s="11"/>
      <c r="N43" s="11"/>
      <c r="Q43" s="10"/>
      <c r="R43" s="11"/>
      <c r="S43" s="11"/>
      <c r="U43" s="10"/>
      <c r="X43" s="10"/>
      <c r="Z43" s="112"/>
      <c r="AA43" s="112"/>
    </row>
    <row r="44" spans="3:27" x14ac:dyDescent="0.25">
      <c r="C44" s="112"/>
      <c r="D44" s="112"/>
      <c r="E44" s="113"/>
      <c r="F44" s="113"/>
      <c r="G44" s="112"/>
      <c r="H44" s="112"/>
      <c r="Z44" s="112"/>
      <c r="AA44" s="112"/>
    </row>
    <row r="45" spans="3:27" x14ac:dyDescent="0.25">
      <c r="C45" s="112"/>
      <c r="D45" s="112"/>
      <c r="E45" s="113"/>
      <c r="F45" s="113"/>
      <c r="G45" s="112"/>
      <c r="H45" s="112"/>
      <c r="I45" s="15"/>
      <c r="J45" s="10"/>
      <c r="K45" s="10"/>
      <c r="L45" s="11"/>
      <c r="M45" s="11"/>
      <c r="N45" s="11"/>
      <c r="Q45" s="10"/>
      <c r="R45" s="11"/>
      <c r="S45" s="11"/>
      <c r="U45" s="10"/>
      <c r="X45" s="10"/>
      <c r="Z45" s="112"/>
      <c r="AA45" s="112"/>
    </row>
    <row r="46" spans="3:27" x14ac:dyDescent="0.25">
      <c r="C46" s="112"/>
      <c r="D46" s="112"/>
      <c r="E46" s="113"/>
      <c r="F46" s="113"/>
      <c r="G46" s="112"/>
      <c r="H46" s="112"/>
      <c r="I46" s="15"/>
      <c r="J46" s="10"/>
      <c r="K46" s="10"/>
      <c r="L46" s="11"/>
      <c r="M46" s="11"/>
      <c r="N46" s="11"/>
      <c r="P46" s="11"/>
      <c r="Q46" s="10"/>
      <c r="R46" s="11"/>
      <c r="S46" s="11"/>
      <c r="U46" s="10"/>
      <c r="W46" s="9"/>
      <c r="X46" s="10"/>
      <c r="Z46" s="112"/>
      <c r="AA46" s="112"/>
    </row>
    <row r="47" spans="3:27" x14ac:dyDescent="0.25">
      <c r="C47" s="112"/>
      <c r="D47" s="112"/>
      <c r="E47" s="113"/>
      <c r="F47" s="113"/>
      <c r="G47" s="112"/>
      <c r="H47" s="112"/>
      <c r="I47" s="15"/>
      <c r="J47" s="10"/>
      <c r="K47" s="10"/>
      <c r="L47" s="11"/>
      <c r="M47" s="11"/>
      <c r="N47" s="11"/>
      <c r="P47" s="11"/>
      <c r="Q47" s="10"/>
      <c r="R47" s="11"/>
      <c r="S47" s="11"/>
      <c r="U47" s="10"/>
      <c r="W47" s="9"/>
      <c r="X47" s="10"/>
      <c r="Z47" s="112"/>
      <c r="AA47" s="112"/>
    </row>
    <row r="48" spans="3:27" x14ac:dyDescent="0.25">
      <c r="C48" s="112"/>
      <c r="D48" s="112"/>
      <c r="E48" s="113"/>
      <c r="F48" s="113"/>
      <c r="G48" s="112"/>
      <c r="H48" s="112"/>
      <c r="I48" s="15"/>
      <c r="J48" s="10"/>
      <c r="K48" s="10"/>
      <c r="L48" s="11"/>
      <c r="M48" s="11"/>
      <c r="N48" s="11"/>
      <c r="P48" s="11"/>
      <c r="Q48" s="10"/>
      <c r="R48" s="11"/>
      <c r="S48" s="11"/>
      <c r="U48" s="10"/>
      <c r="W48" s="9"/>
      <c r="X48" s="10"/>
      <c r="Z48" s="112"/>
      <c r="AA48" s="112"/>
    </row>
    <row r="49" spans="3:27" x14ac:dyDescent="0.25">
      <c r="C49" s="112"/>
      <c r="D49" s="112"/>
      <c r="E49" s="113"/>
      <c r="F49" s="113"/>
      <c r="G49" s="112"/>
      <c r="H49" s="112"/>
      <c r="I49" s="15"/>
      <c r="J49" s="10"/>
      <c r="K49" s="10"/>
      <c r="L49" s="11"/>
      <c r="M49" s="11"/>
      <c r="N49" s="11"/>
      <c r="P49" s="11"/>
      <c r="Q49" s="10"/>
      <c r="R49" s="11"/>
      <c r="S49" s="11"/>
      <c r="U49" s="10"/>
      <c r="W49" s="9"/>
      <c r="X49" s="10"/>
      <c r="Z49" s="112"/>
      <c r="AA49" s="112"/>
    </row>
    <row r="50" spans="3:27" x14ac:dyDescent="0.25">
      <c r="C50" s="112"/>
      <c r="D50" s="112"/>
      <c r="E50" s="113"/>
      <c r="F50" s="113"/>
      <c r="G50" s="112"/>
      <c r="H50" s="112"/>
      <c r="I50" s="15"/>
      <c r="J50" s="10"/>
      <c r="K50" s="10"/>
      <c r="L50" s="11"/>
      <c r="M50" s="11"/>
      <c r="N50" s="11"/>
      <c r="O50" s="11"/>
      <c r="P50" s="11"/>
      <c r="Q50" s="10"/>
      <c r="R50" s="11"/>
      <c r="S50" s="11"/>
      <c r="U50" s="10"/>
      <c r="W50" s="9"/>
      <c r="X50" s="10"/>
      <c r="Y50" s="17"/>
      <c r="Z50" s="112"/>
      <c r="AA50" s="112"/>
    </row>
    <row r="51" spans="3:27" x14ac:dyDescent="0.25">
      <c r="C51" s="112"/>
      <c r="D51" s="112"/>
      <c r="E51" s="113"/>
      <c r="F51" s="113"/>
      <c r="G51" s="112"/>
      <c r="H51" s="112"/>
      <c r="I51" s="15"/>
      <c r="J51" s="10"/>
      <c r="K51" s="10"/>
      <c r="L51" s="11"/>
      <c r="M51" s="11"/>
      <c r="N51" s="11"/>
      <c r="P51" s="11"/>
      <c r="Q51" s="10"/>
      <c r="R51" s="11"/>
      <c r="S51" s="11"/>
      <c r="U51" s="10"/>
      <c r="W51" s="9"/>
      <c r="X51" s="10"/>
      <c r="Z51" s="112"/>
      <c r="AA51" s="112"/>
    </row>
    <row r="52" spans="3:27" x14ac:dyDescent="0.25">
      <c r="C52" s="112"/>
      <c r="D52" s="112"/>
      <c r="E52" s="113"/>
      <c r="F52" s="113"/>
      <c r="G52" s="112"/>
      <c r="H52" s="112"/>
      <c r="I52" s="15"/>
      <c r="J52" s="10"/>
      <c r="K52" s="10"/>
      <c r="L52" s="11"/>
      <c r="M52" s="11"/>
      <c r="N52" s="11"/>
      <c r="Q52" s="10"/>
      <c r="R52" s="11"/>
      <c r="S52" s="11"/>
      <c r="U52" s="10"/>
      <c r="X52" s="10"/>
      <c r="Z52" s="112"/>
      <c r="AA52" s="112"/>
    </row>
    <row r="53" spans="3:27" x14ac:dyDescent="0.25">
      <c r="C53" s="112"/>
      <c r="D53" s="112"/>
      <c r="E53" s="113"/>
      <c r="F53" s="113"/>
      <c r="G53" s="112"/>
      <c r="H53" s="112"/>
      <c r="I53" s="15"/>
      <c r="J53" s="10"/>
      <c r="K53" s="10"/>
      <c r="L53" s="11"/>
      <c r="M53" s="11"/>
      <c r="N53" s="11"/>
      <c r="O53" s="11"/>
      <c r="Q53" s="10"/>
      <c r="R53" s="11"/>
      <c r="S53" s="11"/>
      <c r="U53" s="10"/>
      <c r="X53" s="10"/>
      <c r="Y53" s="17"/>
      <c r="Z53" s="112"/>
      <c r="AA53" s="112"/>
    </row>
    <row r="54" spans="3:27" x14ac:dyDescent="0.25">
      <c r="C54" s="112"/>
      <c r="D54" s="112"/>
      <c r="E54" s="113"/>
      <c r="F54" s="113"/>
      <c r="G54" s="112"/>
      <c r="H54" s="112"/>
      <c r="I54" s="15"/>
      <c r="J54" s="10"/>
      <c r="K54" s="10"/>
      <c r="L54" s="11"/>
      <c r="M54" s="11"/>
      <c r="N54" s="11"/>
      <c r="Q54" s="10"/>
      <c r="R54" s="11"/>
      <c r="S54" s="11"/>
      <c r="U54" s="10"/>
      <c r="X54" s="10"/>
      <c r="Z54" s="112"/>
      <c r="AA54" s="112"/>
    </row>
    <row r="55" spans="3:27" x14ac:dyDescent="0.25">
      <c r="C55" s="112"/>
      <c r="D55" s="112"/>
      <c r="E55" s="113"/>
      <c r="F55" s="113"/>
      <c r="G55" s="112"/>
      <c r="H55" s="112"/>
      <c r="I55" s="15"/>
      <c r="J55" s="10"/>
      <c r="K55" s="10"/>
      <c r="L55" s="11"/>
      <c r="M55" s="11"/>
      <c r="N55" s="11"/>
      <c r="P55" s="11"/>
      <c r="Q55" s="10"/>
      <c r="R55" s="11"/>
      <c r="S55" s="11"/>
      <c r="U55" s="10"/>
      <c r="W55" s="9"/>
      <c r="X55" s="10"/>
      <c r="Z55" s="112"/>
      <c r="AA55" s="112"/>
    </row>
    <row r="56" spans="3:27" x14ac:dyDescent="0.25">
      <c r="C56" s="112"/>
      <c r="D56" s="112"/>
      <c r="E56" s="113"/>
      <c r="F56" s="113"/>
      <c r="G56" s="112"/>
      <c r="H56" s="112"/>
      <c r="Z56" s="112"/>
      <c r="AA56" s="112"/>
    </row>
    <row r="57" spans="3:27" x14ac:dyDescent="0.25">
      <c r="C57" s="112"/>
      <c r="D57" s="112"/>
      <c r="E57" s="113"/>
      <c r="F57" s="113"/>
      <c r="G57" s="112"/>
      <c r="H57" s="112"/>
      <c r="I57" s="15"/>
      <c r="J57" s="10"/>
      <c r="K57" s="10"/>
      <c r="L57" s="11"/>
      <c r="M57" s="11"/>
      <c r="N57" s="11"/>
      <c r="P57" s="11"/>
      <c r="Q57" s="10"/>
      <c r="R57" s="11"/>
      <c r="S57" s="11"/>
      <c r="T57" s="11"/>
      <c r="U57" s="10"/>
      <c r="V57" s="10"/>
      <c r="X57" s="10"/>
      <c r="Z57" s="112"/>
      <c r="AA57" s="112"/>
    </row>
    <row r="58" spans="3:27" x14ac:dyDescent="0.25">
      <c r="C58" s="112"/>
      <c r="D58" s="112"/>
      <c r="E58" s="113"/>
      <c r="F58" s="113"/>
      <c r="G58" s="112"/>
      <c r="H58" s="112"/>
      <c r="I58" s="15"/>
      <c r="J58" s="10"/>
      <c r="K58" s="10"/>
      <c r="L58" s="11"/>
      <c r="M58" s="11"/>
      <c r="N58" s="11"/>
      <c r="P58" s="11"/>
      <c r="Q58" s="10"/>
      <c r="R58" s="11"/>
      <c r="S58" s="11"/>
      <c r="T58" s="11"/>
      <c r="U58" s="10"/>
      <c r="V58" s="10"/>
      <c r="X58" s="10"/>
      <c r="Z58" s="112"/>
      <c r="AA58" s="112"/>
    </row>
    <row r="59" spans="3:27" x14ac:dyDescent="0.25">
      <c r="C59" s="112"/>
      <c r="D59" s="112"/>
      <c r="E59" s="113"/>
      <c r="F59" s="113"/>
      <c r="G59" s="112"/>
      <c r="H59" s="112"/>
      <c r="I59" s="15"/>
      <c r="J59" s="10"/>
      <c r="K59" s="10"/>
      <c r="L59" s="11"/>
      <c r="M59" s="11"/>
      <c r="N59" s="11"/>
      <c r="P59" s="11"/>
      <c r="Q59" s="10"/>
      <c r="R59" s="11"/>
      <c r="S59" s="11"/>
      <c r="T59" s="11"/>
      <c r="U59" s="10"/>
      <c r="V59" s="10"/>
      <c r="X59" s="10"/>
      <c r="Z59" s="112"/>
      <c r="AA59" s="112"/>
    </row>
    <row r="60" spans="3:27" x14ac:dyDescent="0.25">
      <c r="C60" s="112"/>
      <c r="D60" s="112"/>
      <c r="E60" s="113"/>
      <c r="F60" s="113"/>
      <c r="G60" s="112"/>
      <c r="H60" s="112"/>
      <c r="I60" s="15"/>
      <c r="J60" s="10"/>
      <c r="K60" s="10"/>
      <c r="L60" s="11"/>
      <c r="M60" s="11"/>
      <c r="N60" s="11"/>
      <c r="P60" s="11"/>
      <c r="Q60" s="10"/>
      <c r="R60" s="11"/>
      <c r="S60" s="11"/>
      <c r="T60" s="11"/>
      <c r="U60" s="10"/>
      <c r="V60" s="10"/>
      <c r="X60" s="10"/>
      <c r="Z60" s="112"/>
      <c r="AA60" s="112"/>
    </row>
    <row r="61" spans="3:27" x14ac:dyDescent="0.25">
      <c r="C61" s="112"/>
      <c r="D61" s="112"/>
      <c r="E61" s="113"/>
      <c r="F61" s="113"/>
      <c r="G61" s="112"/>
      <c r="H61" s="112"/>
      <c r="I61" s="15"/>
      <c r="J61" s="10"/>
      <c r="K61" s="10"/>
      <c r="L61" s="11"/>
      <c r="M61" s="11"/>
      <c r="N61" s="11"/>
      <c r="P61" s="11"/>
      <c r="Q61" s="10"/>
      <c r="R61" s="11"/>
      <c r="S61" s="11"/>
      <c r="T61" s="11"/>
      <c r="U61" s="10"/>
      <c r="V61" s="10"/>
      <c r="X61" s="10"/>
      <c r="Z61" s="112"/>
      <c r="AA61" s="112"/>
    </row>
    <row r="62" spans="3:27" x14ac:dyDescent="0.25">
      <c r="C62" s="112"/>
      <c r="D62" s="112"/>
      <c r="E62" s="113"/>
      <c r="F62" s="113"/>
      <c r="G62" s="112"/>
      <c r="H62" s="112"/>
      <c r="I62" s="15"/>
      <c r="J62" s="10"/>
      <c r="K62" s="10"/>
      <c r="L62" s="11"/>
      <c r="M62" s="11"/>
      <c r="N62" s="11"/>
      <c r="Q62" s="10"/>
      <c r="R62" s="11"/>
      <c r="S62" s="11"/>
      <c r="T62" s="11"/>
      <c r="U62" s="10"/>
      <c r="V62" s="10"/>
      <c r="X62" s="10"/>
      <c r="Z62" s="112"/>
      <c r="AA62" s="112"/>
    </row>
    <row r="63" spans="3:27" x14ac:dyDescent="0.25">
      <c r="C63" s="112"/>
      <c r="D63" s="112"/>
      <c r="E63" s="113"/>
      <c r="F63" s="113"/>
      <c r="G63" s="112"/>
      <c r="H63" s="112"/>
      <c r="I63" s="15"/>
      <c r="J63" s="10"/>
      <c r="K63" s="10"/>
      <c r="L63" s="11"/>
      <c r="M63" s="11"/>
      <c r="N63" s="11"/>
      <c r="O63" s="11"/>
      <c r="Q63" s="10"/>
      <c r="R63" s="11"/>
      <c r="S63" s="11"/>
      <c r="T63" s="11"/>
      <c r="U63" s="10"/>
      <c r="V63" s="10"/>
      <c r="X63" s="10"/>
      <c r="Y63" s="17"/>
      <c r="Z63" s="112"/>
      <c r="AA63" s="112"/>
    </row>
    <row r="64" spans="3:27" x14ac:dyDescent="0.25">
      <c r="C64" s="112"/>
      <c r="D64" s="112"/>
      <c r="E64" s="113"/>
      <c r="F64" s="113"/>
      <c r="G64" s="112"/>
      <c r="H64" s="112"/>
      <c r="I64" s="15"/>
      <c r="J64" s="10"/>
      <c r="K64" s="10"/>
      <c r="L64" s="11"/>
      <c r="M64" s="11"/>
      <c r="N64" s="11"/>
      <c r="Q64" s="10"/>
      <c r="R64" s="11"/>
      <c r="S64" s="11"/>
      <c r="T64" s="11"/>
      <c r="U64" s="10"/>
      <c r="V64" s="10"/>
      <c r="X64" s="10"/>
      <c r="Z64" s="112"/>
      <c r="AA64" s="112"/>
    </row>
    <row r="65" spans="3:27" x14ac:dyDescent="0.25">
      <c r="C65" s="112"/>
      <c r="D65" s="112"/>
      <c r="E65" s="113"/>
      <c r="F65" s="113"/>
      <c r="G65" s="112"/>
      <c r="H65" s="112"/>
      <c r="I65" s="15"/>
      <c r="J65" s="10"/>
      <c r="K65" s="10"/>
      <c r="L65" s="11"/>
      <c r="M65" s="11"/>
      <c r="N65" s="11"/>
      <c r="Q65" s="10"/>
      <c r="R65" s="11"/>
      <c r="S65" s="11"/>
      <c r="T65" s="11"/>
      <c r="U65" s="10"/>
      <c r="V65" s="10"/>
      <c r="X65" s="10"/>
      <c r="Z65" s="112"/>
      <c r="AA65" s="112"/>
    </row>
    <row r="66" spans="3:27" x14ac:dyDescent="0.25">
      <c r="C66" s="112"/>
      <c r="D66" s="112"/>
      <c r="E66" s="113"/>
      <c r="F66" s="113"/>
      <c r="G66" s="112"/>
      <c r="H66" s="112"/>
      <c r="I66" s="15"/>
      <c r="J66" s="10"/>
      <c r="K66" s="10"/>
      <c r="L66" s="11"/>
      <c r="M66" s="11"/>
      <c r="N66" s="11"/>
      <c r="Q66" s="10"/>
      <c r="R66" s="11"/>
      <c r="S66" s="11"/>
      <c r="T66" s="11"/>
      <c r="U66" s="10"/>
      <c r="V66" s="10"/>
      <c r="X66" s="10"/>
      <c r="Z66" s="112"/>
      <c r="AA66" s="112"/>
    </row>
    <row r="67" spans="3:27" x14ac:dyDescent="0.25">
      <c r="C67" s="112"/>
      <c r="D67" s="112"/>
      <c r="E67" s="113"/>
      <c r="F67" s="113"/>
      <c r="G67" s="112"/>
      <c r="H67" s="112"/>
      <c r="I67" s="15"/>
      <c r="J67" s="10"/>
      <c r="K67" s="10"/>
      <c r="L67" s="11"/>
      <c r="M67" s="11"/>
      <c r="N67" s="11"/>
      <c r="Q67" s="10"/>
      <c r="R67" s="11"/>
      <c r="S67" s="11"/>
      <c r="T67" s="11"/>
      <c r="U67" s="10"/>
      <c r="V67" s="10"/>
      <c r="X67" s="10"/>
      <c r="Z67" s="112"/>
      <c r="AA67" s="112"/>
    </row>
    <row r="68" spans="3:27" x14ac:dyDescent="0.25">
      <c r="C68" s="112"/>
      <c r="D68" s="112"/>
      <c r="E68" s="113"/>
      <c r="F68" s="113"/>
      <c r="G68" s="112"/>
      <c r="H68" s="112"/>
      <c r="I68" s="15"/>
      <c r="J68" s="10"/>
      <c r="K68" s="10"/>
      <c r="L68" s="11"/>
      <c r="M68" s="11"/>
      <c r="N68" s="11"/>
      <c r="Q68" s="10"/>
      <c r="R68" s="11"/>
      <c r="S68" s="11"/>
      <c r="T68" s="11"/>
      <c r="U68" s="10"/>
      <c r="V68" s="10"/>
      <c r="X68" s="10"/>
      <c r="Z68" s="112"/>
      <c r="AA68" s="112"/>
    </row>
    <row r="69" spans="3:27" x14ac:dyDescent="0.25">
      <c r="C69" s="112"/>
      <c r="D69" s="112"/>
      <c r="E69" s="113"/>
      <c r="F69" s="113"/>
      <c r="G69" s="112"/>
      <c r="H69" s="112"/>
      <c r="I69" s="15"/>
      <c r="J69" s="10"/>
      <c r="K69" s="10"/>
      <c r="L69" s="11"/>
      <c r="M69" s="11"/>
      <c r="N69" s="11"/>
      <c r="Q69" s="10"/>
      <c r="R69" s="11"/>
      <c r="S69" s="11"/>
      <c r="T69" s="11"/>
      <c r="U69" s="10"/>
      <c r="V69" s="10"/>
      <c r="X69" s="10"/>
      <c r="Z69" s="112"/>
      <c r="AA69" s="112"/>
    </row>
    <row r="70" spans="3:27" x14ac:dyDescent="0.25">
      <c r="C70" s="112"/>
      <c r="D70" s="112"/>
      <c r="E70" s="113"/>
      <c r="F70" s="113"/>
      <c r="G70" s="112"/>
      <c r="H70" s="112"/>
      <c r="I70" s="15"/>
      <c r="J70" s="10"/>
      <c r="K70" s="10"/>
      <c r="L70" s="11"/>
      <c r="M70" s="11"/>
      <c r="N70" s="11"/>
      <c r="Q70" s="10"/>
      <c r="R70" s="11"/>
      <c r="S70" s="11"/>
      <c r="T70" s="11"/>
      <c r="U70" s="10"/>
      <c r="V70" s="10"/>
      <c r="X70" s="10"/>
      <c r="Z70" s="112"/>
      <c r="AA70" s="112"/>
    </row>
    <row r="71" spans="3:27" x14ac:dyDescent="0.25">
      <c r="C71" s="112"/>
      <c r="D71" s="112"/>
      <c r="E71" s="113"/>
      <c r="F71" s="113"/>
      <c r="G71" s="112"/>
      <c r="H71" s="112"/>
      <c r="Z71" s="112"/>
      <c r="AA71" s="112"/>
    </row>
    <row r="72" spans="3:27" x14ac:dyDescent="0.25">
      <c r="C72" s="112"/>
      <c r="D72" s="112"/>
      <c r="E72" s="113"/>
      <c r="F72" s="113"/>
      <c r="G72" s="112"/>
      <c r="H72" s="112"/>
      <c r="Z72" s="112"/>
      <c r="AA72" s="112"/>
    </row>
    <row r="73" spans="3:27" x14ac:dyDescent="0.25">
      <c r="C73" s="112"/>
      <c r="D73" s="112"/>
      <c r="E73" s="113"/>
      <c r="F73" s="113"/>
      <c r="G73" s="112"/>
      <c r="H73" s="112"/>
      <c r="Z73" s="112"/>
      <c r="AA73" s="112"/>
    </row>
    <row r="74" spans="3:27" x14ac:dyDescent="0.25">
      <c r="C74" s="112"/>
      <c r="D74" s="112"/>
      <c r="E74" s="113"/>
      <c r="F74" s="113"/>
      <c r="G74" s="112"/>
      <c r="H74" s="112"/>
      <c r="Z74" s="112"/>
      <c r="AA74" s="112"/>
    </row>
    <row r="75" spans="3:27" x14ac:dyDescent="0.25">
      <c r="C75" s="112"/>
      <c r="D75" s="112"/>
      <c r="E75" s="113"/>
      <c r="F75" s="113"/>
      <c r="G75" s="112"/>
      <c r="H75" s="112"/>
      <c r="Z75" s="112"/>
      <c r="AA75" s="112"/>
    </row>
    <row r="76" spans="3:27" x14ac:dyDescent="0.25">
      <c r="C76" s="112"/>
      <c r="D76" s="112"/>
      <c r="E76" s="113"/>
      <c r="F76" s="113"/>
      <c r="G76" s="112"/>
      <c r="H76" s="112"/>
      <c r="Z76" s="112"/>
      <c r="AA76" s="112"/>
    </row>
    <row r="77" spans="3:27" x14ac:dyDescent="0.25">
      <c r="C77" s="112"/>
      <c r="D77" s="112"/>
      <c r="E77" s="113"/>
      <c r="F77" s="113"/>
      <c r="G77" s="112"/>
      <c r="H77" s="112"/>
      <c r="Z77" s="112"/>
      <c r="AA77" s="112"/>
    </row>
    <row r="78" spans="3:27" x14ac:dyDescent="0.25">
      <c r="C78" s="112"/>
      <c r="D78" s="112"/>
      <c r="E78" s="113"/>
      <c r="F78" s="113"/>
      <c r="G78" s="112"/>
      <c r="H78" s="112"/>
      <c r="Z78" s="112"/>
      <c r="AA78" s="112"/>
    </row>
    <row r="79" spans="3:27" x14ac:dyDescent="0.25">
      <c r="C79" s="112"/>
      <c r="D79" s="112"/>
      <c r="E79" s="113"/>
      <c r="F79" s="113"/>
      <c r="G79" s="112"/>
      <c r="H79" s="112"/>
      <c r="Z79" s="112"/>
      <c r="AA79" s="112"/>
    </row>
    <row r="80" spans="3:27" x14ac:dyDescent="0.25">
      <c r="C80" s="112"/>
      <c r="D80" s="112"/>
      <c r="E80" s="113"/>
      <c r="F80" s="113"/>
      <c r="G80" s="112"/>
      <c r="H80" s="112"/>
      <c r="Z80" s="112"/>
      <c r="AA80" s="112"/>
    </row>
    <row r="81" spans="3:27" x14ac:dyDescent="0.25">
      <c r="C81" s="112"/>
      <c r="D81" s="112"/>
      <c r="E81" s="113"/>
      <c r="F81" s="113"/>
      <c r="G81" s="112"/>
      <c r="H81" s="112"/>
      <c r="Z81" s="112"/>
      <c r="AA81" s="112"/>
    </row>
    <row r="82" spans="3:27" x14ac:dyDescent="0.25">
      <c r="C82" s="112"/>
      <c r="D82" s="112"/>
      <c r="E82" s="113"/>
      <c r="F82" s="113"/>
      <c r="G82" s="112"/>
      <c r="H82" s="112"/>
      <c r="Z82" s="112"/>
      <c r="AA82" s="112"/>
    </row>
    <row r="83" spans="3:27" x14ac:dyDescent="0.25">
      <c r="C83" s="112"/>
      <c r="D83" s="112"/>
      <c r="E83" s="113"/>
      <c r="F83" s="113"/>
      <c r="G83" s="112"/>
      <c r="H83" s="112"/>
      <c r="Z83" s="112"/>
      <c r="AA83" s="112"/>
    </row>
    <row r="84" spans="3:27" x14ac:dyDescent="0.25">
      <c r="C84" s="112"/>
      <c r="D84" s="112"/>
      <c r="E84" s="113"/>
      <c r="F84" s="113"/>
      <c r="G84" s="112"/>
      <c r="H84" s="112"/>
      <c r="Z84" s="112"/>
      <c r="AA84" s="112"/>
    </row>
    <row r="85" spans="3:27" x14ac:dyDescent="0.25">
      <c r="C85" s="112"/>
      <c r="D85" s="112"/>
      <c r="E85" s="113"/>
      <c r="F85" s="113"/>
      <c r="G85" s="112"/>
      <c r="H85" s="112"/>
      <c r="Z85" s="112"/>
      <c r="AA85" s="112"/>
    </row>
    <row r="86" spans="3:27" x14ac:dyDescent="0.25">
      <c r="C86" s="112"/>
      <c r="D86" s="112"/>
      <c r="E86" s="113"/>
      <c r="F86" s="113"/>
      <c r="G86" s="112"/>
      <c r="H86" s="112"/>
      <c r="Z86" s="112"/>
      <c r="AA86" s="112"/>
    </row>
    <row r="87" spans="3:27" x14ac:dyDescent="0.25">
      <c r="C87" s="112"/>
      <c r="D87" s="112"/>
      <c r="E87" s="113"/>
      <c r="F87" s="113"/>
      <c r="G87" s="112"/>
      <c r="H87" s="112"/>
      <c r="Z87" s="112"/>
      <c r="AA87" s="112"/>
    </row>
    <row r="88" spans="3:27" x14ac:dyDescent="0.25">
      <c r="C88" s="112"/>
      <c r="D88" s="112"/>
      <c r="E88" s="113"/>
      <c r="F88" s="113"/>
      <c r="G88" s="112"/>
      <c r="H88" s="112"/>
      <c r="Z88" s="112"/>
      <c r="AA88" s="112"/>
    </row>
    <row r="89" spans="3:27" x14ac:dyDescent="0.25">
      <c r="C89" s="112"/>
      <c r="D89" s="112"/>
      <c r="E89" s="113"/>
      <c r="F89" s="113"/>
      <c r="G89" s="112"/>
      <c r="H89" s="112"/>
      <c r="Z89" s="112"/>
      <c r="AA89" s="112"/>
    </row>
    <row r="90" spans="3:27" x14ac:dyDescent="0.25">
      <c r="C90" s="112"/>
      <c r="D90" s="112"/>
      <c r="E90" s="113"/>
      <c r="F90" s="113"/>
      <c r="G90" s="112"/>
      <c r="H90" s="112"/>
      <c r="Z90" s="112"/>
      <c r="AA90" s="112"/>
    </row>
    <row r="91" spans="3:27" x14ac:dyDescent="0.25">
      <c r="C91" s="112"/>
      <c r="D91" s="112"/>
      <c r="E91" s="113"/>
      <c r="F91" s="113"/>
      <c r="G91" s="112"/>
      <c r="H91" s="112"/>
      <c r="Z91" s="112"/>
      <c r="AA91" s="112"/>
    </row>
    <row r="92" spans="3:27" x14ac:dyDescent="0.25">
      <c r="C92" s="112"/>
      <c r="D92" s="112"/>
      <c r="E92" s="113"/>
      <c r="F92" s="113"/>
      <c r="G92" s="112"/>
      <c r="H92" s="112"/>
      <c r="Z92" s="112"/>
      <c r="AA92" s="112"/>
    </row>
    <row r="93" spans="3:27" x14ac:dyDescent="0.25">
      <c r="C93" s="112"/>
      <c r="D93" s="112"/>
      <c r="E93" s="113"/>
      <c r="F93" s="113"/>
      <c r="G93" s="112"/>
      <c r="H93" s="112"/>
      <c r="Z93" s="112"/>
      <c r="AA93" s="112"/>
    </row>
    <row r="94" spans="3:27" x14ac:dyDescent="0.25">
      <c r="C94" s="112"/>
      <c r="D94" s="112"/>
      <c r="E94" s="113"/>
      <c r="F94" s="113"/>
      <c r="G94" s="112"/>
      <c r="H94" s="112"/>
      <c r="Z94" s="112"/>
      <c r="AA94" s="112"/>
    </row>
    <row r="95" spans="3:27" x14ac:dyDescent="0.25">
      <c r="C95" s="112"/>
      <c r="D95" s="112"/>
      <c r="E95" s="113"/>
      <c r="F95" s="113"/>
      <c r="G95" s="112"/>
      <c r="H95" s="112"/>
      <c r="Z95" s="112"/>
      <c r="AA95" s="112"/>
    </row>
    <row r="96" spans="3:27" x14ac:dyDescent="0.25">
      <c r="C96" s="112"/>
      <c r="D96" s="112"/>
      <c r="E96" s="113"/>
      <c r="F96" s="113"/>
      <c r="G96" s="112"/>
      <c r="H96" s="112"/>
      <c r="Z96" s="112"/>
      <c r="AA96" s="112"/>
    </row>
    <row r="97" spans="3:27" x14ac:dyDescent="0.25">
      <c r="C97" s="112"/>
      <c r="D97" s="112"/>
      <c r="E97" s="113"/>
      <c r="F97" s="113"/>
      <c r="G97" s="112"/>
      <c r="H97" s="112"/>
      <c r="Z97" s="112"/>
      <c r="AA97" s="112"/>
    </row>
    <row r="98" spans="3:27" x14ac:dyDescent="0.25">
      <c r="C98" s="112"/>
      <c r="D98" s="112"/>
      <c r="E98" s="113"/>
      <c r="F98" s="113"/>
      <c r="G98" s="112"/>
      <c r="H98" s="112"/>
      <c r="Z98" s="112"/>
      <c r="AA98" s="112"/>
    </row>
    <row r="99" spans="3:27" x14ac:dyDescent="0.25">
      <c r="C99" s="112"/>
      <c r="D99" s="112"/>
      <c r="E99" s="113"/>
      <c r="F99" s="113"/>
      <c r="G99" s="112"/>
      <c r="H99" s="112"/>
      <c r="Z99" s="112"/>
      <c r="AA99" s="112"/>
    </row>
    <row r="100" spans="3:27" x14ac:dyDescent="0.25">
      <c r="C100" s="112"/>
      <c r="D100" s="112"/>
      <c r="E100" s="113"/>
      <c r="F100" s="113"/>
      <c r="G100" s="112"/>
      <c r="H100" s="112"/>
      <c r="Z100" s="112"/>
      <c r="AA100" s="112"/>
    </row>
    <row r="101" spans="3:27" x14ac:dyDescent="0.25">
      <c r="C101" s="112"/>
      <c r="D101" s="112"/>
      <c r="E101" s="113"/>
      <c r="F101" s="113"/>
      <c r="G101" s="112"/>
      <c r="H101" s="112"/>
      <c r="Z101" s="112"/>
      <c r="AA101" s="112"/>
    </row>
    <row r="102" spans="3:27" x14ac:dyDescent="0.25">
      <c r="C102" s="112"/>
      <c r="D102" s="112"/>
      <c r="E102" s="113"/>
      <c r="F102" s="113"/>
      <c r="G102" s="112"/>
      <c r="H102" s="112"/>
      <c r="Z102" s="112"/>
      <c r="AA102" s="112"/>
    </row>
    <row r="103" spans="3:27" x14ac:dyDescent="0.25">
      <c r="C103" s="112"/>
      <c r="D103" s="112"/>
      <c r="E103" s="113"/>
      <c r="F103" s="113"/>
      <c r="G103" s="112"/>
      <c r="H103" s="112"/>
      <c r="Z103" s="112"/>
      <c r="AA103" s="112"/>
    </row>
    <row r="104" spans="3:27" x14ac:dyDescent="0.25">
      <c r="C104" s="112"/>
      <c r="D104" s="112"/>
      <c r="E104" s="113"/>
      <c r="F104" s="113"/>
      <c r="G104" s="112"/>
      <c r="H104" s="112"/>
      <c r="Z104" s="112"/>
      <c r="AA104" s="112"/>
    </row>
    <row r="105" spans="3:27" x14ac:dyDescent="0.25">
      <c r="C105" s="112"/>
      <c r="D105" s="112"/>
      <c r="E105" s="113"/>
      <c r="F105" s="113"/>
      <c r="G105" s="112"/>
      <c r="H105" s="112"/>
      <c r="Z105" s="112"/>
      <c r="AA105" s="112"/>
    </row>
    <row r="106" spans="3:27" x14ac:dyDescent="0.25">
      <c r="C106" s="112"/>
      <c r="D106" s="112"/>
      <c r="E106" s="113"/>
      <c r="F106" s="113"/>
      <c r="G106" s="112"/>
      <c r="H106" s="112"/>
      <c r="Z106" s="112"/>
      <c r="AA106" s="112"/>
    </row>
    <row r="107" spans="3:27" x14ac:dyDescent="0.25">
      <c r="C107" s="112"/>
      <c r="D107" s="112"/>
      <c r="E107" s="113"/>
      <c r="F107" s="113"/>
      <c r="G107" s="112"/>
      <c r="H107" s="112"/>
      <c r="Z107" s="112"/>
      <c r="AA107" s="112"/>
    </row>
    <row r="108" spans="3:27" x14ac:dyDescent="0.25">
      <c r="C108" s="112"/>
      <c r="D108" s="112"/>
      <c r="E108" s="113"/>
      <c r="F108" s="113"/>
      <c r="G108" s="112"/>
      <c r="H108" s="112"/>
      <c r="Z108" s="112"/>
      <c r="AA108" s="112"/>
    </row>
    <row r="109" spans="3:27" x14ac:dyDescent="0.25">
      <c r="C109" s="112"/>
      <c r="D109" s="112"/>
      <c r="E109" s="113"/>
      <c r="F109" s="113"/>
      <c r="G109" s="112"/>
      <c r="H109" s="112"/>
      <c r="Z109" s="112"/>
      <c r="AA109" s="112"/>
    </row>
    <row r="110" spans="3:27" x14ac:dyDescent="0.25">
      <c r="C110" s="112"/>
      <c r="D110" s="112"/>
      <c r="E110" s="113"/>
      <c r="F110" s="113"/>
      <c r="G110" s="112"/>
      <c r="H110" s="112"/>
      <c r="Z110" s="112"/>
      <c r="AA110" s="112"/>
    </row>
    <row r="111" spans="3:27" x14ac:dyDescent="0.25">
      <c r="C111" s="112"/>
      <c r="D111" s="112"/>
      <c r="E111" s="113"/>
      <c r="F111" s="113"/>
      <c r="G111" s="112"/>
      <c r="H111" s="112"/>
      <c r="Z111" s="112"/>
      <c r="AA111" s="112"/>
    </row>
    <row r="112" spans="3:27" x14ac:dyDescent="0.25">
      <c r="C112" s="112"/>
      <c r="D112" s="112"/>
      <c r="E112" s="113"/>
      <c r="F112" s="113"/>
      <c r="G112" s="112"/>
      <c r="H112" s="112"/>
      <c r="Z112" s="112"/>
      <c r="AA112" s="112"/>
    </row>
    <row r="113" spans="3:27" x14ac:dyDescent="0.25">
      <c r="C113" s="112"/>
      <c r="D113" s="112"/>
      <c r="E113" s="113"/>
      <c r="F113" s="113"/>
      <c r="G113" s="112"/>
      <c r="H113" s="112"/>
      <c r="Z113" s="112"/>
      <c r="AA113" s="112"/>
    </row>
    <row r="114" spans="3:27" x14ac:dyDescent="0.25">
      <c r="C114" s="112"/>
      <c r="D114" s="112"/>
      <c r="E114" s="113"/>
      <c r="F114" s="113"/>
      <c r="G114" s="112"/>
      <c r="H114" s="112"/>
      <c r="Z114" s="112"/>
      <c r="AA114" s="112"/>
    </row>
    <row r="115" spans="3:27" x14ac:dyDescent="0.25">
      <c r="C115" s="112"/>
      <c r="D115" s="112"/>
      <c r="E115" s="113"/>
      <c r="F115" s="113"/>
      <c r="G115" s="112"/>
      <c r="H115" s="112"/>
      <c r="Z115" s="112"/>
      <c r="AA115" s="112"/>
    </row>
    <row r="116" spans="3:27" x14ac:dyDescent="0.25">
      <c r="C116" s="112"/>
      <c r="D116" s="112"/>
      <c r="E116" s="113"/>
      <c r="F116" s="113"/>
      <c r="G116" s="112"/>
      <c r="H116" s="112"/>
      <c r="Z116" s="112"/>
      <c r="AA116" s="112"/>
    </row>
    <row r="117" spans="3:27" x14ac:dyDescent="0.25">
      <c r="C117" s="112"/>
      <c r="D117" s="112"/>
      <c r="E117" s="113"/>
      <c r="F117" s="113"/>
      <c r="G117" s="112"/>
      <c r="H117" s="112"/>
      <c r="Z117" s="112"/>
      <c r="AA117" s="112"/>
    </row>
    <row r="118" spans="3:27" x14ac:dyDescent="0.25">
      <c r="C118" s="112"/>
      <c r="D118" s="112"/>
      <c r="E118" s="113"/>
      <c r="F118" s="113"/>
      <c r="G118" s="112"/>
      <c r="H118" s="112"/>
      <c r="Z118" s="112"/>
      <c r="AA118" s="112"/>
    </row>
    <row r="119" spans="3:27" x14ac:dyDescent="0.25">
      <c r="C119" s="112"/>
      <c r="D119" s="112"/>
      <c r="E119" s="113"/>
      <c r="F119" s="113"/>
      <c r="G119" s="112"/>
      <c r="H119" s="112"/>
      <c r="Z119" s="112"/>
      <c r="AA119" s="112"/>
    </row>
    <row r="120" spans="3:27" x14ac:dyDescent="0.25">
      <c r="C120" s="112"/>
      <c r="D120" s="112"/>
      <c r="E120" s="113"/>
      <c r="F120" s="113"/>
      <c r="G120" s="112"/>
      <c r="H120" s="112"/>
      <c r="Z120" s="112"/>
      <c r="AA120" s="112"/>
    </row>
    <row r="121" spans="3:27" x14ac:dyDescent="0.25">
      <c r="C121" s="112"/>
      <c r="D121" s="112"/>
      <c r="E121" s="113"/>
      <c r="F121" s="113"/>
      <c r="G121" s="112"/>
      <c r="H121" s="112"/>
      <c r="Z121" s="112"/>
      <c r="AA121" s="112"/>
    </row>
    <row r="122" spans="3:27" x14ac:dyDescent="0.25">
      <c r="C122" s="112"/>
      <c r="D122" s="112"/>
      <c r="E122" s="113"/>
      <c r="F122" s="113"/>
      <c r="G122" s="112"/>
      <c r="H122" s="112"/>
      <c r="Z122" s="112"/>
      <c r="AA122" s="112"/>
    </row>
    <row r="123" spans="3:27" x14ac:dyDescent="0.25">
      <c r="C123" s="112"/>
      <c r="D123" s="112"/>
      <c r="E123" s="113"/>
      <c r="F123" s="113"/>
      <c r="G123" s="112"/>
      <c r="H123" s="112"/>
      <c r="Z123" s="112"/>
      <c r="AA123" s="112"/>
    </row>
    <row r="124" spans="3:27" x14ac:dyDescent="0.25">
      <c r="C124" s="112"/>
      <c r="D124" s="112"/>
      <c r="E124" s="113"/>
      <c r="F124" s="113"/>
      <c r="G124" s="112"/>
      <c r="H124" s="112"/>
      <c r="Z124" s="112"/>
      <c r="AA124" s="112"/>
    </row>
    <row r="125" spans="3:27" x14ac:dyDescent="0.25">
      <c r="C125" s="112"/>
      <c r="D125" s="112"/>
      <c r="E125" s="113"/>
      <c r="F125" s="113"/>
      <c r="G125" s="112"/>
      <c r="H125" s="112"/>
      <c r="Z125" s="112"/>
      <c r="AA125" s="112"/>
    </row>
    <row r="126" spans="3:27" x14ac:dyDescent="0.25">
      <c r="C126" s="112"/>
      <c r="D126" s="112"/>
      <c r="E126" s="113"/>
      <c r="F126" s="113"/>
      <c r="G126" s="112"/>
      <c r="H126" s="112"/>
      <c r="Z126" s="112"/>
      <c r="AA126" s="112"/>
    </row>
    <row r="127" spans="3:27" x14ac:dyDescent="0.25">
      <c r="C127" s="112"/>
      <c r="D127" s="112"/>
      <c r="E127" s="113"/>
      <c r="F127" s="113"/>
      <c r="G127" s="112"/>
      <c r="H127" s="112"/>
      <c r="Z127" s="112"/>
      <c r="AA127" s="112"/>
    </row>
    <row r="128" spans="3:27" x14ac:dyDescent="0.25">
      <c r="C128" s="112"/>
      <c r="D128" s="112"/>
      <c r="E128" s="113"/>
      <c r="F128" s="113"/>
      <c r="G128" s="112"/>
      <c r="H128" s="112"/>
      <c r="Z128" s="112"/>
      <c r="AA128" s="112"/>
    </row>
    <row r="129" spans="3:27" x14ac:dyDescent="0.25">
      <c r="C129" s="112"/>
      <c r="D129" s="112"/>
      <c r="E129" s="113"/>
      <c r="F129" s="113"/>
      <c r="G129" s="112"/>
      <c r="H129" s="112"/>
      <c r="Z129" s="112"/>
      <c r="AA129" s="112"/>
    </row>
    <row r="130" spans="3:27" x14ac:dyDescent="0.25">
      <c r="C130" s="112"/>
      <c r="D130" s="112"/>
      <c r="E130" s="113"/>
      <c r="F130" s="113"/>
      <c r="G130" s="112"/>
      <c r="H130" s="112"/>
      <c r="Z130" s="112"/>
      <c r="AA130" s="112"/>
    </row>
    <row r="131" spans="3:27" x14ac:dyDescent="0.25">
      <c r="C131" s="112"/>
      <c r="D131" s="112"/>
      <c r="E131" s="113"/>
      <c r="F131" s="113"/>
      <c r="G131" s="112"/>
      <c r="H131" s="112"/>
      <c r="Z131" s="112"/>
      <c r="AA131" s="112"/>
    </row>
    <row r="132" spans="3:27" x14ac:dyDescent="0.25">
      <c r="C132" s="112"/>
      <c r="D132" s="112"/>
      <c r="E132" s="113"/>
      <c r="F132" s="113"/>
      <c r="G132" s="112"/>
      <c r="H132" s="112"/>
      <c r="Z132" s="112"/>
      <c r="AA132" s="112"/>
    </row>
    <row r="133" spans="3:27" x14ac:dyDescent="0.25">
      <c r="C133" s="112"/>
      <c r="D133" s="112"/>
      <c r="E133" s="113"/>
      <c r="F133" s="113"/>
      <c r="G133" s="112"/>
      <c r="H133" s="112"/>
      <c r="Z133" s="112"/>
      <c r="AA133" s="112"/>
    </row>
    <row r="134" spans="3:27" x14ac:dyDescent="0.25">
      <c r="C134" s="112"/>
      <c r="D134" s="112"/>
      <c r="E134" s="113"/>
      <c r="F134" s="113"/>
      <c r="G134" s="112"/>
      <c r="H134" s="112"/>
      <c r="Z134" s="112"/>
      <c r="AA134" s="112"/>
    </row>
    <row r="135" spans="3:27" x14ac:dyDescent="0.25">
      <c r="C135" s="112"/>
      <c r="D135" s="112"/>
      <c r="E135" s="113"/>
      <c r="F135" s="113"/>
      <c r="G135" s="112"/>
      <c r="H135" s="112"/>
      <c r="Z135" s="112"/>
      <c r="AA135" s="112"/>
    </row>
    <row r="136" spans="3:27" x14ac:dyDescent="0.25">
      <c r="C136" s="112"/>
      <c r="D136" s="112"/>
      <c r="E136" s="113"/>
      <c r="F136" s="113"/>
      <c r="G136" s="112"/>
      <c r="H136" s="112"/>
      <c r="Z136" s="112"/>
      <c r="AA136" s="112"/>
    </row>
    <row r="137" spans="3:27" x14ac:dyDescent="0.25">
      <c r="C137" s="112"/>
      <c r="D137" s="112"/>
      <c r="E137" s="113"/>
      <c r="F137" s="113"/>
      <c r="G137" s="112"/>
      <c r="H137" s="112"/>
      <c r="Z137" s="112"/>
      <c r="AA137" s="112"/>
    </row>
    <row r="138" spans="3:27" x14ac:dyDescent="0.25">
      <c r="C138" s="112"/>
      <c r="D138" s="112"/>
      <c r="E138" s="113"/>
      <c r="F138" s="113"/>
      <c r="G138" s="112"/>
      <c r="H138" s="112"/>
      <c r="Z138" s="112"/>
      <c r="AA138" s="112"/>
    </row>
    <row r="139" spans="3:27" x14ac:dyDescent="0.25">
      <c r="C139" s="112"/>
      <c r="D139" s="112"/>
      <c r="E139" s="113"/>
      <c r="F139" s="113"/>
      <c r="G139" s="112"/>
      <c r="H139" s="112"/>
      <c r="Z139" s="112"/>
      <c r="AA139" s="112"/>
    </row>
    <row r="140" spans="3:27" x14ac:dyDescent="0.25">
      <c r="C140" s="112"/>
      <c r="D140" s="112"/>
      <c r="E140" s="113"/>
      <c r="F140" s="113"/>
      <c r="G140" s="112"/>
      <c r="H140" s="112"/>
      <c r="Z140" s="112"/>
      <c r="AA140" s="112"/>
    </row>
    <row r="141" spans="3:27" x14ac:dyDescent="0.25">
      <c r="C141" s="112"/>
      <c r="D141" s="112"/>
      <c r="E141" s="113"/>
      <c r="F141" s="113"/>
      <c r="G141" s="112"/>
      <c r="H141" s="112"/>
      <c r="Z141" s="112"/>
      <c r="AA141" s="112"/>
    </row>
    <row r="142" spans="3:27" x14ac:dyDescent="0.25">
      <c r="C142" s="112"/>
      <c r="D142" s="112"/>
      <c r="E142" s="113"/>
      <c r="F142" s="113"/>
      <c r="G142" s="112"/>
      <c r="H142" s="112"/>
      <c r="Z142" s="112"/>
      <c r="AA142" s="112"/>
    </row>
    <row r="143" spans="3:27" x14ac:dyDescent="0.25">
      <c r="C143" s="112"/>
      <c r="D143" s="112"/>
      <c r="E143" s="113"/>
      <c r="F143" s="113"/>
      <c r="G143" s="112"/>
      <c r="H143" s="112"/>
      <c r="Z143" s="112"/>
      <c r="AA143" s="112"/>
    </row>
    <row r="144" spans="3:27" x14ac:dyDescent="0.25">
      <c r="C144" s="112"/>
      <c r="D144" s="112"/>
      <c r="E144" s="113"/>
      <c r="F144" s="113"/>
      <c r="G144" s="112"/>
      <c r="H144" s="112"/>
      <c r="Z144" s="112"/>
      <c r="AA144" s="112"/>
    </row>
    <row r="145" spans="3:27" x14ac:dyDescent="0.25">
      <c r="C145" s="112"/>
      <c r="D145" s="112"/>
      <c r="E145" s="113"/>
      <c r="F145" s="113"/>
      <c r="G145" s="112"/>
      <c r="H145" s="112"/>
      <c r="Z145" s="112"/>
      <c r="AA145" s="112"/>
    </row>
    <row r="146" spans="3:27" x14ac:dyDescent="0.25">
      <c r="C146" s="112"/>
      <c r="D146" s="112"/>
      <c r="E146" s="113"/>
      <c r="F146" s="113"/>
      <c r="G146" s="112"/>
      <c r="H146" s="112"/>
      <c r="Z146" s="112"/>
      <c r="AA146" s="112"/>
    </row>
    <row r="147" spans="3:27" x14ac:dyDescent="0.25">
      <c r="C147" s="112"/>
      <c r="D147" s="112"/>
      <c r="E147" s="113"/>
      <c r="F147" s="113"/>
      <c r="G147" s="112"/>
      <c r="H147" s="112"/>
      <c r="Z147" s="112"/>
      <c r="AA147" s="112"/>
    </row>
    <row r="148" spans="3:27" x14ac:dyDescent="0.25">
      <c r="C148" s="112"/>
      <c r="D148" s="112"/>
      <c r="E148" s="113"/>
      <c r="F148" s="113"/>
      <c r="G148" s="112"/>
      <c r="H148" s="112"/>
      <c r="Z148" s="112"/>
      <c r="AA148" s="112"/>
    </row>
    <row r="149" spans="3:27" x14ac:dyDescent="0.25">
      <c r="C149" s="112"/>
      <c r="D149" s="112"/>
      <c r="E149" s="113"/>
      <c r="F149" s="113"/>
      <c r="G149" s="112"/>
      <c r="H149" s="112"/>
      <c r="Z149" s="112"/>
      <c r="AA149" s="112"/>
    </row>
    <row r="150" spans="3:27" x14ac:dyDescent="0.25">
      <c r="C150" s="112"/>
      <c r="D150" s="112"/>
      <c r="E150" s="113"/>
      <c r="F150" s="113"/>
      <c r="G150" s="112"/>
      <c r="H150" s="112"/>
      <c r="Z150" s="112"/>
      <c r="AA150" s="112"/>
    </row>
    <row r="151" spans="3:27" x14ac:dyDescent="0.25">
      <c r="C151" s="112"/>
      <c r="D151" s="112"/>
      <c r="E151" s="113"/>
      <c r="F151" s="113"/>
      <c r="G151" s="112"/>
      <c r="H151" s="112"/>
      <c r="Z151" s="112"/>
      <c r="AA151" s="112"/>
    </row>
    <row r="152" spans="3:27" x14ac:dyDescent="0.25">
      <c r="C152" s="112"/>
      <c r="D152" s="112"/>
      <c r="E152" s="113"/>
      <c r="F152" s="113"/>
      <c r="G152" s="112"/>
      <c r="H152" s="112"/>
      <c r="Z152" s="112"/>
      <c r="AA152" s="112"/>
    </row>
    <row r="153" spans="3:27" x14ac:dyDescent="0.25">
      <c r="C153" s="112"/>
      <c r="D153" s="112"/>
      <c r="E153" s="113"/>
      <c r="F153" s="113"/>
      <c r="G153" s="112"/>
      <c r="H153" s="112"/>
      <c r="Z153" s="112"/>
      <c r="AA153" s="112"/>
    </row>
    <row r="154" spans="3:27" x14ac:dyDescent="0.25">
      <c r="C154" s="112"/>
      <c r="D154" s="112"/>
      <c r="E154" s="113"/>
      <c r="F154" s="113"/>
      <c r="G154" s="112"/>
      <c r="H154" s="112"/>
      <c r="Z154" s="112"/>
      <c r="AA154" s="112"/>
    </row>
    <row r="155" spans="3:27" x14ac:dyDescent="0.25">
      <c r="C155" s="112"/>
      <c r="D155" s="112"/>
      <c r="E155" s="113"/>
      <c r="F155" s="113"/>
      <c r="G155" s="112"/>
      <c r="H155" s="112"/>
      <c r="Z155" s="112"/>
      <c r="AA155" s="112"/>
    </row>
    <row r="156" spans="3:27" x14ac:dyDescent="0.25">
      <c r="C156" s="112"/>
      <c r="D156" s="112"/>
      <c r="E156" s="113"/>
      <c r="F156" s="113"/>
      <c r="G156" s="112"/>
      <c r="H156" s="112"/>
      <c r="Z156" s="112"/>
      <c r="AA156" s="112"/>
    </row>
    <row r="157" spans="3:27" x14ac:dyDescent="0.25">
      <c r="C157" s="112"/>
      <c r="D157" s="112"/>
      <c r="E157" s="113"/>
      <c r="F157" s="113"/>
      <c r="G157" s="112"/>
      <c r="H157" s="112"/>
      <c r="Z157" s="112"/>
      <c r="AA157" s="112"/>
    </row>
    <row r="158" spans="3:27" x14ac:dyDescent="0.25">
      <c r="C158" s="112"/>
      <c r="D158" s="112"/>
      <c r="E158" s="113"/>
      <c r="F158" s="113"/>
      <c r="G158" s="112"/>
      <c r="H158" s="112"/>
      <c r="Z158" s="112"/>
      <c r="AA158" s="112"/>
    </row>
    <row r="159" spans="3:27" x14ac:dyDescent="0.25">
      <c r="C159" s="112"/>
      <c r="D159" s="112"/>
      <c r="E159" s="113"/>
      <c r="F159" s="113"/>
      <c r="G159" s="112"/>
      <c r="H159" s="112"/>
      <c r="Z159" s="112"/>
      <c r="AA159" s="112"/>
    </row>
    <row r="160" spans="3:27" x14ac:dyDescent="0.25">
      <c r="C160" s="112"/>
      <c r="D160" s="112"/>
      <c r="E160" s="113"/>
      <c r="F160" s="113"/>
      <c r="G160" s="112"/>
      <c r="H160" s="112"/>
      <c r="Z160" s="112"/>
      <c r="AA160" s="112"/>
    </row>
    <row r="161" spans="3:27" x14ac:dyDescent="0.25">
      <c r="C161" s="112"/>
      <c r="D161" s="112"/>
      <c r="E161" s="113"/>
      <c r="F161" s="113"/>
      <c r="G161" s="112"/>
      <c r="H161" s="112"/>
      <c r="Z161" s="112"/>
      <c r="AA161" s="112"/>
    </row>
    <row r="162" spans="3:27" x14ac:dyDescent="0.25">
      <c r="C162" s="112"/>
      <c r="D162" s="112"/>
      <c r="E162" s="113"/>
      <c r="F162" s="113"/>
      <c r="G162" s="112"/>
      <c r="H162" s="112"/>
      <c r="Z162" s="112"/>
      <c r="AA162" s="112"/>
    </row>
    <row r="163" spans="3:27" x14ac:dyDescent="0.25">
      <c r="C163" s="112"/>
      <c r="D163" s="112"/>
      <c r="E163" s="113"/>
      <c r="F163" s="113"/>
      <c r="G163" s="112"/>
      <c r="H163" s="112"/>
      <c r="Z163" s="112"/>
      <c r="AA163" s="112"/>
    </row>
    <row r="164" spans="3:27" x14ac:dyDescent="0.25">
      <c r="C164" s="112"/>
      <c r="D164" s="112"/>
      <c r="E164" s="113"/>
      <c r="F164" s="113"/>
      <c r="G164" s="112"/>
      <c r="H164" s="112"/>
      <c r="Z164" s="112"/>
      <c r="AA164" s="112"/>
    </row>
    <row r="165" spans="3:27" x14ac:dyDescent="0.25">
      <c r="C165" s="112"/>
      <c r="D165" s="112"/>
      <c r="E165" s="113"/>
      <c r="F165" s="113"/>
      <c r="G165" s="112"/>
      <c r="H165" s="112"/>
      <c r="Z165" s="112"/>
      <c r="AA165" s="112"/>
    </row>
    <row r="166" spans="3:27" x14ac:dyDescent="0.25">
      <c r="C166" s="112"/>
      <c r="D166" s="112"/>
      <c r="E166" s="113"/>
      <c r="F166" s="113"/>
      <c r="G166" s="112"/>
      <c r="H166" s="112"/>
      <c r="Z166" s="112"/>
      <c r="AA166" s="112"/>
    </row>
    <row r="167" spans="3:27" x14ac:dyDescent="0.25">
      <c r="C167" s="112"/>
      <c r="D167" s="112"/>
      <c r="E167" s="113"/>
      <c r="F167" s="113"/>
      <c r="G167" s="112"/>
      <c r="H167" s="112"/>
      <c r="Z167" s="112"/>
      <c r="AA167" s="112"/>
    </row>
    <row r="168" spans="3:27" x14ac:dyDescent="0.25">
      <c r="C168" s="112"/>
      <c r="D168" s="112"/>
      <c r="E168" s="113"/>
      <c r="F168" s="113"/>
      <c r="G168" s="112"/>
      <c r="H168" s="112"/>
      <c r="Z168" s="112"/>
      <c r="AA168" s="112"/>
    </row>
    <row r="169" spans="3:27" x14ac:dyDescent="0.25">
      <c r="C169" s="112"/>
      <c r="D169" s="112"/>
      <c r="E169" s="113"/>
      <c r="F169" s="113"/>
      <c r="G169" s="112"/>
      <c r="H169" s="112"/>
      <c r="Z169" s="112"/>
      <c r="AA169" s="112"/>
    </row>
    <row r="170" spans="3:27" x14ac:dyDescent="0.25">
      <c r="C170" s="112"/>
      <c r="D170" s="112"/>
      <c r="E170" s="113"/>
      <c r="F170" s="113"/>
      <c r="G170" s="112"/>
      <c r="H170" s="112"/>
      <c r="Z170" s="112"/>
      <c r="AA170" s="112"/>
    </row>
    <row r="171" spans="3:27" x14ac:dyDescent="0.25">
      <c r="C171" s="112"/>
      <c r="D171" s="112"/>
      <c r="E171" s="113"/>
      <c r="F171" s="113"/>
      <c r="G171" s="112"/>
      <c r="H171" s="112"/>
      <c r="Z171" s="112"/>
      <c r="AA171" s="112"/>
    </row>
    <row r="172" spans="3:27" x14ac:dyDescent="0.25">
      <c r="C172" s="112"/>
      <c r="D172" s="112"/>
      <c r="E172" s="113"/>
      <c r="F172" s="113"/>
      <c r="G172" s="112"/>
      <c r="H172" s="112"/>
      <c r="Z172" s="112"/>
      <c r="AA172" s="112"/>
    </row>
    <row r="173" spans="3:27" x14ac:dyDescent="0.25">
      <c r="C173" s="112"/>
      <c r="D173" s="112"/>
      <c r="E173" s="113"/>
      <c r="F173" s="113"/>
      <c r="G173" s="112"/>
      <c r="H173" s="112"/>
      <c r="Z173" s="112"/>
      <c r="AA173" s="112"/>
    </row>
    <row r="174" spans="3:27" x14ac:dyDescent="0.25">
      <c r="C174" s="112"/>
      <c r="D174" s="112"/>
      <c r="E174" s="113"/>
      <c r="F174" s="113"/>
      <c r="G174" s="112"/>
      <c r="H174" s="112"/>
      <c r="Z174" s="112"/>
      <c r="AA174" s="112"/>
    </row>
    <row r="175" spans="3:27" x14ac:dyDescent="0.25">
      <c r="C175" s="112"/>
      <c r="D175" s="112"/>
      <c r="E175" s="113"/>
      <c r="F175" s="113"/>
      <c r="G175" s="112"/>
      <c r="H175" s="112"/>
      <c r="Z175" s="112"/>
      <c r="AA175" s="112"/>
    </row>
    <row r="176" spans="3:27" x14ac:dyDescent="0.25">
      <c r="C176" s="112"/>
      <c r="D176" s="112"/>
      <c r="E176" s="113"/>
      <c r="F176" s="113"/>
      <c r="G176" s="112"/>
      <c r="H176" s="112"/>
      <c r="Z176" s="112"/>
      <c r="AA176" s="112"/>
    </row>
    <row r="177" spans="3:27" x14ac:dyDescent="0.25">
      <c r="C177" s="112"/>
      <c r="D177" s="112"/>
      <c r="E177" s="113"/>
      <c r="F177" s="113"/>
      <c r="G177" s="112"/>
      <c r="H177" s="112"/>
      <c r="Z177" s="112"/>
      <c r="AA177" s="112"/>
    </row>
    <row r="178" spans="3:27" x14ac:dyDescent="0.25">
      <c r="C178" s="112"/>
      <c r="D178" s="112"/>
      <c r="E178" s="113"/>
      <c r="F178" s="113"/>
      <c r="G178" s="112"/>
      <c r="H178" s="112"/>
      <c r="Z178" s="112"/>
      <c r="AA178" s="112"/>
    </row>
    <row r="179" spans="3:27" x14ac:dyDescent="0.25">
      <c r="C179" s="112"/>
      <c r="D179" s="112"/>
      <c r="E179" s="113"/>
      <c r="F179" s="113"/>
      <c r="G179" s="112"/>
      <c r="H179" s="112"/>
      <c r="Z179" s="112"/>
      <c r="AA179" s="112"/>
    </row>
    <row r="180" spans="3:27" x14ac:dyDescent="0.25">
      <c r="C180" s="112"/>
      <c r="D180" s="112"/>
      <c r="E180" s="113"/>
      <c r="F180" s="113"/>
      <c r="G180" s="112"/>
      <c r="H180" s="112"/>
      <c r="Z180" s="112"/>
      <c r="AA180" s="112"/>
    </row>
    <row r="181" spans="3:27" x14ac:dyDescent="0.25">
      <c r="C181" s="112"/>
      <c r="D181" s="112"/>
      <c r="E181" s="113"/>
      <c r="F181" s="113"/>
      <c r="G181" s="112"/>
      <c r="H181" s="112"/>
      <c r="Z181" s="112"/>
      <c r="AA181" s="112"/>
    </row>
    <row r="182" spans="3:27" x14ac:dyDescent="0.25">
      <c r="C182" s="112"/>
      <c r="D182" s="112"/>
      <c r="E182" s="113"/>
      <c r="F182" s="113"/>
      <c r="G182" s="112"/>
      <c r="H182" s="112"/>
      <c r="Z182" s="112"/>
      <c r="AA182" s="112"/>
    </row>
    <row r="183" spans="3:27" x14ac:dyDescent="0.25">
      <c r="C183" s="112"/>
      <c r="D183" s="112"/>
      <c r="E183" s="113"/>
      <c r="F183" s="113"/>
      <c r="G183" s="112"/>
      <c r="H183" s="112"/>
      <c r="Z183" s="112"/>
      <c r="AA183" s="112"/>
    </row>
    <row r="184" spans="3:27" x14ac:dyDescent="0.25">
      <c r="C184" s="112"/>
      <c r="D184" s="112"/>
      <c r="E184" s="113"/>
      <c r="F184" s="113"/>
      <c r="G184" s="112"/>
      <c r="H184" s="112"/>
      <c r="Z184" s="112"/>
      <c r="AA184" s="112"/>
    </row>
    <row r="185" spans="3:27" x14ac:dyDescent="0.25">
      <c r="C185" s="112"/>
      <c r="D185" s="112"/>
      <c r="E185" s="113"/>
      <c r="F185" s="113"/>
      <c r="G185" s="112"/>
      <c r="H185" s="112"/>
      <c r="Z185" s="112"/>
      <c r="AA185" s="112"/>
    </row>
    <row r="186" spans="3:27" x14ac:dyDescent="0.25">
      <c r="C186" s="112"/>
      <c r="D186" s="112"/>
      <c r="E186" s="113"/>
      <c r="F186" s="113"/>
      <c r="G186" s="112"/>
      <c r="H186" s="112"/>
      <c r="Z186" s="112"/>
      <c r="AA186" s="112"/>
    </row>
    <row r="187" spans="3:27" x14ac:dyDescent="0.25">
      <c r="C187" s="112"/>
      <c r="D187" s="112"/>
      <c r="E187" s="113"/>
      <c r="F187" s="113"/>
      <c r="G187" s="112"/>
      <c r="H187" s="112"/>
      <c r="Z187" s="112"/>
      <c r="AA187" s="112"/>
    </row>
    <row r="188" spans="3:27" x14ac:dyDescent="0.25">
      <c r="C188" s="112"/>
      <c r="D188" s="112"/>
      <c r="E188" s="113"/>
      <c r="F188" s="113"/>
      <c r="G188" s="112"/>
      <c r="H188" s="112"/>
      <c r="Z188" s="112"/>
      <c r="AA188" s="112"/>
    </row>
    <row r="189" spans="3:27" x14ac:dyDescent="0.25">
      <c r="C189" s="112"/>
      <c r="D189" s="112"/>
      <c r="E189" s="113"/>
      <c r="F189" s="113"/>
      <c r="G189" s="112"/>
      <c r="H189" s="112"/>
      <c r="Z189" s="112"/>
      <c r="AA189" s="112"/>
    </row>
    <row r="190" spans="3:27" x14ac:dyDescent="0.25">
      <c r="C190" s="112"/>
      <c r="D190" s="112"/>
      <c r="E190" s="113"/>
      <c r="F190" s="113"/>
      <c r="G190" s="112"/>
      <c r="H190" s="112"/>
      <c r="Z190" s="112"/>
      <c r="AA190" s="112"/>
    </row>
    <row r="191" spans="3:27" x14ac:dyDescent="0.25">
      <c r="C191" s="112"/>
      <c r="D191" s="112"/>
      <c r="E191" s="113"/>
      <c r="F191" s="113"/>
      <c r="G191" s="112"/>
      <c r="H191" s="112"/>
      <c r="Z191" s="112"/>
      <c r="AA191" s="112"/>
    </row>
    <row r="192" spans="3:27" x14ac:dyDescent="0.25">
      <c r="C192" s="112"/>
      <c r="D192" s="112"/>
      <c r="E192" s="113"/>
      <c r="F192" s="113"/>
      <c r="G192" s="112"/>
      <c r="H192" s="112"/>
      <c r="Z192" s="112"/>
      <c r="AA192" s="112"/>
    </row>
    <row r="193" spans="3:27" x14ac:dyDescent="0.25">
      <c r="C193" s="112"/>
      <c r="D193" s="112"/>
      <c r="E193" s="113"/>
      <c r="F193" s="113"/>
      <c r="G193" s="112"/>
      <c r="H193" s="112"/>
      <c r="Z193" s="112"/>
      <c r="AA193" s="112"/>
    </row>
    <row r="194" spans="3:27" x14ac:dyDescent="0.25">
      <c r="C194" s="112"/>
      <c r="D194" s="112"/>
      <c r="E194" s="113"/>
      <c r="F194" s="113"/>
      <c r="G194" s="112"/>
      <c r="H194" s="112"/>
      <c r="Z194" s="112"/>
      <c r="AA194" s="112"/>
    </row>
    <row r="195" spans="3:27" x14ac:dyDescent="0.25">
      <c r="C195" s="112"/>
      <c r="D195" s="112"/>
      <c r="E195" s="113"/>
      <c r="F195" s="113"/>
      <c r="G195" s="112"/>
      <c r="H195" s="112"/>
      <c r="Z195" s="112"/>
      <c r="AA195" s="112"/>
    </row>
    <row r="196" spans="3:27" x14ac:dyDescent="0.25">
      <c r="C196" s="112"/>
      <c r="D196" s="112"/>
      <c r="E196" s="113"/>
      <c r="F196" s="113"/>
      <c r="G196" s="112"/>
      <c r="H196" s="112"/>
      <c r="Z196" s="112"/>
      <c r="AA196" s="112"/>
    </row>
    <row r="197" spans="3:27" x14ac:dyDescent="0.25">
      <c r="C197" s="112"/>
      <c r="D197" s="112"/>
      <c r="E197" s="113"/>
      <c r="F197" s="113"/>
      <c r="G197" s="112"/>
      <c r="H197" s="112"/>
      <c r="Z197" s="112"/>
      <c r="AA197" s="112"/>
    </row>
    <row r="198" spans="3:27" x14ac:dyDescent="0.25">
      <c r="C198" s="112"/>
      <c r="D198" s="112"/>
      <c r="E198" s="113"/>
      <c r="F198" s="113"/>
      <c r="G198" s="112"/>
      <c r="H198" s="112"/>
      <c r="Z198" s="112"/>
      <c r="AA198" s="112"/>
    </row>
    <row r="199" spans="3:27" x14ac:dyDescent="0.25">
      <c r="C199" s="112"/>
      <c r="D199" s="112"/>
      <c r="E199" s="113"/>
      <c r="F199" s="113"/>
      <c r="G199" s="112"/>
      <c r="H199" s="112"/>
      <c r="Z199" s="112"/>
      <c r="AA199" s="112"/>
    </row>
    <row r="200" spans="3:27" x14ac:dyDescent="0.25">
      <c r="C200" s="112"/>
      <c r="D200" s="112"/>
      <c r="E200" s="113"/>
      <c r="F200" s="113"/>
      <c r="G200" s="112"/>
      <c r="H200" s="112"/>
      <c r="Z200" s="112"/>
      <c r="AA200" s="112"/>
    </row>
    <row r="201" spans="3:27" x14ac:dyDescent="0.25">
      <c r="C201" s="112"/>
      <c r="D201" s="112"/>
      <c r="E201" s="113"/>
      <c r="F201" s="113"/>
      <c r="G201" s="112"/>
      <c r="H201" s="112"/>
      <c r="Z201" s="112"/>
      <c r="AA201" s="112"/>
    </row>
    <row r="202" spans="3:27" x14ac:dyDescent="0.25">
      <c r="C202" s="112"/>
      <c r="D202" s="112"/>
      <c r="E202" s="113"/>
      <c r="F202" s="113"/>
      <c r="G202" s="112"/>
      <c r="H202" s="112"/>
      <c r="Z202" s="112"/>
      <c r="AA202" s="112"/>
    </row>
    <row r="203" spans="3:27" x14ac:dyDescent="0.25">
      <c r="C203" s="112"/>
      <c r="D203" s="112"/>
      <c r="E203" s="113"/>
      <c r="F203" s="113"/>
      <c r="G203" s="112"/>
      <c r="H203" s="112"/>
      <c r="Z203" s="112"/>
      <c r="AA203" s="112"/>
    </row>
    <row r="204" spans="3:27" x14ac:dyDescent="0.25">
      <c r="C204" s="112"/>
      <c r="D204" s="112"/>
      <c r="E204" s="113"/>
      <c r="F204" s="113"/>
      <c r="G204" s="112"/>
      <c r="H204" s="112"/>
      <c r="Z204" s="112"/>
      <c r="AA204" s="112"/>
    </row>
    <row r="205" spans="3:27" x14ac:dyDescent="0.25">
      <c r="C205" s="112"/>
      <c r="D205" s="112"/>
      <c r="E205" s="113"/>
      <c r="F205" s="113"/>
      <c r="G205" s="112"/>
      <c r="H205" s="112"/>
      <c r="Z205" s="112"/>
      <c r="AA205" s="112"/>
    </row>
    <row r="206" spans="3:27" x14ac:dyDescent="0.25">
      <c r="C206" s="112"/>
      <c r="D206" s="112"/>
      <c r="E206" s="113"/>
      <c r="F206" s="113"/>
      <c r="G206" s="112"/>
      <c r="H206" s="112"/>
      <c r="Z206" s="112"/>
      <c r="AA206" s="112"/>
    </row>
    <row r="207" spans="3:27" x14ac:dyDescent="0.25">
      <c r="C207" s="112"/>
      <c r="D207" s="112"/>
      <c r="E207" s="113"/>
      <c r="F207" s="113"/>
      <c r="G207" s="112"/>
      <c r="H207" s="112"/>
      <c r="Z207" s="112"/>
      <c r="AA207" s="112"/>
    </row>
    <row r="208" spans="3:27" x14ac:dyDescent="0.25">
      <c r="C208" s="112"/>
      <c r="D208" s="112"/>
      <c r="E208" s="113"/>
      <c r="F208" s="113"/>
      <c r="G208" s="112"/>
      <c r="H208" s="112"/>
      <c r="Z208" s="112"/>
      <c r="AA208" s="112"/>
    </row>
    <row r="209" spans="3:27" x14ac:dyDescent="0.25">
      <c r="C209" s="112"/>
      <c r="D209" s="112"/>
      <c r="E209" s="113"/>
      <c r="F209" s="113"/>
      <c r="G209" s="112"/>
      <c r="H209" s="112"/>
      <c r="Z209" s="112"/>
      <c r="AA209" s="112"/>
    </row>
    <row r="210" spans="3:27" x14ac:dyDescent="0.25">
      <c r="C210" s="112"/>
      <c r="D210" s="112"/>
      <c r="E210" s="113"/>
      <c r="F210" s="113"/>
      <c r="G210" s="112"/>
      <c r="H210" s="112"/>
      <c r="Z210" s="112"/>
      <c r="AA210" s="112"/>
    </row>
    <row r="211" spans="3:27" x14ac:dyDescent="0.25">
      <c r="C211" s="112"/>
      <c r="D211" s="112"/>
      <c r="E211" s="113"/>
      <c r="F211" s="113"/>
      <c r="G211" s="112"/>
      <c r="H211" s="112"/>
      <c r="Z211" s="112"/>
      <c r="AA211" s="112"/>
    </row>
    <row r="212" spans="3:27" x14ac:dyDescent="0.25">
      <c r="C212" s="112"/>
      <c r="D212" s="112"/>
      <c r="E212" s="113"/>
      <c r="F212" s="113"/>
      <c r="G212" s="112"/>
      <c r="H212" s="112"/>
      <c r="Z212" s="112"/>
      <c r="AA212" s="112"/>
    </row>
    <row r="213" spans="3:27" x14ac:dyDescent="0.25">
      <c r="C213" s="112"/>
      <c r="D213" s="112"/>
      <c r="E213" s="113"/>
      <c r="F213" s="113"/>
      <c r="G213" s="112"/>
      <c r="H213" s="112"/>
      <c r="Z213" s="112"/>
      <c r="AA213" s="112"/>
    </row>
    <row r="214" spans="3:27" x14ac:dyDescent="0.25">
      <c r="C214" s="112"/>
      <c r="D214" s="112"/>
      <c r="E214" s="113"/>
      <c r="F214" s="113"/>
      <c r="G214" s="112"/>
      <c r="H214" s="112"/>
      <c r="Z214" s="112"/>
      <c r="AA214" s="112"/>
    </row>
    <row r="215" spans="3:27" x14ac:dyDescent="0.25">
      <c r="C215" s="112"/>
      <c r="D215" s="112"/>
      <c r="E215" s="113"/>
      <c r="F215" s="113"/>
      <c r="G215" s="112"/>
      <c r="H215" s="112"/>
      <c r="Z215" s="112"/>
      <c r="AA215" s="112"/>
    </row>
    <row r="216" spans="3:27" x14ac:dyDescent="0.25">
      <c r="C216" s="112"/>
      <c r="D216" s="112"/>
      <c r="E216" s="113"/>
      <c r="F216" s="113"/>
      <c r="G216" s="112"/>
      <c r="H216" s="112"/>
      <c r="Z216" s="112"/>
      <c r="AA216" s="112"/>
    </row>
    <row r="217" spans="3:27" x14ac:dyDescent="0.25">
      <c r="C217" s="112"/>
      <c r="D217" s="112"/>
      <c r="E217" s="113"/>
      <c r="F217" s="113"/>
      <c r="G217" s="112"/>
      <c r="H217" s="112"/>
      <c r="Z217" s="112"/>
      <c r="AA217" s="112"/>
    </row>
    <row r="218" spans="3:27" x14ac:dyDescent="0.25">
      <c r="C218" s="112"/>
      <c r="D218" s="112"/>
      <c r="E218" s="113"/>
      <c r="F218" s="113"/>
      <c r="G218" s="112"/>
      <c r="H218" s="112"/>
      <c r="Z218" s="112"/>
      <c r="AA218" s="112"/>
    </row>
    <row r="219" spans="3:27" x14ac:dyDescent="0.25">
      <c r="C219" s="112"/>
      <c r="D219" s="112"/>
      <c r="E219" s="113"/>
      <c r="F219" s="113"/>
      <c r="G219" s="112"/>
      <c r="H219" s="112"/>
      <c r="Z219" s="112"/>
      <c r="AA219" s="112"/>
    </row>
    <row r="220" spans="3:27" x14ac:dyDescent="0.25">
      <c r="C220" s="112"/>
      <c r="D220" s="112"/>
      <c r="E220" s="113"/>
      <c r="F220" s="113"/>
      <c r="G220" s="112"/>
      <c r="H220" s="112"/>
      <c r="Z220" s="112"/>
      <c r="AA220" s="112"/>
    </row>
    <row r="221" spans="3:27" x14ac:dyDescent="0.25">
      <c r="C221" s="112"/>
      <c r="D221" s="112"/>
      <c r="E221" s="113"/>
      <c r="F221" s="113"/>
      <c r="G221" s="112"/>
      <c r="H221" s="112"/>
      <c r="Z221" s="112"/>
      <c r="AA221" s="112"/>
    </row>
    <row r="222" spans="3:27" x14ac:dyDescent="0.25">
      <c r="C222" s="112"/>
      <c r="D222" s="112"/>
      <c r="E222" s="113"/>
      <c r="F222" s="113"/>
      <c r="G222" s="112"/>
      <c r="H222" s="112"/>
      <c r="Z222" s="112"/>
      <c r="AA222" s="112"/>
    </row>
    <row r="223" spans="3:27" x14ac:dyDescent="0.25">
      <c r="C223" s="112"/>
      <c r="D223" s="112"/>
      <c r="E223" s="113"/>
      <c r="F223" s="113"/>
      <c r="G223" s="112"/>
      <c r="H223" s="112"/>
      <c r="Z223" s="112"/>
      <c r="AA223" s="112"/>
    </row>
    <row r="224" spans="3:27" x14ac:dyDescent="0.25">
      <c r="C224" s="112"/>
      <c r="D224" s="112"/>
      <c r="E224" s="113"/>
      <c r="F224" s="113"/>
      <c r="G224" s="112"/>
      <c r="H224" s="112"/>
      <c r="Z224" s="112"/>
      <c r="AA224" s="112"/>
    </row>
    <row r="225" spans="3:27" x14ac:dyDescent="0.25">
      <c r="C225" s="112"/>
      <c r="D225" s="112"/>
      <c r="E225" s="113"/>
      <c r="F225" s="113"/>
      <c r="G225" s="112"/>
      <c r="H225" s="112"/>
      <c r="Z225" s="112"/>
      <c r="AA225" s="112"/>
    </row>
    <row r="226" spans="3:27" x14ac:dyDescent="0.25">
      <c r="C226" s="112"/>
      <c r="D226" s="112"/>
      <c r="E226" s="113"/>
      <c r="F226" s="113"/>
      <c r="G226" s="112"/>
      <c r="H226" s="112"/>
      <c r="Z226" s="112"/>
      <c r="AA226" s="112"/>
    </row>
    <row r="227" spans="3:27" x14ac:dyDescent="0.25">
      <c r="C227" s="112"/>
      <c r="D227" s="112"/>
      <c r="E227" s="113"/>
      <c r="F227" s="113"/>
      <c r="G227" s="112"/>
      <c r="H227" s="112"/>
      <c r="Z227" s="112"/>
      <c r="AA227" s="112"/>
    </row>
    <row r="228" spans="3:27" x14ac:dyDescent="0.25">
      <c r="C228" s="112"/>
      <c r="D228" s="112"/>
      <c r="E228" s="113"/>
      <c r="F228" s="113"/>
      <c r="G228" s="112"/>
      <c r="H228" s="112"/>
      <c r="Z228" s="112"/>
      <c r="AA228" s="112"/>
    </row>
    <row r="229" spans="3:27" x14ac:dyDescent="0.25">
      <c r="C229" s="112"/>
      <c r="D229" s="112"/>
      <c r="E229" s="113"/>
      <c r="F229" s="113"/>
      <c r="G229" s="112"/>
      <c r="H229" s="112"/>
      <c r="Z229" s="112"/>
      <c r="AA229" s="112"/>
    </row>
    <row r="230" spans="3:27" x14ac:dyDescent="0.25">
      <c r="C230" s="112"/>
      <c r="D230" s="112"/>
      <c r="E230" s="113"/>
      <c r="F230" s="113"/>
      <c r="G230" s="112"/>
      <c r="H230" s="112"/>
      <c r="Z230" s="112"/>
      <c r="AA230" s="112"/>
    </row>
    <row r="231" spans="3:27" x14ac:dyDescent="0.25">
      <c r="C231" s="112"/>
      <c r="D231" s="112"/>
      <c r="E231" s="113"/>
      <c r="F231" s="113"/>
      <c r="G231" s="112"/>
      <c r="H231" s="112"/>
      <c r="Z231" s="112"/>
      <c r="AA231" s="112"/>
    </row>
    <row r="232" spans="3:27" x14ac:dyDescent="0.25">
      <c r="C232" s="112"/>
      <c r="D232" s="112"/>
      <c r="E232" s="113"/>
      <c r="F232" s="113"/>
      <c r="G232" s="112"/>
      <c r="H232" s="112"/>
      <c r="Z232" s="112"/>
      <c r="AA232" s="112"/>
    </row>
    <row r="233" spans="3:27" x14ac:dyDescent="0.25">
      <c r="C233" s="112"/>
      <c r="D233" s="112"/>
      <c r="E233" s="113"/>
      <c r="F233" s="113"/>
      <c r="G233" s="112"/>
      <c r="H233" s="112"/>
      <c r="Z233" s="112"/>
      <c r="AA233" s="112"/>
    </row>
    <row r="234" spans="3:27" x14ac:dyDescent="0.25">
      <c r="C234" s="112"/>
      <c r="D234" s="112"/>
      <c r="E234" s="113"/>
      <c r="F234" s="113"/>
      <c r="G234" s="112"/>
      <c r="H234" s="112"/>
      <c r="Z234" s="112"/>
      <c r="AA234" s="112"/>
    </row>
    <row r="235" spans="3:27" x14ac:dyDescent="0.25">
      <c r="C235" s="112"/>
      <c r="D235" s="112"/>
      <c r="E235" s="113"/>
      <c r="F235" s="113"/>
      <c r="G235" s="112"/>
      <c r="H235" s="112"/>
      <c r="Z235" s="112"/>
      <c r="AA235" s="112"/>
    </row>
    <row r="236" spans="3:27" x14ac:dyDescent="0.25">
      <c r="C236" s="112"/>
      <c r="D236" s="112"/>
      <c r="E236" s="113"/>
      <c r="F236" s="113"/>
      <c r="G236" s="112"/>
      <c r="H236" s="112"/>
      <c r="Z236" s="112"/>
      <c r="AA236" s="112"/>
    </row>
    <row r="237" spans="3:27" x14ac:dyDescent="0.25">
      <c r="C237" s="112"/>
      <c r="D237" s="112"/>
      <c r="E237" s="113"/>
      <c r="F237" s="113"/>
      <c r="G237" s="112"/>
      <c r="H237" s="112"/>
      <c r="Z237" s="112"/>
      <c r="AA237" s="112"/>
    </row>
    <row r="238" spans="3:27" x14ac:dyDescent="0.25">
      <c r="C238" s="112"/>
      <c r="D238" s="112"/>
      <c r="E238" s="113"/>
      <c r="F238" s="113"/>
      <c r="G238" s="112"/>
      <c r="H238" s="112"/>
      <c r="Z238" s="112"/>
      <c r="AA238" s="112"/>
    </row>
    <row r="239" spans="3:27" x14ac:dyDescent="0.25">
      <c r="C239" s="112"/>
      <c r="D239" s="112"/>
      <c r="E239" s="113"/>
      <c r="F239" s="113"/>
      <c r="G239" s="112"/>
      <c r="H239" s="112"/>
      <c r="Z239" s="112"/>
      <c r="AA239" s="112"/>
    </row>
    <row r="240" spans="3:27" x14ac:dyDescent="0.25">
      <c r="C240" s="112"/>
      <c r="D240" s="112"/>
      <c r="E240" s="113"/>
      <c r="F240" s="113"/>
      <c r="G240" s="112"/>
      <c r="H240" s="112"/>
      <c r="Z240" s="112"/>
      <c r="AA240" s="112"/>
    </row>
    <row r="241" spans="3:27" x14ac:dyDescent="0.25">
      <c r="C241" s="112"/>
      <c r="D241" s="112"/>
      <c r="E241" s="113"/>
      <c r="F241" s="113"/>
      <c r="G241" s="112"/>
      <c r="H241" s="112"/>
      <c r="Z241" s="112"/>
      <c r="AA241" s="112"/>
    </row>
    <row r="242" spans="3:27" x14ac:dyDescent="0.25">
      <c r="C242" s="112"/>
      <c r="D242" s="112"/>
      <c r="E242" s="113"/>
      <c r="F242" s="113"/>
      <c r="G242" s="112"/>
      <c r="H242" s="112"/>
      <c r="Z242" s="112"/>
      <c r="AA242" s="112"/>
    </row>
    <row r="243" spans="3:27" x14ac:dyDescent="0.25">
      <c r="C243" s="112"/>
      <c r="D243" s="112"/>
      <c r="E243" s="113"/>
      <c r="F243" s="113"/>
      <c r="G243" s="112"/>
      <c r="H243" s="112"/>
      <c r="Z243" s="112"/>
      <c r="AA243" s="112"/>
    </row>
    <row r="244" spans="3:27" x14ac:dyDescent="0.25">
      <c r="C244" s="112"/>
      <c r="D244" s="112"/>
      <c r="E244" s="113"/>
      <c r="F244" s="113"/>
      <c r="G244" s="112"/>
      <c r="H244" s="112"/>
      <c r="Z244" s="112"/>
      <c r="AA244" s="112"/>
    </row>
    <row r="245" spans="3:27" x14ac:dyDescent="0.25">
      <c r="C245" s="112"/>
      <c r="D245" s="112"/>
      <c r="E245" s="113"/>
      <c r="F245" s="113"/>
      <c r="G245" s="112"/>
      <c r="H245" s="112"/>
      <c r="Z245" s="112"/>
      <c r="AA245" s="112"/>
    </row>
    <row r="246" spans="3:27" x14ac:dyDescent="0.25">
      <c r="C246" s="112"/>
      <c r="D246" s="112"/>
      <c r="E246" s="113"/>
      <c r="F246" s="113"/>
      <c r="G246" s="112"/>
      <c r="H246" s="112"/>
      <c r="Z246" s="112"/>
      <c r="AA246" s="112"/>
    </row>
    <row r="247" spans="3:27" x14ac:dyDescent="0.25">
      <c r="C247" s="112"/>
      <c r="D247" s="112"/>
      <c r="E247" s="113"/>
      <c r="F247" s="113"/>
      <c r="G247" s="112"/>
      <c r="H247" s="112"/>
      <c r="Z247" s="112"/>
      <c r="AA247" s="112"/>
    </row>
    <row r="248" spans="3:27" x14ac:dyDescent="0.25">
      <c r="C248" s="112"/>
      <c r="D248" s="112"/>
      <c r="E248" s="113"/>
      <c r="F248" s="113"/>
      <c r="G248" s="112"/>
      <c r="H248" s="112"/>
      <c r="Z248" s="112"/>
      <c r="AA248" s="112"/>
    </row>
    <row r="249" spans="3:27" x14ac:dyDescent="0.25">
      <c r="C249" s="112"/>
      <c r="D249" s="112"/>
      <c r="E249" s="113"/>
      <c r="F249" s="113"/>
      <c r="G249" s="112"/>
      <c r="H249" s="112"/>
      <c r="Z249" s="112"/>
      <c r="AA249" s="112"/>
    </row>
    <row r="250" spans="3:27" x14ac:dyDescent="0.25">
      <c r="C250" s="112"/>
      <c r="D250" s="112"/>
      <c r="E250" s="113"/>
      <c r="F250" s="113"/>
      <c r="G250" s="112"/>
      <c r="H250" s="112"/>
      <c r="Z250" s="112"/>
      <c r="AA250" s="112"/>
    </row>
    <row r="251" spans="3:27" x14ac:dyDescent="0.25">
      <c r="C251" s="112"/>
      <c r="D251" s="112"/>
      <c r="E251" s="113"/>
      <c r="F251" s="113"/>
      <c r="G251" s="112"/>
      <c r="H251" s="112"/>
      <c r="Z251" s="112"/>
      <c r="AA251" s="112"/>
    </row>
    <row r="252" spans="3:27" x14ac:dyDescent="0.25">
      <c r="C252" s="112"/>
      <c r="D252" s="112"/>
      <c r="E252" s="113"/>
      <c r="F252" s="113"/>
      <c r="G252" s="112"/>
      <c r="H252" s="112"/>
      <c r="Z252" s="112"/>
      <c r="AA252" s="112"/>
    </row>
    <row r="253" spans="3:27" x14ac:dyDescent="0.25">
      <c r="C253" s="112"/>
      <c r="D253" s="112"/>
      <c r="E253" s="113"/>
      <c r="F253" s="113"/>
      <c r="G253" s="112"/>
      <c r="H253" s="112"/>
      <c r="Z253" s="112"/>
      <c r="AA253" s="112"/>
    </row>
    <row r="254" spans="3:27" x14ac:dyDescent="0.25">
      <c r="C254" s="112"/>
      <c r="D254" s="112"/>
      <c r="E254" s="113"/>
      <c r="F254" s="113"/>
      <c r="G254" s="112"/>
      <c r="H254" s="112"/>
      <c r="Z254" s="112"/>
      <c r="AA254" s="112"/>
    </row>
    <row r="255" spans="3:27" x14ac:dyDescent="0.25">
      <c r="C255" s="112"/>
      <c r="D255" s="112"/>
      <c r="E255" s="113"/>
      <c r="F255" s="113"/>
      <c r="G255" s="112"/>
      <c r="H255" s="112"/>
      <c r="Z255" s="112"/>
      <c r="AA255" s="112"/>
    </row>
    <row r="256" spans="3:27" x14ac:dyDescent="0.25">
      <c r="C256" s="112"/>
      <c r="D256" s="112"/>
      <c r="E256" s="113"/>
      <c r="F256" s="113"/>
      <c r="G256" s="112"/>
      <c r="H256" s="112"/>
      <c r="Z256" s="112"/>
      <c r="AA256" s="112"/>
    </row>
    <row r="257" spans="3:27" x14ac:dyDescent="0.25">
      <c r="C257" s="112"/>
      <c r="D257" s="112"/>
      <c r="E257" s="113"/>
      <c r="F257" s="113"/>
      <c r="G257" s="112"/>
      <c r="H257" s="112"/>
      <c r="Z257" s="112"/>
      <c r="AA257" s="112"/>
    </row>
    <row r="258" spans="3:27" x14ac:dyDescent="0.25">
      <c r="C258" s="112"/>
      <c r="D258" s="112"/>
      <c r="E258" s="113"/>
      <c r="F258" s="113"/>
      <c r="G258" s="112"/>
      <c r="H258" s="112"/>
      <c r="Z258" s="112"/>
      <c r="AA258" s="112"/>
    </row>
    <row r="259" spans="3:27" x14ac:dyDescent="0.25">
      <c r="C259" s="112"/>
      <c r="D259" s="112"/>
      <c r="E259" s="113"/>
      <c r="F259" s="113"/>
      <c r="G259" s="112"/>
      <c r="H259" s="112"/>
      <c r="Z259" s="112"/>
      <c r="AA259" s="112"/>
    </row>
    <row r="260" spans="3:27" x14ac:dyDescent="0.25">
      <c r="C260" s="112"/>
      <c r="D260" s="112"/>
      <c r="E260" s="113"/>
      <c r="F260" s="113"/>
      <c r="G260" s="112"/>
      <c r="H260" s="112"/>
      <c r="Z260" s="112"/>
      <c r="AA260" s="112"/>
    </row>
    <row r="261" spans="3:27" x14ac:dyDescent="0.25">
      <c r="C261" s="112"/>
      <c r="D261" s="112"/>
      <c r="E261" s="113"/>
      <c r="F261" s="113"/>
      <c r="G261" s="112"/>
      <c r="H261" s="112"/>
      <c r="Z261" s="112"/>
      <c r="AA261" s="112"/>
    </row>
    <row r="262" spans="3:27" x14ac:dyDescent="0.25">
      <c r="C262" s="112"/>
      <c r="D262" s="112"/>
      <c r="E262" s="113"/>
      <c r="F262" s="113"/>
      <c r="G262" s="112"/>
      <c r="H262" s="112"/>
      <c r="Z262" s="112"/>
      <c r="AA262" s="112"/>
    </row>
    <row r="263" spans="3:27" x14ac:dyDescent="0.25">
      <c r="C263" s="112"/>
      <c r="D263" s="112"/>
      <c r="E263" s="113"/>
      <c r="F263" s="113"/>
      <c r="G263" s="112"/>
      <c r="H263" s="112"/>
      <c r="Z263" s="112"/>
      <c r="AA263" s="112"/>
    </row>
    <row r="264" spans="3:27" x14ac:dyDescent="0.25">
      <c r="C264" s="112"/>
      <c r="D264" s="112"/>
      <c r="E264" s="113"/>
      <c r="F264" s="113"/>
      <c r="G264" s="112"/>
      <c r="H264" s="112"/>
      <c r="Z264" s="112"/>
      <c r="AA264" s="112"/>
    </row>
    <row r="265" spans="3:27" x14ac:dyDescent="0.25">
      <c r="C265" s="112"/>
      <c r="D265" s="112"/>
      <c r="E265" s="113"/>
      <c r="F265" s="113"/>
      <c r="G265" s="112"/>
      <c r="H265" s="112"/>
      <c r="Z265" s="112"/>
      <c r="AA265" s="112"/>
    </row>
    <row r="266" spans="3:27" x14ac:dyDescent="0.25">
      <c r="C266" s="112"/>
      <c r="D266" s="112"/>
      <c r="E266" s="113"/>
      <c r="F266" s="113"/>
      <c r="G266" s="112"/>
      <c r="H266" s="112"/>
      <c r="Z266" s="112"/>
      <c r="AA266" s="112"/>
    </row>
    <row r="267" spans="3:27" x14ac:dyDescent="0.25">
      <c r="C267" s="112"/>
      <c r="D267" s="112"/>
      <c r="E267" s="113"/>
      <c r="F267" s="113"/>
      <c r="G267" s="112"/>
      <c r="H267" s="112"/>
      <c r="Z267" s="112"/>
      <c r="AA267" s="112"/>
    </row>
    <row r="268" spans="3:27" x14ac:dyDescent="0.25">
      <c r="C268" s="112"/>
      <c r="D268" s="112"/>
      <c r="E268" s="113"/>
      <c r="F268" s="113"/>
      <c r="G268" s="112"/>
      <c r="H268" s="112"/>
      <c r="Z268" s="112"/>
      <c r="AA268" s="112"/>
    </row>
    <row r="269" spans="3:27" x14ac:dyDescent="0.25">
      <c r="C269" s="112"/>
      <c r="D269" s="112"/>
      <c r="E269" s="113"/>
      <c r="F269" s="113"/>
      <c r="G269" s="112"/>
      <c r="H269" s="112"/>
      <c r="Z269" s="112"/>
      <c r="AA269" s="112"/>
    </row>
    <row r="270" spans="3:27" x14ac:dyDescent="0.25">
      <c r="C270" s="112"/>
      <c r="D270" s="112"/>
      <c r="E270" s="113"/>
      <c r="F270" s="113"/>
      <c r="G270" s="112"/>
      <c r="H270" s="112"/>
      <c r="Z270" s="112"/>
      <c r="AA270" s="112"/>
    </row>
    <row r="271" spans="3:27" x14ac:dyDescent="0.25">
      <c r="C271" s="112"/>
      <c r="D271" s="112"/>
      <c r="E271" s="113"/>
      <c r="F271" s="113"/>
      <c r="G271" s="112"/>
      <c r="H271" s="112"/>
      <c r="Z271" s="112"/>
      <c r="AA271" s="112"/>
    </row>
    <row r="272" spans="3:27" x14ac:dyDescent="0.25">
      <c r="C272" s="112"/>
      <c r="D272" s="112"/>
      <c r="E272" s="113"/>
      <c r="F272" s="113"/>
      <c r="G272" s="112"/>
      <c r="H272" s="112"/>
      <c r="Z272" s="112"/>
      <c r="AA272" s="112"/>
    </row>
    <row r="273" spans="3:27" x14ac:dyDescent="0.25">
      <c r="C273" s="112"/>
      <c r="D273" s="112"/>
      <c r="E273" s="113"/>
      <c r="F273" s="113"/>
      <c r="G273" s="112"/>
      <c r="H273" s="112"/>
      <c r="Z273" s="112"/>
      <c r="AA273" s="112"/>
    </row>
    <row r="274" spans="3:27" x14ac:dyDescent="0.25">
      <c r="C274" s="112"/>
      <c r="D274" s="112"/>
      <c r="E274" s="113"/>
      <c r="F274" s="113"/>
      <c r="G274" s="112"/>
      <c r="H274" s="112"/>
      <c r="Z274" s="112"/>
      <c r="AA274" s="112"/>
    </row>
    <row r="275" spans="3:27" x14ac:dyDescent="0.25">
      <c r="C275" s="112"/>
      <c r="D275" s="112"/>
      <c r="E275" s="113"/>
      <c r="F275" s="113"/>
      <c r="G275" s="112"/>
      <c r="H275" s="112"/>
      <c r="Z275" s="112"/>
      <c r="AA275" s="112"/>
    </row>
    <row r="276" spans="3:27" x14ac:dyDescent="0.25">
      <c r="C276" s="112"/>
      <c r="D276" s="112"/>
      <c r="E276" s="113"/>
      <c r="F276" s="113"/>
      <c r="G276" s="112"/>
      <c r="H276" s="112"/>
      <c r="Z276" s="112"/>
      <c r="AA276" s="112"/>
    </row>
    <row r="277" spans="3:27" x14ac:dyDescent="0.25">
      <c r="C277" s="112"/>
      <c r="D277" s="112"/>
      <c r="E277" s="113"/>
      <c r="F277" s="113"/>
      <c r="G277" s="112"/>
      <c r="H277" s="112"/>
      <c r="Z277" s="112"/>
      <c r="AA277" s="112"/>
    </row>
    <row r="278" spans="3:27" x14ac:dyDescent="0.25">
      <c r="C278" s="112"/>
      <c r="D278" s="112"/>
      <c r="E278" s="113"/>
      <c r="F278" s="113"/>
      <c r="G278" s="112"/>
      <c r="H278" s="112"/>
      <c r="Z278" s="112"/>
      <c r="AA278" s="112"/>
    </row>
    <row r="279" spans="3:27" x14ac:dyDescent="0.25">
      <c r="C279" s="112"/>
      <c r="D279" s="112"/>
      <c r="E279" s="113"/>
      <c r="F279" s="113"/>
      <c r="G279" s="112"/>
      <c r="H279" s="112"/>
      <c r="Z279" s="112"/>
      <c r="AA279" s="112"/>
    </row>
    <row r="280" spans="3:27" x14ac:dyDescent="0.25">
      <c r="C280" s="112"/>
      <c r="D280" s="112"/>
      <c r="E280" s="113"/>
      <c r="F280" s="113"/>
      <c r="G280" s="112"/>
      <c r="H280" s="112"/>
      <c r="Z280" s="112"/>
      <c r="AA280" s="112"/>
    </row>
    <row r="281" spans="3:27" x14ac:dyDescent="0.25">
      <c r="C281" s="112"/>
      <c r="D281" s="112"/>
      <c r="E281" s="113"/>
      <c r="F281" s="113"/>
      <c r="G281" s="112"/>
      <c r="H281" s="112"/>
      <c r="Z281" s="112"/>
      <c r="AA281" s="112"/>
    </row>
    <row r="282" spans="3:27" x14ac:dyDescent="0.25">
      <c r="C282" s="112"/>
      <c r="D282" s="112"/>
      <c r="E282" s="113"/>
      <c r="F282" s="113"/>
      <c r="G282" s="112"/>
      <c r="H282" s="112"/>
      <c r="Z282" s="112"/>
      <c r="AA282" s="112"/>
    </row>
    <row r="283" spans="3:27" x14ac:dyDescent="0.25">
      <c r="C283" s="112"/>
      <c r="D283" s="112"/>
      <c r="E283" s="113"/>
      <c r="F283" s="113"/>
      <c r="G283" s="112"/>
      <c r="H283" s="112"/>
      <c r="Z283" s="112"/>
      <c r="AA283" s="112"/>
    </row>
    <row r="284" spans="3:27" x14ac:dyDescent="0.25">
      <c r="C284" s="112"/>
      <c r="D284" s="112"/>
      <c r="E284" s="113"/>
      <c r="F284" s="113"/>
      <c r="G284" s="112"/>
      <c r="H284" s="112"/>
      <c r="Z284" s="112"/>
      <c r="AA284" s="112"/>
    </row>
    <row r="285" spans="3:27" x14ac:dyDescent="0.25">
      <c r="C285" s="112"/>
      <c r="D285" s="112"/>
      <c r="E285" s="113"/>
      <c r="F285" s="113"/>
      <c r="G285" s="112"/>
      <c r="H285" s="112"/>
      <c r="Z285" s="112"/>
      <c r="AA285" s="112"/>
    </row>
    <row r="286" spans="3:27" x14ac:dyDescent="0.25">
      <c r="C286" s="112"/>
      <c r="D286" s="112"/>
      <c r="E286" s="113"/>
      <c r="F286" s="113"/>
      <c r="G286" s="112"/>
      <c r="H286" s="112"/>
      <c r="Z286" s="112"/>
      <c r="AA286" s="112"/>
    </row>
    <row r="287" spans="3:27" x14ac:dyDescent="0.25">
      <c r="C287" s="112"/>
      <c r="D287" s="112"/>
      <c r="E287" s="113"/>
      <c r="F287" s="113"/>
      <c r="G287" s="112"/>
      <c r="H287" s="112"/>
      <c r="Z287" s="112"/>
      <c r="AA287" s="112"/>
    </row>
    <row r="288" spans="3:27" x14ac:dyDescent="0.25">
      <c r="C288" s="112"/>
      <c r="D288" s="112"/>
      <c r="E288" s="113"/>
      <c r="F288" s="113"/>
      <c r="G288" s="112"/>
      <c r="H288" s="112"/>
      <c r="Z288" s="112"/>
      <c r="AA288" s="112"/>
    </row>
    <row r="289" spans="3:27" x14ac:dyDescent="0.25">
      <c r="C289" s="112"/>
      <c r="D289" s="112"/>
      <c r="E289" s="113"/>
      <c r="F289" s="113"/>
      <c r="G289" s="112"/>
      <c r="H289" s="112"/>
      <c r="Z289" s="112"/>
      <c r="AA289" s="112"/>
    </row>
    <row r="290" spans="3:27" x14ac:dyDescent="0.25">
      <c r="C290" s="112"/>
      <c r="D290" s="112"/>
      <c r="E290" s="113"/>
      <c r="F290" s="113"/>
      <c r="G290" s="112"/>
      <c r="H290" s="112"/>
      <c r="Z290" s="112"/>
      <c r="AA290" s="112"/>
    </row>
    <row r="291" spans="3:27" x14ac:dyDescent="0.25">
      <c r="C291" s="112"/>
      <c r="D291" s="112"/>
      <c r="E291" s="113"/>
      <c r="F291" s="113"/>
      <c r="G291" s="112"/>
      <c r="H291" s="112"/>
      <c r="Z291" s="112"/>
      <c r="AA291" s="112"/>
    </row>
    <row r="292" spans="3:27" x14ac:dyDescent="0.25">
      <c r="C292" s="112"/>
      <c r="D292" s="112"/>
      <c r="E292" s="113"/>
      <c r="F292" s="113"/>
      <c r="G292" s="112"/>
      <c r="H292" s="112"/>
      <c r="Z292" s="112"/>
      <c r="AA292" s="112"/>
    </row>
    <row r="293" spans="3:27" x14ac:dyDescent="0.25">
      <c r="C293" s="112"/>
      <c r="D293" s="112"/>
      <c r="E293" s="113"/>
      <c r="F293" s="113"/>
      <c r="G293" s="112"/>
      <c r="H293" s="112"/>
      <c r="Z293" s="112"/>
      <c r="AA293" s="112"/>
    </row>
    <row r="294" spans="3:27" x14ac:dyDescent="0.25">
      <c r="C294" s="112"/>
      <c r="D294" s="112"/>
      <c r="E294" s="113"/>
      <c r="F294" s="113"/>
      <c r="G294" s="112"/>
      <c r="H294" s="112"/>
      <c r="Z294" s="112"/>
      <c r="AA294" s="112"/>
    </row>
    <row r="295" spans="3:27" x14ac:dyDescent="0.25">
      <c r="C295" s="112"/>
      <c r="D295" s="112"/>
      <c r="E295" s="113"/>
      <c r="F295" s="113"/>
      <c r="G295" s="112"/>
      <c r="H295" s="112"/>
      <c r="Z295" s="112"/>
      <c r="AA295" s="112"/>
    </row>
    <row r="296" spans="3:27" x14ac:dyDescent="0.25">
      <c r="C296" s="112"/>
      <c r="D296" s="112"/>
      <c r="E296" s="113"/>
      <c r="F296" s="113"/>
      <c r="G296" s="112"/>
      <c r="H296" s="112"/>
      <c r="Z296" s="112"/>
      <c r="AA296" s="112"/>
    </row>
    <row r="297" spans="3:27" x14ac:dyDescent="0.25">
      <c r="C297" s="112"/>
      <c r="D297" s="112"/>
      <c r="E297" s="113"/>
      <c r="F297" s="113"/>
      <c r="G297" s="112"/>
      <c r="H297" s="112"/>
      <c r="Z297" s="112"/>
      <c r="AA297" s="112"/>
    </row>
    <row r="298" spans="3:27" x14ac:dyDescent="0.25">
      <c r="C298" s="112"/>
      <c r="D298" s="112"/>
      <c r="E298" s="113"/>
      <c r="F298" s="113"/>
      <c r="G298" s="112"/>
      <c r="H298" s="112"/>
      <c r="Z298" s="112"/>
      <c r="AA298" s="112"/>
    </row>
    <row r="299" spans="3:27" x14ac:dyDescent="0.25">
      <c r="C299" s="112"/>
      <c r="D299" s="112"/>
      <c r="E299" s="113"/>
      <c r="F299" s="113"/>
      <c r="G299" s="112"/>
      <c r="H299" s="112"/>
      <c r="Z299" s="112"/>
      <c r="AA299" s="112"/>
    </row>
    <row r="300" spans="3:27" x14ac:dyDescent="0.25">
      <c r="C300" s="112"/>
      <c r="D300" s="112"/>
      <c r="E300" s="113"/>
      <c r="F300" s="113"/>
      <c r="G300" s="112"/>
      <c r="H300" s="112"/>
      <c r="Z300" s="112"/>
      <c r="AA300" s="112"/>
    </row>
    <row r="301" spans="3:27" x14ac:dyDescent="0.25">
      <c r="C301" s="112"/>
      <c r="D301" s="112"/>
      <c r="E301" s="113"/>
      <c r="F301" s="113"/>
      <c r="G301" s="112"/>
      <c r="H301" s="112"/>
      <c r="Z301" s="112"/>
      <c r="AA301" s="112"/>
    </row>
    <row r="302" spans="3:27" x14ac:dyDescent="0.25">
      <c r="C302" s="112"/>
      <c r="D302" s="112"/>
      <c r="E302" s="113"/>
      <c r="F302" s="113"/>
      <c r="G302" s="112"/>
      <c r="H302" s="112"/>
      <c r="Z302" s="112"/>
      <c r="AA302" s="112"/>
    </row>
    <row r="303" spans="3:27" x14ac:dyDescent="0.25">
      <c r="C303" s="112"/>
      <c r="D303" s="112"/>
      <c r="E303" s="113"/>
      <c r="F303" s="113"/>
      <c r="G303" s="112"/>
      <c r="H303" s="112"/>
      <c r="Z303" s="112"/>
      <c r="AA303" s="112"/>
    </row>
    <row r="304" spans="3:27" x14ac:dyDescent="0.25">
      <c r="C304" s="112"/>
      <c r="D304" s="112"/>
      <c r="E304" s="113"/>
      <c r="F304" s="113"/>
      <c r="G304" s="112"/>
      <c r="H304" s="112"/>
      <c r="Z304" s="112"/>
      <c r="AA304" s="112"/>
    </row>
    <row r="305" spans="3:27" x14ac:dyDescent="0.25">
      <c r="C305" s="112"/>
      <c r="D305" s="112"/>
      <c r="E305" s="113"/>
      <c r="F305" s="113"/>
      <c r="G305" s="112"/>
      <c r="H305" s="112"/>
      <c r="Z305" s="112"/>
      <c r="AA305" s="112"/>
    </row>
    <row r="306" spans="3:27" x14ac:dyDescent="0.25">
      <c r="C306" s="112"/>
      <c r="D306" s="112"/>
      <c r="E306" s="113"/>
      <c r="F306" s="113"/>
      <c r="G306" s="112"/>
      <c r="H306" s="112"/>
      <c r="Z306" s="112"/>
      <c r="AA306" s="112"/>
    </row>
    <row r="307" spans="3:27" x14ac:dyDescent="0.25">
      <c r="C307" s="112"/>
      <c r="D307" s="112"/>
      <c r="E307" s="113"/>
      <c r="F307" s="113"/>
      <c r="G307" s="112"/>
      <c r="H307" s="112"/>
      <c r="Z307" s="112"/>
      <c r="AA307" s="112"/>
    </row>
    <row r="308" spans="3:27" x14ac:dyDescent="0.25">
      <c r="C308" s="112"/>
      <c r="D308" s="112"/>
      <c r="E308" s="113"/>
      <c r="F308" s="113"/>
      <c r="G308" s="112"/>
      <c r="H308" s="112"/>
      <c r="Z308" s="112"/>
      <c r="AA308" s="112"/>
    </row>
    <row r="309" spans="3:27" x14ac:dyDescent="0.25">
      <c r="C309" s="112"/>
      <c r="D309" s="112"/>
      <c r="E309" s="113"/>
      <c r="F309" s="113"/>
      <c r="G309" s="112"/>
      <c r="H309" s="112"/>
      <c r="Z309" s="112"/>
      <c r="AA309" s="112"/>
    </row>
    <row r="310" spans="3:27" x14ac:dyDescent="0.25">
      <c r="C310" s="112"/>
      <c r="D310" s="112"/>
      <c r="E310" s="113"/>
      <c r="F310" s="113"/>
      <c r="G310" s="112"/>
      <c r="H310" s="112"/>
      <c r="Z310" s="112"/>
      <c r="AA310" s="112"/>
    </row>
    <row r="311" spans="3:27" x14ac:dyDescent="0.25">
      <c r="C311" s="112"/>
      <c r="D311" s="112"/>
      <c r="E311" s="113"/>
      <c r="F311" s="113"/>
      <c r="G311" s="112"/>
      <c r="H311" s="112"/>
      <c r="Z311" s="112"/>
      <c r="AA311" s="112"/>
    </row>
    <row r="312" spans="3:27" x14ac:dyDescent="0.25">
      <c r="C312" s="112"/>
      <c r="D312" s="112"/>
      <c r="E312" s="113"/>
      <c r="F312" s="113"/>
      <c r="G312" s="112"/>
      <c r="H312" s="112"/>
      <c r="Z312" s="112"/>
      <c r="AA312" s="112"/>
    </row>
    <row r="313" spans="3:27" x14ac:dyDescent="0.25">
      <c r="C313" s="112"/>
      <c r="D313" s="112"/>
      <c r="E313" s="113"/>
      <c r="F313" s="113"/>
      <c r="G313" s="112"/>
      <c r="H313" s="112"/>
      <c r="Z313" s="112"/>
      <c r="AA313" s="112"/>
    </row>
    <row r="314" spans="3:27" x14ac:dyDescent="0.25">
      <c r="C314" s="112"/>
      <c r="D314" s="112"/>
      <c r="E314" s="113"/>
      <c r="F314" s="113"/>
      <c r="G314" s="112"/>
      <c r="H314" s="112"/>
      <c r="Z314" s="112"/>
      <c r="AA314" s="112"/>
    </row>
    <row r="315" spans="3:27" x14ac:dyDescent="0.25">
      <c r="C315" s="112"/>
      <c r="D315" s="112"/>
      <c r="E315" s="113"/>
      <c r="F315" s="113"/>
      <c r="G315" s="112"/>
      <c r="H315" s="112"/>
      <c r="Z315" s="112"/>
      <c r="AA315" s="112"/>
    </row>
    <row r="316" spans="3:27" x14ac:dyDescent="0.25">
      <c r="C316" s="112"/>
      <c r="D316" s="112"/>
      <c r="E316" s="113"/>
      <c r="F316" s="113"/>
      <c r="G316" s="112"/>
      <c r="H316" s="112"/>
      <c r="Z316" s="112"/>
      <c r="AA316" s="112"/>
    </row>
    <row r="317" spans="3:27" x14ac:dyDescent="0.25">
      <c r="C317" s="112"/>
      <c r="D317" s="112"/>
      <c r="E317" s="113"/>
      <c r="F317" s="113"/>
      <c r="G317" s="112"/>
      <c r="H317" s="112"/>
      <c r="Z317" s="112"/>
      <c r="AA317" s="112"/>
    </row>
    <row r="318" spans="3:27" x14ac:dyDescent="0.25">
      <c r="C318" s="112"/>
      <c r="D318" s="112"/>
      <c r="E318" s="113"/>
      <c r="F318" s="113"/>
      <c r="G318" s="112"/>
      <c r="H318" s="112"/>
      <c r="Z318" s="112"/>
      <c r="AA318" s="112"/>
    </row>
    <row r="319" spans="3:27" x14ac:dyDescent="0.25">
      <c r="C319" s="112"/>
      <c r="D319" s="112"/>
      <c r="E319" s="113"/>
      <c r="F319" s="113"/>
      <c r="G319" s="112"/>
      <c r="H319" s="112"/>
      <c r="Z319" s="112"/>
      <c r="AA319" s="112"/>
    </row>
    <row r="320" spans="3:27" x14ac:dyDescent="0.25">
      <c r="C320" s="112"/>
      <c r="D320" s="112"/>
      <c r="E320" s="113"/>
      <c r="F320" s="113"/>
      <c r="G320" s="112"/>
      <c r="H320" s="112"/>
      <c r="Z320" s="112"/>
      <c r="AA320" s="112"/>
    </row>
    <row r="321" spans="3:27" x14ac:dyDescent="0.25">
      <c r="C321" s="112"/>
      <c r="D321" s="112"/>
      <c r="E321" s="113"/>
      <c r="F321" s="113"/>
      <c r="G321" s="112"/>
      <c r="H321" s="112"/>
      <c r="Z321" s="112"/>
      <c r="AA321" s="112"/>
    </row>
    <row r="322" spans="3:27" x14ac:dyDescent="0.25">
      <c r="C322" s="112"/>
      <c r="D322" s="112"/>
      <c r="E322" s="113"/>
      <c r="F322" s="113"/>
      <c r="G322" s="112"/>
      <c r="H322" s="112"/>
      <c r="Z322" s="112"/>
      <c r="AA322" s="112"/>
    </row>
    <row r="323" spans="3:27" x14ac:dyDescent="0.25">
      <c r="C323" s="112"/>
      <c r="D323" s="112"/>
      <c r="E323" s="113"/>
      <c r="F323" s="113"/>
      <c r="G323" s="112"/>
      <c r="H323" s="112"/>
      <c r="Z323" s="112"/>
      <c r="AA323" s="112"/>
    </row>
    <row r="324" spans="3:27" x14ac:dyDescent="0.25">
      <c r="C324" s="112"/>
      <c r="D324" s="112"/>
      <c r="E324" s="113"/>
      <c r="F324" s="113"/>
      <c r="G324" s="112"/>
      <c r="H324" s="112"/>
      <c r="Z324" s="112"/>
      <c r="AA324" s="112"/>
    </row>
    <row r="325" spans="3:27" x14ac:dyDescent="0.25">
      <c r="C325" s="112"/>
      <c r="D325" s="112"/>
      <c r="E325" s="113"/>
      <c r="F325" s="113"/>
      <c r="G325" s="112"/>
      <c r="H325" s="112"/>
      <c r="Z325" s="112"/>
      <c r="AA325" s="112"/>
    </row>
    <row r="326" spans="3:27" x14ac:dyDescent="0.25">
      <c r="C326" s="112"/>
      <c r="D326" s="112"/>
      <c r="E326" s="113"/>
      <c r="F326" s="113"/>
      <c r="G326" s="112"/>
      <c r="H326" s="112"/>
      <c r="Z326" s="112"/>
      <c r="AA326" s="112"/>
    </row>
    <row r="327" spans="3:27" x14ac:dyDescent="0.25">
      <c r="C327" s="112"/>
      <c r="D327" s="112"/>
      <c r="E327" s="113"/>
      <c r="F327" s="113"/>
      <c r="G327" s="112"/>
      <c r="H327" s="112"/>
      <c r="Z327" s="112"/>
      <c r="AA327" s="112"/>
    </row>
    <row r="328" spans="3:27" x14ac:dyDescent="0.25">
      <c r="C328" s="112"/>
      <c r="D328" s="112"/>
      <c r="E328" s="113"/>
      <c r="F328" s="113"/>
      <c r="G328" s="112"/>
      <c r="H328" s="112"/>
      <c r="Z328" s="112"/>
      <c r="AA328" s="112"/>
    </row>
    <row r="329" spans="3:27" x14ac:dyDescent="0.25">
      <c r="C329" s="112"/>
      <c r="D329" s="112"/>
      <c r="E329" s="113"/>
      <c r="F329" s="113"/>
      <c r="G329" s="112"/>
      <c r="H329" s="112"/>
      <c r="Z329" s="112"/>
      <c r="AA329" s="112"/>
    </row>
    <row r="330" spans="3:27" x14ac:dyDescent="0.25">
      <c r="C330" s="112"/>
      <c r="D330" s="112"/>
      <c r="E330" s="113"/>
      <c r="F330" s="113"/>
      <c r="G330" s="112"/>
      <c r="H330" s="112"/>
      <c r="Z330" s="112"/>
      <c r="AA330" s="112"/>
    </row>
    <row r="331" spans="3:27" x14ac:dyDescent="0.25">
      <c r="C331" s="112"/>
      <c r="D331" s="112"/>
      <c r="E331" s="113"/>
      <c r="F331" s="113"/>
      <c r="G331" s="112"/>
      <c r="H331" s="112"/>
      <c r="Z331" s="112"/>
      <c r="AA331" s="112"/>
    </row>
    <row r="332" spans="3:27" x14ac:dyDescent="0.25">
      <c r="C332" s="112"/>
      <c r="D332" s="112"/>
      <c r="E332" s="113"/>
      <c r="F332" s="113"/>
      <c r="G332" s="112"/>
      <c r="H332" s="112"/>
      <c r="Z332" s="112"/>
      <c r="AA332" s="112"/>
    </row>
    <row r="333" spans="3:27" x14ac:dyDescent="0.25">
      <c r="C333" s="112"/>
      <c r="D333" s="112"/>
      <c r="E333" s="113"/>
      <c r="F333" s="113"/>
      <c r="G333" s="112"/>
      <c r="H333" s="112"/>
      <c r="Z333" s="112"/>
      <c r="AA333" s="112"/>
    </row>
    <row r="334" spans="3:27" x14ac:dyDescent="0.25">
      <c r="C334" s="112"/>
      <c r="D334" s="112"/>
      <c r="E334" s="113"/>
      <c r="F334" s="113"/>
      <c r="G334" s="112"/>
      <c r="H334" s="112"/>
      <c r="Z334" s="112"/>
      <c r="AA334" s="112"/>
    </row>
    <row r="335" spans="3:27" x14ac:dyDescent="0.25">
      <c r="C335" s="112"/>
      <c r="D335" s="112"/>
      <c r="E335" s="113"/>
      <c r="F335" s="113"/>
      <c r="G335" s="112"/>
      <c r="H335" s="112"/>
      <c r="Z335" s="112"/>
      <c r="AA335" s="112"/>
    </row>
    <row r="336" spans="3:27" x14ac:dyDescent="0.25">
      <c r="C336" s="112"/>
      <c r="D336" s="112"/>
      <c r="E336" s="113"/>
      <c r="F336" s="113"/>
      <c r="G336" s="112"/>
      <c r="H336" s="112"/>
      <c r="Z336" s="112"/>
      <c r="AA336" s="112"/>
    </row>
    <row r="337" spans="3:27" x14ac:dyDescent="0.25">
      <c r="C337" s="112"/>
      <c r="D337" s="112"/>
      <c r="E337" s="113"/>
      <c r="F337" s="113"/>
      <c r="G337" s="112"/>
      <c r="H337" s="112"/>
      <c r="Z337" s="112"/>
      <c r="AA337" s="112"/>
    </row>
    <row r="338" spans="3:27" x14ac:dyDescent="0.25">
      <c r="C338" s="112"/>
      <c r="D338" s="112"/>
      <c r="E338" s="113"/>
      <c r="F338" s="113"/>
      <c r="G338" s="112"/>
      <c r="H338" s="112"/>
      <c r="Z338" s="112"/>
      <c r="AA338" s="112"/>
    </row>
    <row r="339" spans="3:27" x14ac:dyDescent="0.25">
      <c r="C339" s="112"/>
      <c r="D339" s="112"/>
      <c r="E339" s="113"/>
      <c r="F339" s="113"/>
      <c r="G339" s="112"/>
      <c r="H339" s="112"/>
      <c r="Z339" s="112"/>
      <c r="AA339" s="112"/>
    </row>
    <row r="340" spans="3:27" x14ac:dyDescent="0.25">
      <c r="C340" s="112"/>
      <c r="D340" s="112"/>
      <c r="E340" s="113"/>
      <c r="F340" s="113"/>
      <c r="G340" s="112"/>
      <c r="H340" s="112"/>
      <c r="Z340" s="112"/>
      <c r="AA340" s="112"/>
    </row>
    <row r="341" spans="3:27" x14ac:dyDescent="0.25">
      <c r="C341" s="112"/>
      <c r="D341" s="112"/>
      <c r="E341" s="113"/>
      <c r="F341" s="113"/>
      <c r="G341" s="112"/>
      <c r="H341" s="112"/>
      <c r="Z341" s="112"/>
      <c r="AA341" s="112"/>
    </row>
    <row r="342" spans="3:27" x14ac:dyDescent="0.25">
      <c r="C342" s="112"/>
      <c r="D342" s="112"/>
      <c r="E342" s="113"/>
      <c r="F342" s="113"/>
      <c r="G342" s="112"/>
      <c r="H342" s="112"/>
      <c r="Z342" s="112"/>
      <c r="AA342" s="112"/>
    </row>
    <row r="343" spans="3:27" x14ac:dyDescent="0.25">
      <c r="C343" s="112"/>
      <c r="D343" s="112"/>
      <c r="E343" s="113"/>
      <c r="F343" s="113"/>
      <c r="G343" s="112"/>
      <c r="H343" s="112"/>
      <c r="Z343" s="112"/>
      <c r="AA343" s="112"/>
    </row>
    <row r="344" spans="3:27" x14ac:dyDescent="0.25">
      <c r="C344" s="112"/>
      <c r="D344" s="112"/>
      <c r="E344" s="113"/>
      <c r="F344" s="113"/>
      <c r="G344" s="112"/>
      <c r="H344" s="112"/>
      <c r="Z344" s="112"/>
      <c r="AA344" s="112"/>
    </row>
    <row r="345" spans="3:27" x14ac:dyDescent="0.25">
      <c r="C345" s="112"/>
      <c r="D345" s="112"/>
      <c r="E345" s="113"/>
      <c r="F345" s="113"/>
      <c r="G345" s="112"/>
      <c r="H345" s="112"/>
      <c r="Z345" s="112"/>
      <c r="AA345" s="112"/>
    </row>
    <row r="346" spans="3:27" x14ac:dyDescent="0.25">
      <c r="C346" s="112"/>
      <c r="D346" s="112"/>
      <c r="E346" s="113"/>
      <c r="F346" s="113"/>
      <c r="G346" s="112"/>
      <c r="H346" s="112"/>
      <c r="Z346" s="112"/>
      <c r="AA346" s="112"/>
    </row>
    <row r="347" spans="3:27" x14ac:dyDescent="0.25">
      <c r="C347" s="112"/>
      <c r="D347" s="112"/>
      <c r="E347" s="113"/>
      <c r="F347" s="113"/>
      <c r="G347" s="112"/>
      <c r="H347" s="112"/>
      <c r="Z347" s="112"/>
      <c r="AA347" s="112"/>
    </row>
    <row r="348" spans="3:27" x14ac:dyDescent="0.25">
      <c r="C348" s="112"/>
      <c r="D348" s="112"/>
      <c r="E348" s="113"/>
      <c r="F348" s="113"/>
      <c r="G348" s="112"/>
      <c r="H348" s="112"/>
      <c r="Z348" s="112"/>
      <c r="AA348" s="112"/>
    </row>
    <row r="349" spans="3:27" x14ac:dyDescent="0.25">
      <c r="C349" s="112"/>
      <c r="D349" s="112"/>
      <c r="E349" s="113"/>
      <c r="F349" s="113"/>
      <c r="G349" s="112"/>
      <c r="H349" s="112"/>
      <c r="Z349" s="112"/>
      <c r="AA349" s="112"/>
    </row>
    <row r="350" spans="3:27" x14ac:dyDescent="0.25">
      <c r="C350" s="112"/>
      <c r="D350" s="112"/>
      <c r="E350" s="113"/>
      <c r="F350" s="113"/>
      <c r="G350" s="112"/>
      <c r="H350" s="112"/>
      <c r="Z350" s="112"/>
      <c r="AA350" s="112"/>
    </row>
    <row r="351" spans="3:27" x14ac:dyDescent="0.25">
      <c r="C351" s="112"/>
      <c r="D351" s="112"/>
      <c r="E351" s="113"/>
      <c r="F351" s="113"/>
      <c r="G351" s="112"/>
      <c r="H351" s="112"/>
      <c r="Z351" s="112"/>
      <c r="AA351" s="112"/>
    </row>
    <row r="352" spans="3:27" x14ac:dyDescent="0.25">
      <c r="C352" s="112"/>
      <c r="D352" s="112"/>
      <c r="E352" s="113"/>
      <c r="F352" s="113"/>
      <c r="G352" s="112"/>
      <c r="H352" s="112"/>
      <c r="Z352" s="112"/>
      <c r="AA352" s="112"/>
    </row>
    <row r="353" spans="3:27" x14ac:dyDescent="0.25">
      <c r="C353" s="112"/>
      <c r="D353" s="112"/>
      <c r="E353" s="113"/>
      <c r="F353" s="113"/>
      <c r="G353" s="112"/>
      <c r="H353" s="112"/>
      <c r="Z353" s="112"/>
      <c r="AA353" s="112"/>
    </row>
    <row r="354" spans="3:27" x14ac:dyDescent="0.25">
      <c r="C354" s="112"/>
      <c r="D354" s="112"/>
      <c r="E354" s="113"/>
      <c r="F354" s="113"/>
      <c r="G354" s="112"/>
      <c r="H354" s="112"/>
      <c r="Z354" s="112"/>
      <c r="AA354" s="112"/>
    </row>
    <row r="355" spans="3:27" x14ac:dyDescent="0.25">
      <c r="C355" s="112"/>
      <c r="D355" s="112"/>
      <c r="E355" s="113"/>
      <c r="F355" s="113"/>
      <c r="G355" s="112"/>
      <c r="H355" s="112"/>
      <c r="Z355" s="112"/>
      <c r="AA355" s="112"/>
    </row>
    <row r="356" spans="3:27" x14ac:dyDescent="0.25">
      <c r="C356" s="112"/>
      <c r="D356" s="112"/>
      <c r="E356" s="113"/>
      <c r="F356" s="113"/>
      <c r="G356" s="112"/>
      <c r="H356" s="112"/>
      <c r="Z356" s="112"/>
      <c r="AA356" s="112"/>
    </row>
    <row r="357" spans="3:27" x14ac:dyDescent="0.25">
      <c r="C357" s="112"/>
      <c r="D357" s="112"/>
      <c r="E357" s="113"/>
      <c r="F357" s="113"/>
      <c r="G357" s="112"/>
      <c r="H357" s="112"/>
      <c r="Z357" s="112"/>
      <c r="AA357" s="112"/>
    </row>
    <row r="358" spans="3:27" x14ac:dyDescent="0.25">
      <c r="C358" s="112"/>
      <c r="D358" s="112"/>
      <c r="E358" s="113"/>
      <c r="F358" s="113"/>
      <c r="G358" s="112"/>
      <c r="H358" s="112"/>
      <c r="Z358" s="112"/>
      <c r="AA358" s="112"/>
    </row>
    <row r="359" spans="3:27" x14ac:dyDescent="0.25">
      <c r="C359" s="112"/>
      <c r="D359" s="112"/>
      <c r="E359" s="113"/>
      <c r="F359" s="113"/>
      <c r="G359" s="112"/>
      <c r="H359" s="112"/>
      <c r="Z359" s="112"/>
      <c r="AA359" s="112"/>
    </row>
    <row r="360" spans="3:27" x14ac:dyDescent="0.25">
      <c r="C360" s="112"/>
      <c r="D360" s="112"/>
      <c r="E360" s="113"/>
      <c r="F360" s="113"/>
      <c r="G360" s="112"/>
      <c r="H360" s="112"/>
      <c r="Z360" s="112"/>
      <c r="AA360" s="112"/>
    </row>
    <row r="361" spans="3:27" x14ac:dyDescent="0.25">
      <c r="C361" s="112"/>
      <c r="D361" s="112"/>
      <c r="E361" s="113"/>
      <c r="F361" s="113"/>
      <c r="G361" s="112"/>
      <c r="H361" s="112"/>
      <c r="Z361" s="112"/>
      <c r="AA361" s="112"/>
    </row>
    <row r="362" spans="3:27" x14ac:dyDescent="0.25">
      <c r="C362" s="112"/>
      <c r="D362" s="112"/>
      <c r="E362" s="113"/>
      <c r="F362" s="113"/>
      <c r="G362" s="112"/>
      <c r="H362" s="112"/>
      <c r="Z362" s="112"/>
      <c r="AA362" s="112"/>
    </row>
    <row r="363" spans="3:27" x14ac:dyDescent="0.25">
      <c r="C363" s="112"/>
      <c r="D363" s="112"/>
      <c r="E363" s="113"/>
      <c r="F363" s="113"/>
      <c r="G363" s="112"/>
      <c r="H363" s="112"/>
      <c r="Z363" s="112"/>
      <c r="AA363" s="112"/>
    </row>
    <row r="364" spans="3:27" x14ac:dyDescent="0.25">
      <c r="C364" s="112"/>
      <c r="D364" s="112"/>
      <c r="E364" s="113"/>
      <c r="F364" s="113"/>
      <c r="G364" s="112"/>
      <c r="H364" s="112"/>
      <c r="Z364" s="112"/>
      <c r="AA364" s="112"/>
    </row>
    <row r="365" spans="3:27" x14ac:dyDescent="0.25">
      <c r="C365" s="112"/>
      <c r="D365" s="112"/>
      <c r="E365" s="113"/>
      <c r="F365" s="113"/>
      <c r="G365" s="112"/>
      <c r="H365" s="112"/>
      <c r="Z365" s="112"/>
      <c r="AA365" s="112"/>
    </row>
    <row r="366" spans="3:27" x14ac:dyDescent="0.25">
      <c r="C366" s="112"/>
      <c r="D366" s="112"/>
      <c r="E366" s="113"/>
      <c r="F366" s="113"/>
      <c r="G366" s="112"/>
      <c r="H366" s="112"/>
      <c r="Z366" s="112"/>
      <c r="AA366" s="112"/>
    </row>
    <row r="367" spans="3:27" x14ac:dyDescent="0.25">
      <c r="C367" s="112"/>
      <c r="D367" s="112"/>
      <c r="E367" s="113"/>
      <c r="F367" s="113"/>
      <c r="G367" s="112"/>
      <c r="H367" s="112"/>
      <c r="Z367" s="112"/>
      <c r="AA367" s="112"/>
    </row>
    <row r="368" spans="3:27" x14ac:dyDescent="0.25">
      <c r="C368" s="112"/>
      <c r="D368" s="112"/>
      <c r="E368" s="113"/>
      <c r="F368" s="113"/>
      <c r="G368" s="112"/>
      <c r="H368" s="112"/>
      <c r="Z368" s="112"/>
      <c r="AA368" s="112"/>
    </row>
    <row r="369" spans="3:27" x14ac:dyDescent="0.25">
      <c r="C369" s="112"/>
      <c r="D369" s="112"/>
      <c r="E369" s="113"/>
      <c r="F369" s="113"/>
      <c r="G369" s="112"/>
      <c r="H369" s="112"/>
      <c r="Z369" s="112"/>
      <c r="AA369" s="112"/>
    </row>
    <row r="370" spans="3:27" x14ac:dyDescent="0.25">
      <c r="C370" s="112"/>
      <c r="D370" s="112"/>
      <c r="E370" s="113"/>
      <c r="F370" s="113"/>
      <c r="G370" s="112"/>
      <c r="H370" s="112"/>
      <c r="Z370" s="112"/>
      <c r="AA370" s="112"/>
    </row>
    <row r="371" spans="3:27" x14ac:dyDescent="0.25">
      <c r="C371" s="112"/>
      <c r="D371" s="112"/>
      <c r="E371" s="113"/>
      <c r="F371" s="113"/>
      <c r="G371" s="112"/>
      <c r="H371" s="112"/>
      <c r="Z371" s="112"/>
      <c r="AA371" s="112"/>
    </row>
    <row r="372" spans="3:27" x14ac:dyDescent="0.25">
      <c r="C372" s="112"/>
      <c r="D372" s="112"/>
      <c r="E372" s="113"/>
      <c r="F372" s="113"/>
      <c r="G372" s="112"/>
      <c r="H372" s="112"/>
      <c r="Z372" s="112"/>
      <c r="AA372" s="112"/>
    </row>
    <row r="373" spans="3:27" x14ac:dyDescent="0.25">
      <c r="C373" s="112"/>
      <c r="D373" s="112"/>
      <c r="E373" s="113"/>
      <c r="F373" s="113"/>
      <c r="G373" s="112"/>
      <c r="H373" s="112"/>
      <c r="Z373" s="112"/>
      <c r="AA373" s="112"/>
    </row>
    <row r="374" spans="3:27" x14ac:dyDescent="0.25">
      <c r="C374" s="112"/>
      <c r="D374" s="112"/>
      <c r="E374" s="113"/>
      <c r="F374" s="113"/>
      <c r="G374" s="112"/>
      <c r="H374" s="112"/>
      <c r="Z374" s="112"/>
      <c r="AA374" s="112"/>
    </row>
    <row r="375" spans="3:27" x14ac:dyDescent="0.25">
      <c r="C375" s="112"/>
      <c r="D375" s="112"/>
      <c r="E375" s="113"/>
      <c r="F375" s="113"/>
      <c r="G375" s="112"/>
      <c r="H375" s="112"/>
      <c r="Z375" s="112"/>
      <c r="AA375" s="112"/>
    </row>
    <row r="376" spans="3:27" x14ac:dyDescent="0.25">
      <c r="C376" s="112"/>
      <c r="D376" s="112"/>
      <c r="E376" s="113"/>
      <c r="F376" s="113"/>
      <c r="G376" s="112"/>
      <c r="H376" s="112"/>
      <c r="Z376" s="112"/>
      <c r="AA376" s="112"/>
    </row>
    <row r="377" spans="3:27" x14ac:dyDescent="0.25">
      <c r="C377" s="112"/>
      <c r="D377" s="112"/>
      <c r="E377" s="113"/>
      <c r="F377" s="113"/>
      <c r="G377" s="112"/>
      <c r="H377" s="112"/>
      <c r="Z377" s="112"/>
      <c r="AA377" s="112"/>
    </row>
    <row r="378" spans="3:27" x14ac:dyDescent="0.25">
      <c r="C378" s="112"/>
      <c r="D378" s="112"/>
      <c r="E378" s="113"/>
      <c r="F378" s="113"/>
      <c r="G378" s="112"/>
      <c r="H378" s="112"/>
      <c r="Z378" s="112"/>
      <c r="AA378" s="112"/>
    </row>
    <row r="379" spans="3:27" x14ac:dyDescent="0.25">
      <c r="C379" s="112"/>
      <c r="D379" s="112"/>
      <c r="E379" s="113"/>
      <c r="F379" s="113"/>
      <c r="G379" s="112"/>
      <c r="H379" s="112"/>
      <c r="Z379" s="112"/>
      <c r="AA379" s="112"/>
    </row>
    <row r="380" spans="3:27" x14ac:dyDescent="0.25">
      <c r="C380" s="112"/>
      <c r="D380" s="112"/>
      <c r="E380" s="113"/>
      <c r="F380" s="113"/>
      <c r="G380" s="112"/>
      <c r="H380" s="112"/>
      <c r="Z380" s="112"/>
      <c r="AA380" s="112"/>
    </row>
    <row r="381" spans="3:27" x14ac:dyDescent="0.25">
      <c r="C381" s="112"/>
      <c r="D381" s="112"/>
      <c r="E381" s="113"/>
      <c r="F381" s="113"/>
      <c r="G381" s="112"/>
      <c r="H381" s="112"/>
      <c r="Z381" s="112"/>
      <c r="AA381" s="112"/>
    </row>
    <row r="382" spans="3:27" x14ac:dyDescent="0.25">
      <c r="C382" s="112"/>
      <c r="D382" s="112"/>
      <c r="E382" s="113"/>
      <c r="F382" s="113"/>
      <c r="G382" s="112"/>
      <c r="H382" s="112"/>
      <c r="Z382" s="112"/>
      <c r="AA382" s="112"/>
    </row>
    <row r="383" spans="3:27" x14ac:dyDescent="0.25">
      <c r="C383" s="112"/>
      <c r="D383" s="112"/>
      <c r="E383" s="113"/>
      <c r="F383" s="113"/>
      <c r="G383" s="112"/>
      <c r="H383" s="112"/>
      <c r="Z383" s="112"/>
      <c r="AA383" s="112"/>
    </row>
    <row r="384" spans="3:27" x14ac:dyDescent="0.25">
      <c r="C384" s="112"/>
      <c r="D384" s="112"/>
      <c r="E384" s="113"/>
      <c r="F384" s="113"/>
      <c r="G384" s="112"/>
      <c r="H384" s="112"/>
      <c r="Z384" s="112"/>
      <c r="AA384" s="112"/>
    </row>
    <row r="385" spans="3:27" x14ac:dyDescent="0.25">
      <c r="C385" s="112"/>
      <c r="D385" s="112"/>
      <c r="E385" s="113"/>
      <c r="F385" s="113"/>
      <c r="G385" s="112"/>
      <c r="H385" s="112"/>
      <c r="Z385" s="112"/>
      <c r="AA385" s="112"/>
    </row>
    <row r="386" spans="3:27" x14ac:dyDescent="0.25">
      <c r="C386" s="112"/>
      <c r="D386" s="112"/>
      <c r="E386" s="113"/>
      <c r="F386" s="113"/>
      <c r="G386" s="112"/>
      <c r="H386" s="112"/>
      <c r="Z386" s="112"/>
      <c r="AA386" s="112"/>
    </row>
    <row r="387" spans="3:27" x14ac:dyDescent="0.25">
      <c r="C387" s="112"/>
      <c r="D387" s="112"/>
      <c r="E387" s="113"/>
      <c r="F387" s="113"/>
      <c r="G387" s="112"/>
      <c r="H387" s="112"/>
      <c r="Z387" s="112"/>
      <c r="AA387" s="112"/>
    </row>
    <row r="388" spans="3:27" x14ac:dyDescent="0.25">
      <c r="C388" s="112"/>
      <c r="D388" s="112"/>
      <c r="E388" s="113"/>
      <c r="F388" s="113"/>
      <c r="G388" s="112"/>
      <c r="H388" s="112"/>
      <c r="Z388" s="112"/>
      <c r="AA388" s="112"/>
    </row>
    <row r="389" spans="3:27" x14ac:dyDescent="0.25">
      <c r="C389" s="112"/>
      <c r="D389" s="112"/>
      <c r="E389" s="113"/>
      <c r="F389" s="113"/>
      <c r="G389" s="112"/>
      <c r="H389" s="112"/>
      <c r="Z389" s="112"/>
      <c r="AA389" s="112"/>
    </row>
    <row r="390" spans="3:27" x14ac:dyDescent="0.25">
      <c r="C390" s="112"/>
      <c r="D390" s="112"/>
      <c r="E390" s="113"/>
      <c r="F390" s="113"/>
      <c r="G390" s="112"/>
      <c r="H390" s="112"/>
      <c r="Z390" s="112"/>
      <c r="AA390" s="112"/>
    </row>
    <row r="391" spans="3:27" x14ac:dyDescent="0.25">
      <c r="C391" s="112"/>
      <c r="D391" s="112"/>
      <c r="E391" s="113"/>
      <c r="F391" s="113"/>
      <c r="G391" s="112"/>
      <c r="H391" s="112"/>
      <c r="Z391" s="112"/>
      <c r="AA391" s="112"/>
    </row>
    <row r="392" spans="3:27" x14ac:dyDescent="0.25">
      <c r="C392" s="112"/>
      <c r="D392" s="112"/>
      <c r="E392" s="113"/>
      <c r="F392" s="113"/>
      <c r="G392" s="112"/>
      <c r="H392" s="112"/>
      <c r="Z392" s="112"/>
      <c r="AA392" s="112"/>
    </row>
    <row r="393" spans="3:27" x14ac:dyDescent="0.25">
      <c r="C393" s="112"/>
      <c r="D393" s="112"/>
      <c r="E393" s="113"/>
      <c r="F393" s="113"/>
      <c r="G393" s="112"/>
      <c r="H393" s="112"/>
      <c r="Z393" s="112"/>
      <c r="AA393" s="112"/>
    </row>
    <row r="394" spans="3:27" x14ac:dyDescent="0.25">
      <c r="C394" s="112"/>
      <c r="D394" s="112"/>
      <c r="E394" s="113"/>
      <c r="F394" s="113"/>
      <c r="G394" s="112"/>
      <c r="H394" s="112"/>
      <c r="Z394" s="112"/>
      <c r="AA394" s="112"/>
    </row>
    <row r="395" spans="3:27" x14ac:dyDescent="0.25">
      <c r="C395" s="112"/>
      <c r="D395" s="112"/>
      <c r="E395" s="113"/>
      <c r="F395" s="113"/>
      <c r="G395" s="112"/>
      <c r="H395" s="112"/>
      <c r="Z395" s="112"/>
      <c r="AA395" s="112"/>
    </row>
    <row r="396" spans="3:27" x14ac:dyDescent="0.25">
      <c r="C396" s="112"/>
      <c r="D396" s="112"/>
      <c r="E396" s="113"/>
      <c r="F396" s="113"/>
      <c r="G396" s="112"/>
      <c r="H396" s="112"/>
      <c r="Z396" s="112"/>
      <c r="AA396" s="112"/>
    </row>
    <row r="397" spans="3:27" x14ac:dyDescent="0.25">
      <c r="C397" s="112"/>
      <c r="D397" s="112"/>
      <c r="E397" s="113"/>
      <c r="F397" s="113"/>
      <c r="G397" s="112"/>
      <c r="H397" s="112"/>
      <c r="Z397" s="112"/>
      <c r="AA397" s="112"/>
    </row>
    <row r="398" spans="3:27" x14ac:dyDescent="0.25">
      <c r="C398" s="112"/>
      <c r="D398" s="112"/>
      <c r="E398" s="113"/>
      <c r="F398" s="113"/>
      <c r="G398" s="112"/>
      <c r="H398" s="112"/>
      <c r="Z398" s="112"/>
      <c r="AA398" s="112"/>
    </row>
    <row r="399" spans="3:27" x14ac:dyDescent="0.25">
      <c r="C399" s="112"/>
      <c r="D399" s="112"/>
      <c r="E399" s="113"/>
      <c r="F399" s="113"/>
      <c r="G399" s="112"/>
      <c r="H399" s="112"/>
      <c r="Z399" s="112"/>
      <c r="AA399" s="112"/>
    </row>
    <row r="400" spans="3:27" x14ac:dyDescent="0.25">
      <c r="C400" s="112"/>
      <c r="D400" s="112"/>
      <c r="E400" s="113"/>
      <c r="F400" s="113"/>
      <c r="G400" s="112"/>
      <c r="H400" s="112"/>
      <c r="Z400" s="112"/>
      <c r="AA400" s="112"/>
    </row>
    <row r="401" spans="3:27" x14ac:dyDescent="0.25">
      <c r="C401" s="112"/>
      <c r="D401" s="112"/>
      <c r="E401" s="113"/>
      <c r="F401" s="113"/>
      <c r="G401" s="112"/>
      <c r="H401" s="112"/>
      <c r="Z401" s="112"/>
      <c r="AA401" s="112"/>
    </row>
    <row r="402" spans="3:27" x14ac:dyDescent="0.25">
      <c r="C402" s="112"/>
      <c r="D402" s="112"/>
      <c r="E402" s="113"/>
      <c r="F402" s="113"/>
      <c r="G402" s="112"/>
      <c r="H402" s="112"/>
      <c r="Z402" s="112"/>
      <c r="AA402" s="112"/>
    </row>
    <row r="403" spans="3:27" x14ac:dyDescent="0.25">
      <c r="C403" s="112"/>
      <c r="D403" s="112"/>
      <c r="E403" s="113"/>
      <c r="F403" s="113"/>
      <c r="G403" s="112"/>
      <c r="H403" s="112"/>
      <c r="Z403" s="112"/>
      <c r="AA403" s="112"/>
    </row>
    <row r="404" spans="3:27" x14ac:dyDescent="0.25">
      <c r="C404" s="112"/>
      <c r="D404" s="112"/>
      <c r="E404" s="113"/>
      <c r="F404" s="113"/>
      <c r="G404" s="112"/>
      <c r="H404" s="112"/>
      <c r="Z404" s="112"/>
      <c r="AA404" s="112"/>
    </row>
    <row r="405" spans="3:27" x14ac:dyDescent="0.25">
      <c r="C405" s="112"/>
      <c r="D405" s="112"/>
      <c r="E405" s="113"/>
      <c r="F405" s="113"/>
      <c r="G405" s="112"/>
      <c r="H405" s="112"/>
      <c r="Z405" s="112"/>
      <c r="AA405" s="112"/>
    </row>
    <row r="406" spans="3:27" x14ac:dyDescent="0.25">
      <c r="C406" s="112"/>
      <c r="D406" s="112"/>
      <c r="E406" s="113"/>
      <c r="F406" s="113"/>
      <c r="G406" s="112"/>
      <c r="H406" s="112"/>
      <c r="Z406" s="112"/>
      <c r="AA406" s="112"/>
    </row>
    <row r="407" spans="3:27" x14ac:dyDescent="0.25">
      <c r="C407" s="112"/>
      <c r="D407" s="112"/>
      <c r="E407" s="113"/>
      <c r="F407" s="113"/>
      <c r="G407" s="112"/>
      <c r="H407" s="112"/>
      <c r="Z407" s="112"/>
      <c r="AA407" s="112"/>
    </row>
    <row r="408" spans="3:27" x14ac:dyDescent="0.25">
      <c r="C408" s="112"/>
      <c r="D408" s="112"/>
      <c r="E408" s="113"/>
      <c r="F408" s="113"/>
      <c r="G408" s="112"/>
      <c r="H408" s="112"/>
      <c r="Z408" s="112"/>
      <c r="AA408" s="112"/>
    </row>
    <row r="409" spans="3:27" x14ac:dyDescent="0.25">
      <c r="C409" s="112"/>
      <c r="D409" s="112"/>
      <c r="E409" s="113"/>
      <c r="F409" s="113"/>
      <c r="G409" s="112"/>
      <c r="H409" s="112"/>
      <c r="Z409" s="112"/>
      <c r="AA409" s="112"/>
    </row>
    <row r="410" spans="3:27" x14ac:dyDescent="0.25">
      <c r="C410" s="112"/>
      <c r="D410" s="112"/>
      <c r="E410" s="113"/>
      <c r="F410" s="113"/>
      <c r="G410" s="112"/>
      <c r="H410" s="112"/>
      <c r="Z410" s="112"/>
      <c r="AA410" s="112"/>
    </row>
    <row r="411" spans="3:27" x14ac:dyDescent="0.25">
      <c r="C411" s="112"/>
      <c r="D411" s="112"/>
      <c r="E411" s="113"/>
      <c r="F411" s="113"/>
      <c r="G411" s="112"/>
      <c r="H411" s="112"/>
      <c r="Z411" s="112"/>
      <c r="AA411" s="112"/>
    </row>
    <row r="412" spans="3:27" x14ac:dyDescent="0.25">
      <c r="C412" s="112"/>
      <c r="D412" s="112"/>
      <c r="E412" s="113"/>
      <c r="F412" s="113"/>
      <c r="G412" s="112"/>
      <c r="H412" s="112"/>
      <c r="Z412" s="112"/>
      <c r="AA412" s="112"/>
    </row>
    <row r="413" spans="3:27" x14ac:dyDescent="0.25">
      <c r="C413" s="112"/>
      <c r="D413" s="112"/>
      <c r="E413" s="113"/>
      <c r="F413" s="113"/>
      <c r="G413" s="112"/>
      <c r="H413" s="112"/>
      <c r="Z413" s="112"/>
      <c r="AA413" s="112"/>
    </row>
    <row r="414" spans="3:27" x14ac:dyDescent="0.25">
      <c r="C414" s="112"/>
      <c r="D414" s="112"/>
      <c r="E414" s="113"/>
      <c r="F414" s="113"/>
      <c r="G414" s="112"/>
      <c r="H414" s="112"/>
      <c r="Z414" s="112"/>
      <c r="AA414" s="112"/>
    </row>
    <row r="415" spans="3:27" x14ac:dyDescent="0.25">
      <c r="C415" s="112"/>
      <c r="D415" s="112"/>
      <c r="E415" s="113"/>
      <c r="F415" s="113"/>
      <c r="G415" s="112"/>
      <c r="H415" s="112"/>
      <c r="Z415" s="112"/>
      <c r="AA415" s="112"/>
    </row>
    <row r="416" spans="3:27" x14ac:dyDescent="0.25">
      <c r="C416" s="112"/>
      <c r="D416" s="112"/>
      <c r="E416" s="113"/>
      <c r="F416" s="113"/>
      <c r="G416" s="112"/>
      <c r="H416" s="112"/>
      <c r="Z416" s="112"/>
      <c r="AA416" s="112"/>
    </row>
    <row r="417" spans="3:27" x14ac:dyDescent="0.25">
      <c r="C417" s="112"/>
      <c r="D417" s="112"/>
      <c r="E417" s="113"/>
      <c r="F417" s="113"/>
      <c r="G417" s="112"/>
      <c r="H417" s="112"/>
      <c r="Z417" s="112"/>
      <c r="AA417" s="112"/>
    </row>
    <row r="418" spans="3:27" x14ac:dyDescent="0.25">
      <c r="C418" s="112"/>
      <c r="D418" s="112"/>
      <c r="E418" s="113"/>
      <c r="F418" s="113"/>
      <c r="G418" s="112"/>
      <c r="H418" s="112"/>
      <c r="Z418" s="112"/>
      <c r="AA418" s="112"/>
    </row>
    <row r="419" spans="3:27" x14ac:dyDescent="0.25">
      <c r="C419" s="112"/>
      <c r="D419" s="112"/>
      <c r="E419" s="113"/>
      <c r="F419" s="113"/>
      <c r="G419" s="112"/>
      <c r="H419" s="112"/>
      <c r="Z419" s="112"/>
      <c r="AA419" s="112"/>
    </row>
    <row r="420" spans="3:27" x14ac:dyDescent="0.25">
      <c r="C420" s="112"/>
      <c r="D420" s="112"/>
      <c r="E420" s="113"/>
      <c r="F420" s="113"/>
      <c r="G420" s="112"/>
      <c r="H420" s="112"/>
      <c r="Z420" s="112"/>
      <c r="AA420" s="112"/>
    </row>
    <row r="421" spans="3:27" x14ac:dyDescent="0.25">
      <c r="C421" s="112"/>
      <c r="D421" s="112"/>
      <c r="E421" s="113"/>
      <c r="F421" s="113"/>
      <c r="G421" s="112"/>
      <c r="H421" s="112"/>
      <c r="Z421" s="112"/>
      <c r="AA421" s="112"/>
    </row>
    <row r="422" spans="3:27" x14ac:dyDescent="0.25">
      <c r="C422" s="112"/>
      <c r="D422" s="112"/>
      <c r="E422" s="113"/>
      <c r="F422" s="113"/>
      <c r="G422" s="112"/>
      <c r="H422" s="112"/>
      <c r="Z422" s="112"/>
      <c r="AA422" s="112"/>
    </row>
    <row r="423" spans="3:27" x14ac:dyDescent="0.25">
      <c r="C423" s="112"/>
      <c r="D423" s="112"/>
      <c r="E423" s="113"/>
      <c r="F423" s="113"/>
      <c r="G423" s="112"/>
      <c r="H423" s="112"/>
      <c r="Z423" s="112"/>
      <c r="AA423" s="112"/>
    </row>
    <row r="424" spans="3:27" x14ac:dyDescent="0.25">
      <c r="C424" s="112"/>
      <c r="D424" s="112"/>
      <c r="E424" s="113"/>
      <c r="F424" s="113"/>
      <c r="G424" s="112"/>
      <c r="H424" s="112"/>
      <c r="Z424" s="112"/>
      <c r="AA424" s="112"/>
    </row>
    <row r="425" spans="3:27" x14ac:dyDescent="0.25">
      <c r="C425" s="112"/>
      <c r="D425" s="112"/>
      <c r="E425" s="113"/>
      <c r="F425" s="113"/>
      <c r="G425" s="112"/>
      <c r="H425" s="112"/>
      <c r="Z425" s="112"/>
      <c r="AA425" s="112"/>
    </row>
    <row r="426" spans="3:27" x14ac:dyDescent="0.25">
      <c r="C426" s="112"/>
      <c r="D426" s="112"/>
      <c r="E426" s="113"/>
      <c r="F426" s="113"/>
      <c r="G426" s="112"/>
      <c r="H426" s="112"/>
      <c r="Z426" s="112"/>
      <c r="AA426" s="112"/>
    </row>
    <row r="427" spans="3:27" x14ac:dyDescent="0.25">
      <c r="C427" s="112"/>
      <c r="D427" s="112"/>
      <c r="E427" s="113"/>
      <c r="F427" s="113"/>
      <c r="G427" s="112"/>
      <c r="H427" s="112"/>
      <c r="Z427" s="112"/>
      <c r="AA427" s="112"/>
    </row>
    <row r="428" spans="3:27" x14ac:dyDescent="0.25">
      <c r="C428" s="112"/>
      <c r="D428" s="112"/>
      <c r="E428" s="113"/>
      <c r="F428" s="113"/>
      <c r="G428" s="112"/>
      <c r="H428" s="112"/>
      <c r="Z428" s="112"/>
      <c r="AA428" s="112"/>
    </row>
    <row r="429" spans="3:27" x14ac:dyDescent="0.25">
      <c r="C429" s="112"/>
      <c r="D429" s="112"/>
      <c r="E429" s="113"/>
      <c r="F429" s="113"/>
      <c r="G429" s="112"/>
      <c r="H429" s="112"/>
      <c r="Z429" s="112"/>
      <c r="AA429" s="112"/>
    </row>
    <row r="430" spans="3:27" x14ac:dyDescent="0.25">
      <c r="C430" s="112"/>
      <c r="D430" s="112"/>
      <c r="E430" s="113"/>
      <c r="F430" s="113"/>
      <c r="G430" s="112"/>
      <c r="H430" s="112"/>
      <c r="Z430" s="112"/>
      <c r="AA430" s="112"/>
    </row>
    <row r="431" spans="3:27" x14ac:dyDescent="0.25">
      <c r="C431" s="112"/>
      <c r="D431" s="112"/>
      <c r="E431" s="113"/>
      <c r="F431" s="113"/>
      <c r="G431" s="112"/>
      <c r="H431" s="112"/>
      <c r="Z431" s="112"/>
      <c r="AA431" s="112"/>
    </row>
    <row r="432" spans="3:27" x14ac:dyDescent="0.25">
      <c r="C432" s="112"/>
      <c r="D432" s="112"/>
      <c r="E432" s="113"/>
      <c r="F432" s="113"/>
      <c r="G432" s="112"/>
      <c r="H432" s="112"/>
      <c r="Z432" s="112"/>
      <c r="AA432" s="112"/>
    </row>
    <row r="433" spans="3:27" x14ac:dyDescent="0.25">
      <c r="C433" s="112"/>
      <c r="D433" s="112"/>
      <c r="E433" s="113"/>
      <c r="F433" s="113"/>
      <c r="G433" s="112"/>
      <c r="H433" s="112"/>
      <c r="Z433" s="112"/>
      <c r="AA433" s="112"/>
    </row>
    <row r="434" spans="3:27" x14ac:dyDescent="0.25">
      <c r="C434" s="112"/>
      <c r="D434" s="112"/>
      <c r="E434" s="113"/>
      <c r="F434" s="113"/>
      <c r="G434" s="112"/>
      <c r="H434" s="112"/>
      <c r="Z434" s="112"/>
      <c r="AA434" s="112"/>
    </row>
    <row r="435" spans="3:27" x14ac:dyDescent="0.25">
      <c r="C435" s="112"/>
      <c r="D435" s="112"/>
      <c r="E435" s="113"/>
      <c r="F435" s="113"/>
      <c r="G435" s="112"/>
      <c r="H435" s="112"/>
      <c r="Z435" s="112"/>
      <c r="AA435" s="112"/>
    </row>
    <row r="436" spans="3:27" x14ac:dyDescent="0.25">
      <c r="C436" s="112"/>
      <c r="D436" s="112"/>
      <c r="E436" s="113"/>
      <c r="F436" s="113"/>
      <c r="G436" s="112"/>
      <c r="H436" s="112"/>
      <c r="Z436" s="112"/>
      <c r="AA436" s="112"/>
    </row>
    <row r="437" spans="3:27" x14ac:dyDescent="0.25">
      <c r="C437" s="112"/>
      <c r="D437" s="112"/>
      <c r="E437" s="113"/>
      <c r="F437" s="113"/>
      <c r="G437" s="112"/>
      <c r="H437" s="112"/>
      <c r="Z437" s="112"/>
      <c r="AA437" s="112"/>
    </row>
    <row r="438" spans="3:27" x14ac:dyDescent="0.25">
      <c r="C438" s="112"/>
      <c r="D438" s="112"/>
      <c r="E438" s="113"/>
      <c r="F438" s="113"/>
      <c r="G438" s="112"/>
      <c r="H438" s="112"/>
      <c r="Z438" s="112"/>
      <c r="AA438" s="112"/>
    </row>
    <row r="439" spans="3:27" x14ac:dyDescent="0.25">
      <c r="C439" s="112"/>
      <c r="D439" s="112"/>
      <c r="E439" s="113"/>
      <c r="F439" s="113"/>
      <c r="G439" s="112"/>
      <c r="H439" s="112"/>
      <c r="Z439" s="112"/>
      <c r="AA439" s="112"/>
    </row>
    <row r="440" spans="3:27" x14ac:dyDescent="0.25">
      <c r="C440" s="112"/>
      <c r="D440" s="112"/>
      <c r="E440" s="113"/>
      <c r="F440" s="113"/>
      <c r="G440" s="112"/>
      <c r="H440" s="112"/>
      <c r="Z440" s="112"/>
      <c r="AA440" s="112"/>
    </row>
    <row r="441" spans="3:27" x14ac:dyDescent="0.25">
      <c r="C441" s="112"/>
      <c r="D441" s="112"/>
      <c r="E441" s="113"/>
      <c r="F441" s="113"/>
      <c r="G441" s="112"/>
      <c r="H441" s="112"/>
      <c r="Z441" s="112"/>
      <c r="AA441" s="112"/>
    </row>
    <row r="442" spans="3:27" x14ac:dyDescent="0.25">
      <c r="C442" s="112"/>
      <c r="D442" s="112"/>
      <c r="E442" s="113"/>
      <c r="F442" s="113"/>
      <c r="G442" s="112"/>
      <c r="H442" s="112"/>
      <c r="Z442" s="112"/>
      <c r="AA442" s="112"/>
    </row>
    <row r="443" spans="3:27" x14ac:dyDescent="0.25">
      <c r="C443" s="112"/>
      <c r="D443" s="112"/>
      <c r="E443" s="113"/>
      <c r="F443" s="113"/>
      <c r="G443" s="112"/>
      <c r="H443" s="112"/>
      <c r="Z443" s="112"/>
      <c r="AA443" s="112"/>
    </row>
    <row r="444" spans="3:27" x14ac:dyDescent="0.25">
      <c r="C444" s="112"/>
      <c r="D444" s="112"/>
      <c r="E444" s="113"/>
      <c r="F444" s="113"/>
      <c r="G444" s="112"/>
      <c r="H444" s="112"/>
      <c r="Z444" s="112"/>
      <c r="AA444" s="112"/>
    </row>
    <row r="445" spans="3:27" x14ac:dyDescent="0.25">
      <c r="C445" s="112"/>
      <c r="D445" s="112"/>
      <c r="E445" s="113"/>
      <c r="F445" s="113"/>
      <c r="G445" s="112"/>
      <c r="H445" s="112"/>
      <c r="Z445" s="112"/>
      <c r="AA445" s="112"/>
    </row>
    <row r="446" spans="3:27" x14ac:dyDescent="0.25">
      <c r="C446" s="112"/>
      <c r="D446" s="112"/>
      <c r="E446" s="113"/>
      <c r="F446" s="113"/>
      <c r="G446" s="112"/>
      <c r="H446" s="112"/>
      <c r="Z446" s="112"/>
      <c r="AA446" s="112"/>
    </row>
    <row r="447" spans="3:27" x14ac:dyDescent="0.25">
      <c r="C447" s="112"/>
      <c r="D447" s="112"/>
      <c r="E447" s="113"/>
      <c r="F447" s="113"/>
      <c r="G447" s="112"/>
      <c r="H447" s="112"/>
      <c r="Z447" s="112"/>
      <c r="AA447" s="112"/>
    </row>
    <row r="448" spans="3:27" x14ac:dyDescent="0.25">
      <c r="C448" s="112"/>
      <c r="D448" s="112"/>
      <c r="E448" s="113"/>
      <c r="F448" s="113"/>
      <c r="G448" s="112"/>
      <c r="H448" s="112"/>
      <c r="Z448" s="112"/>
      <c r="AA448" s="112"/>
    </row>
    <row r="449" spans="3:27" x14ac:dyDescent="0.25">
      <c r="C449" s="112"/>
      <c r="D449" s="112"/>
      <c r="E449" s="113"/>
      <c r="F449" s="113"/>
      <c r="G449" s="112"/>
      <c r="H449" s="112"/>
      <c r="Z449" s="112"/>
      <c r="AA449" s="112"/>
    </row>
    <row r="450" spans="3:27" x14ac:dyDescent="0.25">
      <c r="C450" s="112"/>
      <c r="D450" s="112"/>
      <c r="E450" s="113"/>
      <c r="F450" s="113"/>
      <c r="G450" s="112"/>
      <c r="H450" s="112"/>
      <c r="Z450" s="112"/>
      <c r="AA450" s="112"/>
    </row>
    <row r="451" spans="3:27" x14ac:dyDescent="0.25">
      <c r="C451" s="112"/>
      <c r="D451" s="112"/>
      <c r="E451" s="113"/>
      <c r="F451" s="113"/>
      <c r="G451" s="112"/>
      <c r="H451" s="112"/>
      <c r="Z451" s="112"/>
      <c r="AA451" s="112"/>
    </row>
    <row r="452" spans="3:27" x14ac:dyDescent="0.25">
      <c r="C452" s="112"/>
      <c r="D452" s="112"/>
      <c r="E452" s="113"/>
      <c r="F452" s="113"/>
      <c r="G452" s="112"/>
      <c r="H452" s="112"/>
      <c r="Z452" s="112"/>
      <c r="AA452" s="112"/>
    </row>
    <row r="453" spans="3:27" x14ac:dyDescent="0.25">
      <c r="C453" s="112"/>
      <c r="D453" s="112"/>
      <c r="E453" s="113"/>
      <c r="F453" s="113"/>
      <c r="G453" s="112"/>
      <c r="H453" s="112"/>
      <c r="Z453" s="112"/>
      <c r="AA453" s="112"/>
    </row>
    <row r="454" spans="3:27" x14ac:dyDescent="0.25">
      <c r="C454" s="112"/>
      <c r="D454" s="112"/>
      <c r="E454" s="113"/>
      <c r="F454" s="113"/>
      <c r="G454" s="112"/>
      <c r="H454" s="112"/>
      <c r="Z454" s="112"/>
      <c r="AA454" s="112"/>
    </row>
    <row r="455" spans="3:27" x14ac:dyDescent="0.25">
      <c r="C455" s="112"/>
      <c r="D455" s="112"/>
      <c r="E455" s="113"/>
      <c r="F455" s="113"/>
      <c r="G455" s="112"/>
      <c r="H455" s="112"/>
      <c r="Z455" s="112"/>
      <c r="AA455" s="112"/>
    </row>
    <row r="456" spans="3:27" x14ac:dyDescent="0.25">
      <c r="C456" s="112"/>
      <c r="D456" s="112"/>
      <c r="E456" s="113"/>
      <c r="F456" s="113"/>
      <c r="G456" s="112"/>
      <c r="H456" s="112"/>
      <c r="Z456" s="112"/>
      <c r="AA456" s="112"/>
    </row>
    <row r="457" spans="3:27" x14ac:dyDescent="0.25">
      <c r="C457" s="112"/>
      <c r="D457" s="112"/>
      <c r="E457" s="113"/>
      <c r="F457" s="113"/>
      <c r="G457" s="112"/>
      <c r="H457" s="112"/>
      <c r="Z457" s="112"/>
      <c r="AA457" s="112"/>
    </row>
    <row r="458" spans="3:27" x14ac:dyDescent="0.25">
      <c r="C458" s="112"/>
      <c r="D458" s="112"/>
      <c r="E458" s="113"/>
      <c r="F458" s="113"/>
      <c r="G458" s="112"/>
      <c r="H458" s="112"/>
      <c r="Z458" s="112"/>
      <c r="AA458" s="112"/>
    </row>
    <row r="459" spans="3:27" x14ac:dyDescent="0.25">
      <c r="C459" s="112"/>
      <c r="D459" s="112"/>
      <c r="E459" s="113"/>
      <c r="F459" s="113"/>
      <c r="G459" s="112"/>
      <c r="H459" s="112"/>
      <c r="Z459" s="112"/>
      <c r="AA459" s="112"/>
    </row>
    <row r="460" spans="3:27" x14ac:dyDescent="0.25">
      <c r="C460" s="112"/>
      <c r="D460" s="112"/>
      <c r="E460" s="113"/>
      <c r="F460" s="113"/>
      <c r="G460" s="112"/>
      <c r="H460" s="112"/>
      <c r="Z460" s="112"/>
      <c r="AA460" s="112"/>
    </row>
    <row r="461" spans="3:27" x14ac:dyDescent="0.25">
      <c r="C461" s="112"/>
      <c r="D461" s="112"/>
      <c r="E461" s="113"/>
      <c r="F461" s="113"/>
      <c r="G461" s="112"/>
      <c r="H461" s="112"/>
      <c r="Z461" s="112"/>
      <c r="AA461" s="112"/>
    </row>
    <row r="462" spans="3:27" x14ac:dyDescent="0.25">
      <c r="C462" s="112"/>
      <c r="D462" s="112"/>
      <c r="E462" s="113"/>
      <c r="F462" s="113"/>
      <c r="G462" s="112"/>
      <c r="H462" s="112"/>
      <c r="Z462" s="112"/>
      <c r="AA462" s="112"/>
    </row>
    <row r="463" spans="3:27" x14ac:dyDescent="0.25">
      <c r="C463" s="112"/>
      <c r="D463" s="112"/>
      <c r="E463" s="113"/>
      <c r="F463" s="113"/>
      <c r="G463" s="112"/>
      <c r="H463" s="112"/>
      <c r="Z463" s="112"/>
      <c r="AA463" s="112"/>
    </row>
    <row r="464" spans="3:27" x14ac:dyDescent="0.25">
      <c r="C464" s="112"/>
      <c r="D464" s="112"/>
      <c r="E464" s="113"/>
      <c r="F464" s="113"/>
      <c r="G464" s="112"/>
      <c r="H464" s="112"/>
      <c r="Z464" s="112"/>
      <c r="AA464" s="112"/>
    </row>
    <row r="465" spans="3:27" x14ac:dyDescent="0.25">
      <c r="C465" s="112"/>
      <c r="D465" s="112"/>
      <c r="E465" s="113"/>
      <c r="F465" s="113"/>
      <c r="G465" s="112"/>
      <c r="H465" s="112"/>
      <c r="Z465" s="112"/>
      <c r="AA465" s="112"/>
    </row>
    <row r="466" spans="3:27" x14ac:dyDescent="0.25">
      <c r="C466" s="112"/>
      <c r="D466" s="112"/>
      <c r="E466" s="113"/>
      <c r="F466" s="113"/>
      <c r="G466" s="112"/>
      <c r="H466" s="112"/>
      <c r="Z466" s="112"/>
      <c r="AA466" s="112"/>
    </row>
    <row r="467" spans="3:27" x14ac:dyDescent="0.25">
      <c r="C467" s="112"/>
      <c r="D467" s="112"/>
      <c r="E467" s="113"/>
      <c r="F467" s="113"/>
      <c r="G467" s="112"/>
      <c r="H467" s="112"/>
      <c r="Z467" s="112"/>
      <c r="AA467" s="112"/>
    </row>
    <row r="468" spans="3:27" x14ac:dyDescent="0.25">
      <c r="C468" s="112"/>
      <c r="D468" s="112"/>
      <c r="E468" s="113"/>
      <c r="F468" s="113"/>
      <c r="G468" s="112"/>
      <c r="H468" s="112"/>
      <c r="Z468" s="112"/>
      <c r="AA468" s="112"/>
    </row>
    <row r="469" spans="3:27" x14ac:dyDescent="0.25">
      <c r="C469" s="112"/>
      <c r="D469" s="112"/>
      <c r="E469" s="113"/>
      <c r="F469" s="113"/>
      <c r="G469" s="112"/>
      <c r="H469" s="112"/>
      <c r="Z469" s="112"/>
      <c r="AA469" s="112"/>
    </row>
    <row r="470" spans="3:27" x14ac:dyDescent="0.25">
      <c r="C470" s="112"/>
      <c r="D470" s="112"/>
      <c r="E470" s="113"/>
      <c r="F470" s="113"/>
      <c r="G470" s="112"/>
      <c r="H470" s="112"/>
      <c r="Z470" s="112"/>
      <c r="AA470" s="112"/>
    </row>
    <row r="471" spans="3:27" x14ac:dyDescent="0.25">
      <c r="C471" s="112"/>
      <c r="D471" s="112"/>
      <c r="E471" s="113"/>
      <c r="F471" s="113"/>
      <c r="G471" s="112"/>
      <c r="H471" s="112"/>
      <c r="Z471" s="112"/>
      <c r="AA471" s="112"/>
    </row>
    <row r="472" spans="3:27" x14ac:dyDescent="0.25">
      <c r="C472" s="112"/>
      <c r="D472" s="112"/>
      <c r="E472" s="113"/>
      <c r="F472" s="113"/>
      <c r="G472" s="112"/>
      <c r="H472" s="112"/>
      <c r="Z472" s="112"/>
      <c r="AA472" s="112"/>
    </row>
    <row r="473" spans="3:27" x14ac:dyDescent="0.25">
      <c r="C473" s="112"/>
      <c r="D473" s="112"/>
      <c r="E473" s="113"/>
      <c r="F473" s="113"/>
      <c r="G473" s="112"/>
      <c r="H473" s="112"/>
      <c r="Z473" s="112"/>
      <c r="AA473" s="112"/>
    </row>
    <row r="474" spans="3:27" x14ac:dyDescent="0.25">
      <c r="C474" s="112"/>
      <c r="D474" s="112"/>
      <c r="E474" s="113"/>
      <c r="F474" s="113"/>
      <c r="G474" s="112"/>
      <c r="H474" s="112"/>
      <c r="Z474" s="112"/>
      <c r="AA474" s="112"/>
    </row>
    <row r="475" spans="3:27" x14ac:dyDescent="0.25">
      <c r="C475" s="112"/>
      <c r="D475" s="112"/>
      <c r="E475" s="113"/>
      <c r="F475" s="113"/>
      <c r="G475" s="112"/>
      <c r="H475" s="112"/>
      <c r="Z475" s="112"/>
      <c r="AA475" s="112"/>
    </row>
    <row r="476" spans="3:27" x14ac:dyDescent="0.25">
      <c r="C476" s="112"/>
      <c r="D476" s="112"/>
      <c r="E476" s="113"/>
      <c r="F476" s="113"/>
      <c r="G476" s="112"/>
      <c r="H476" s="112"/>
      <c r="Z476" s="112"/>
      <c r="AA476" s="112"/>
    </row>
    <row r="477" spans="3:27" x14ac:dyDescent="0.25">
      <c r="C477" s="112"/>
      <c r="D477" s="112"/>
      <c r="E477" s="113"/>
      <c r="F477" s="113"/>
      <c r="G477" s="112"/>
      <c r="H477" s="112"/>
      <c r="Z477" s="112"/>
      <c r="AA477" s="112"/>
    </row>
    <row r="478" spans="3:27" x14ac:dyDescent="0.25">
      <c r="C478" s="112"/>
      <c r="D478" s="112"/>
      <c r="E478" s="113"/>
      <c r="F478" s="113"/>
      <c r="G478" s="112"/>
      <c r="H478" s="112"/>
      <c r="Z478" s="112"/>
      <c r="AA478" s="112"/>
    </row>
    <row r="479" spans="3:27" x14ac:dyDescent="0.25">
      <c r="C479" s="112"/>
      <c r="D479" s="112"/>
      <c r="E479" s="113"/>
      <c r="F479" s="113"/>
      <c r="G479" s="112"/>
      <c r="H479" s="112"/>
      <c r="Z479" s="112"/>
      <c r="AA479" s="112"/>
    </row>
    <row r="480" spans="3:27" x14ac:dyDescent="0.25">
      <c r="C480" s="112"/>
      <c r="D480" s="112"/>
      <c r="E480" s="113"/>
      <c r="F480" s="113"/>
      <c r="G480" s="112"/>
      <c r="H480" s="112"/>
      <c r="Z480" s="112"/>
      <c r="AA480" s="112"/>
    </row>
    <row r="481" spans="3:27" x14ac:dyDescent="0.25">
      <c r="C481" s="112"/>
      <c r="D481" s="112"/>
      <c r="E481" s="113"/>
      <c r="F481" s="113"/>
      <c r="G481" s="112"/>
      <c r="H481" s="112"/>
      <c r="Z481" s="112"/>
      <c r="AA481" s="112"/>
    </row>
    <row r="482" spans="3:27" x14ac:dyDescent="0.25">
      <c r="C482" s="112"/>
      <c r="D482" s="112"/>
      <c r="E482" s="113"/>
      <c r="F482" s="113"/>
      <c r="G482" s="112"/>
      <c r="H482" s="112"/>
      <c r="Z482" s="112"/>
      <c r="AA482" s="112"/>
    </row>
    <row r="483" spans="3:27" x14ac:dyDescent="0.25">
      <c r="C483" s="112"/>
      <c r="D483" s="112"/>
      <c r="E483" s="113"/>
      <c r="F483" s="113"/>
      <c r="G483" s="112"/>
      <c r="H483" s="112"/>
      <c r="Z483" s="112"/>
      <c r="AA483" s="112"/>
    </row>
    <row r="484" spans="3:27" x14ac:dyDescent="0.25">
      <c r="C484" s="112"/>
      <c r="D484" s="112"/>
      <c r="E484" s="113"/>
      <c r="F484" s="113"/>
      <c r="G484" s="112"/>
      <c r="H484" s="112"/>
      <c r="Z484" s="112"/>
      <c r="AA484" s="112"/>
    </row>
    <row r="485" spans="3:27" x14ac:dyDescent="0.25">
      <c r="C485" s="112"/>
      <c r="D485" s="112"/>
      <c r="E485" s="113"/>
      <c r="F485" s="113"/>
      <c r="G485" s="112"/>
      <c r="H485" s="112"/>
      <c r="Z485" s="112"/>
      <c r="AA485" s="112"/>
    </row>
    <row r="486" spans="3:27" x14ac:dyDescent="0.25">
      <c r="C486" s="112"/>
      <c r="D486" s="112"/>
      <c r="E486" s="113"/>
      <c r="F486" s="113"/>
      <c r="G486" s="112"/>
      <c r="H486" s="112"/>
      <c r="Z486" s="112"/>
      <c r="AA486" s="112"/>
    </row>
    <row r="487" spans="3:27" x14ac:dyDescent="0.25">
      <c r="C487" s="112"/>
      <c r="D487" s="112"/>
      <c r="E487" s="113"/>
      <c r="F487" s="113"/>
      <c r="G487" s="112"/>
      <c r="H487" s="112"/>
      <c r="Z487" s="112"/>
      <c r="AA487" s="112"/>
    </row>
    <row r="488" spans="3:27" x14ac:dyDescent="0.25">
      <c r="C488" s="112"/>
      <c r="D488" s="112"/>
      <c r="E488" s="113"/>
      <c r="F488" s="113"/>
      <c r="G488" s="112"/>
      <c r="H488" s="112"/>
      <c r="Z488" s="112"/>
      <c r="AA488" s="112"/>
    </row>
    <row r="489" spans="3:27" x14ac:dyDescent="0.25">
      <c r="C489" s="112"/>
      <c r="D489" s="112"/>
      <c r="E489" s="113"/>
      <c r="F489" s="113"/>
      <c r="G489" s="112"/>
      <c r="H489" s="112"/>
      <c r="Z489" s="112"/>
      <c r="AA489" s="112"/>
    </row>
    <row r="490" spans="3:27" x14ac:dyDescent="0.25">
      <c r="C490" s="112"/>
      <c r="D490" s="112"/>
      <c r="E490" s="113"/>
      <c r="F490" s="113"/>
      <c r="G490" s="112"/>
      <c r="H490" s="112"/>
      <c r="Z490" s="112"/>
      <c r="AA490" s="112"/>
    </row>
    <row r="491" spans="3:27" x14ac:dyDescent="0.25">
      <c r="C491" s="112"/>
      <c r="D491" s="112"/>
      <c r="E491" s="113"/>
      <c r="F491" s="113"/>
      <c r="G491" s="112"/>
      <c r="H491" s="112"/>
      <c r="Z491" s="112"/>
      <c r="AA491" s="112"/>
    </row>
    <row r="492" spans="3:27" x14ac:dyDescent="0.25">
      <c r="C492" s="112"/>
      <c r="D492" s="112"/>
      <c r="E492" s="113"/>
      <c r="F492" s="113"/>
      <c r="G492" s="112"/>
      <c r="H492" s="112"/>
      <c r="Z492" s="112"/>
      <c r="AA492" s="112"/>
    </row>
    <row r="493" spans="3:27" x14ac:dyDescent="0.25">
      <c r="C493" s="112"/>
      <c r="D493" s="112"/>
      <c r="E493" s="113"/>
      <c r="F493" s="113"/>
      <c r="G493" s="112"/>
      <c r="H493" s="112"/>
      <c r="Z493" s="112"/>
      <c r="AA493" s="112"/>
    </row>
    <row r="494" spans="3:27" x14ac:dyDescent="0.25">
      <c r="C494" s="112"/>
      <c r="D494" s="112"/>
      <c r="E494" s="113"/>
      <c r="F494" s="113"/>
      <c r="G494" s="112"/>
      <c r="H494" s="112"/>
      <c r="Z494" s="112"/>
      <c r="AA494" s="112"/>
    </row>
    <row r="495" spans="3:27" x14ac:dyDescent="0.25">
      <c r="C495" s="112"/>
      <c r="D495" s="112"/>
      <c r="E495" s="113"/>
      <c r="F495" s="113"/>
      <c r="G495" s="112"/>
      <c r="H495" s="112"/>
      <c r="Z495" s="112"/>
      <c r="AA495" s="112"/>
    </row>
    <row r="496" spans="3:27" x14ac:dyDescent="0.25">
      <c r="C496" s="112"/>
      <c r="D496" s="112"/>
      <c r="E496" s="113"/>
      <c r="F496" s="113"/>
      <c r="G496" s="112"/>
      <c r="H496" s="112"/>
      <c r="Z496" s="112"/>
      <c r="AA496" s="112"/>
    </row>
    <row r="497" spans="3:27" x14ac:dyDescent="0.25">
      <c r="C497" s="112"/>
      <c r="D497" s="112"/>
      <c r="E497" s="113"/>
      <c r="F497" s="113"/>
      <c r="G497" s="112"/>
      <c r="H497" s="112"/>
      <c r="Z497" s="112"/>
      <c r="AA497" s="112"/>
    </row>
    <row r="498" spans="3:27" x14ac:dyDescent="0.25">
      <c r="C498" s="112"/>
      <c r="D498" s="112"/>
      <c r="E498" s="113"/>
      <c r="F498" s="113"/>
      <c r="G498" s="112"/>
      <c r="H498" s="112"/>
      <c r="Z498" s="112"/>
      <c r="AA498" s="112"/>
    </row>
    <row r="499" spans="3:27" x14ac:dyDescent="0.25">
      <c r="C499" s="112"/>
      <c r="D499" s="112"/>
      <c r="E499" s="113"/>
      <c r="F499" s="113"/>
      <c r="G499" s="112"/>
      <c r="H499" s="112"/>
      <c r="Z499" s="112"/>
      <c r="AA499" s="112"/>
    </row>
    <row r="500" spans="3:27" x14ac:dyDescent="0.25">
      <c r="C500" s="112"/>
      <c r="D500" s="112"/>
      <c r="E500" s="113"/>
      <c r="F500" s="113"/>
      <c r="G500" s="112"/>
      <c r="H500" s="112"/>
      <c r="Z500" s="112"/>
      <c r="AA500" s="112"/>
    </row>
    <row r="501" spans="3:27" x14ac:dyDescent="0.25">
      <c r="C501" s="112"/>
      <c r="D501" s="112"/>
      <c r="E501" s="113"/>
      <c r="F501" s="113"/>
      <c r="G501" s="112"/>
      <c r="H501" s="112"/>
      <c r="Z501" s="112"/>
      <c r="AA501" s="112"/>
    </row>
    <row r="502" spans="3:27" x14ac:dyDescent="0.25">
      <c r="C502" s="112"/>
      <c r="D502" s="112"/>
      <c r="E502" s="113"/>
      <c r="F502" s="113"/>
      <c r="G502" s="112"/>
      <c r="H502" s="112"/>
      <c r="Z502" s="112"/>
      <c r="AA502" s="112"/>
    </row>
    <row r="503" spans="3:27" x14ac:dyDescent="0.25">
      <c r="C503" s="112"/>
      <c r="D503" s="112"/>
      <c r="E503" s="113"/>
      <c r="F503" s="113"/>
      <c r="G503" s="112"/>
      <c r="H503" s="112"/>
      <c r="Z503" s="112"/>
      <c r="AA503" s="112"/>
    </row>
    <row r="504" spans="3:27" x14ac:dyDescent="0.25">
      <c r="C504" s="112"/>
      <c r="D504" s="112"/>
      <c r="E504" s="113"/>
      <c r="F504" s="113"/>
      <c r="G504" s="112"/>
      <c r="H504" s="112"/>
      <c r="Z504" s="112"/>
      <c r="AA504" s="112"/>
    </row>
    <row r="505" spans="3:27" x14ac:dyDescent="0.25">
      <c r="C505" s="112"/>
      <c r="D505" s="112"/>
      <c r="E505" s="113"/>
      <c r="F505" s="113"/>
      <c r="G505" s="112"/>
      <c r="H505" s="112"/>
      <c r="Z505" s="112"/>
      <c r="AA505" s="112"/>
    </row>
    <row r="506" spans="3:27" x14ac:dyDescent="0.25">
      <c r="C506" s="112"/>
      <c r="D506" s="112"/>
      <c r="E506" s="113"/>
      <c r="F506" s="113"/>
      <c r="G506" s="112"/>
      <c r="H506" s="112"/>
      <c r="Z506" s="112"/>
      <c r="AA506" s="112"/>
    </row>
    <row r="507" spans="3:27" x14ac:dyDescent="0.25">
      <c r="C507" s="112"/>
      <c r="D507" s="112"/>
      <c r="E507" s="113"/>
      <c r="F507" s="113"/>
      <c r="G507" s="112"/>
      <c r="H507" s="112"/>
      <c r="Z507" s="112"/>
      <c r="AA507" s="112"/>
    </row>
    <row r="508" spans="3:27" x14ac:dyDescent="0.25">
      <c r="C508" s="112"/>
      <c r="D508" s="112"/>
      <c r="E508" s="113"/>
      <c r="F508" s="113"/>
      <c r="G508" s="112"/>
      <c r="H508" s="112"/>
      <c r="Z508" s="112"/>
      <c r="AA508" s="112"/>
    </row>
    <row r="509" spans="3:27" x14ac:dyDescent="0.25">
      <c r="C509" s="112"/>
      <c r="D509" s="112"/>
      <c r="E509" s="113"/>
      <c r="F509" s="113"/>
      <c r="G509" s="112"/>
      <c r="H509" s="112"/>
      <c r="Z509" s="112"/>
      <c r="AA509" s="112"/>
    </row>
    <row r="510" spans="3:27" x14ac:dyDescent="0.25">
      <c r="C510" s="112"/>
      <c r="D510" s="112"/>
      <c r="E510" s="113"/>
      <c r="F510" s="113"/>
      <c r="G510" s="112"/>
      <c r="H510" s="112"/>
      <c r="Z510" s="112"/>
      <c r="AA510" s="112"/>
    </row>
    <row r="511" spans="3:27" x14ac:dyDescent="0.25">
      <c r="C511" s="112"/>
      <c r="D511" s="112"/>
      <c r="E511" s="113"/>
      <c r="F511" s="113"/>
      <c r="G511" s="112"/>
      <c r="H511" s="112"/>
      <c r="Z511" s="112"/>
      <c r="AA511" s="112"/>
    </row>
    <row r="512" spans="3:27" x14ac:dyDescent="0.25">
      <c r="C512" s="112"/>
      <c r="D512" s="112"/>
      <c r="E512" s="113"/>
      <c r="F512" s="113"/>
      <c r="G512" s="112"/>
      <c r="H512" s="112"/>
      <c r="Z512" s="112"/>
      <c r="AA512" s="112"/>
    </row>
    <row r="513" spans="3:27" x14ac:dyDescent="0.25">
      <c r="C513" s="112"/>
      <c r="D513" s="112"/>
      <c r="E513" s="113"/>
      <c r="F513" s="113"/>
      <c r="G513" s="112"/>
      <c r="H513" s="112"/>
      <c r="Z513" s="112"/>
      <c r="AA513" s="112"/>
    </row>
    <row r="514" spans="3:27" x14ac:dyDescent="0.25">
      <c r="C514" s="112"/>
      <c r="D514" s="112"/>
      <c r="E514" s="113"/>
      <c r="F514" s="113"/>
      <c r="G514" s="112"/>
      <c r="H514" s="112"/>
      <c r="Z514" s="112"/>
      <c r="AA514" s="112"/>
    </row>
    <row r="515" spans="3:27" x14ac:dyDescent="0.25">
      <c r="C515" s="112"/>
      <c r="D515" s="112"/>
      <c r="E515" s="113"/>
      <c r="F515" s="113"/>
      <c r="G515" s="112"/>
      <c r="H515" s="112"/>
      <c r="Z515" s="112"/>
      <c r="AA515" s="112"/>
    </row>
    <row r="516" spans="3:27" x14ac:dyDescent="0.25">
      <c r="C516" s="112"/>
      <c r="D516" s="112"/>
      <c r="E516" s="113"/>
      <c r="F516" s="113"/>
      <c r="G516" s="112"/>
      <c r="H516" s="112"/>
      <c r="Z516" s="112"/>
      <c r="AA516" s="112"/>
    </row>
    <row r="517" spans="3:27" x14ac:dyDescent="0.25">
      <c r="C517" s="112"/>
      <c r="D517" s="112"/>
      <c r="E517" s="113"/>
      <c r="F517" s="113"/>
      <c r="G517" s="112"/>
      <c r="H517" s="112"/>
      <c r="Z517" s="112"/>
      <c r="AA517" s="112"/>
    </row>
    <row r="518" spans="3:27" x14ac:dyDescent="0.25">
      <c r="C518" s="112"/>
      <c r="D518" s="112"/>
      <c r="E518" s="113"/>
      <c r="F518" s="113"/>
      <c r="G518" s="112"/>
      <c r="H518" s="112"/>
      <c r="Z518" s="112"/>
      <c r="AA518" s="112"/>
    </row>
    <row r="519" spans="3:27" x14ac:dyDescent="0.25">
      <c r="C519" s="112"/>
      <c r="D519" s="112"/>
      <c r="E519" s="113"/>
      <c r="F519" s="113"/>
      <c r="G519" s="112"/>
      <c r="H519" s="112"/>
      <c r="Z519" s="112"/>
      <c r="AA519" s="112"/>
    </row>
    <row r="520" spans="3:27" x14ac:dyDescent="0.25">
      <c r="C520" s="112"/>
      <c r="D520" s="112"/>
      <c r="E520" s="113"/>
      <c r="F520" s="113"/>
      <c r="G520" s="112"/>
      <c r="H520" s="112"/>
      <c r="Z520" s="112"/>
      <c r="AA520" s="112"/>
    </row>
    <row r="521" spans="3:27" x14ac:dyDescent="0.25">
      <c r="C521" s="112"/>
      <c r="D521" s="112"/>
      <c r="E521" s="113"/>
      <c r="F521" s="113"/>
      <c r="G521" s="112"/>
      <c r="H521" s="112"/>
      <c r="Z521" s="112"/>
      <c r="AA521" s="112"/>
    </row>
    <row r="522" spans="3:27" x14ac:dyDescent="0.25">
      <c r="C522" s="112"/>
      <c r="D522" s="112"/>
      <c r="E522" s="113"/>
      <c r="F522" s="113"/>
      <c r="G522" s="112"/>
      <c r="H522" s="112"/>
      <c r="Z522" s="112"/>
      <c r="AA522" s="112"/>
    </row>
    <row r="523" spans="3:27" x14ac:dyDescent="0.25">
      <c r="C523" s="112"/>
      <c r="D523" s="112"/>
      <c r="E523" s="113"/>
      <c r="F523" s="113"/>
      <c r="G523" s="112"/>
      <c r="H523" s="112"/>
      <c r="Z523" s="112"/>
      <c r="AA523" s="112"/>
    </row>
    <row r="524" spans="3:27" x14ac:dyDescent="0.25">
      <c r="C524" s="112"/>
      <c r="D524" s="112"/>
      <c r="E524" s="113"/>
      <c r="F524" s="113"/>
      <c r="G524" s="112"/>
      <c r="H524" s="112"/>
      <c r="Z524" s="112"/>
      <c r="AA524" s="112"/>
    </row>
    <row r="525" spans="3:27" x14ac:dyDescent="0.25">
      <c r="C525" s="112"/>
      <c r="D525" s="112"/>
      <c r="E525" s="113"/>
      <c r="F525" s="113"/>
      <c r="G525" s="112"/>
      <c r="H525" s="112"/>
      <c r="Z525" s="112"/>
      <c r="AA525" s="112"/>
    </row>
    <row r="526" spans="3:27" x14ac:dyDescent="0.25">
      <c r="C526" s="112"/>
      <c r="D526" s="112"/>
      <c r="E526" s="113"/>
      <c r="F526" s="113"/>
      <c r="G526" s="112"/>
      <c r="H526" s="112"/>
      <c r="Z526" s="112"/>
      <c r="AA526" s="112"/>
    </row>
    <row r="527" spans="3:27" x14ac:dyDescent="0.25">
      <c r="C527" s="112"/>
      <c r="D527" s="112"/>
      <c r="E527" s="113"/>
      <c r="F527" s="113"/>
      <c r="G527" s="112"/>
      <c r="H527" s="112"/>
      <c r="Z527" s="112"/>
      <c r="AA527" s="112"/>
    </row>
    <row r="528" spans="3:27" x14ac:dyDescent="0.25">
      <c r="C528" s="112"/>
      <c r="D528" s="112"/>
      <c r="E528" s="113"/>
      <c r="F528" s="113"/>
      <c r="G528" s="112"/>
      <c r="H528" s="112"/>
      <c r="Z528" s="112"/>
      <c r="AA528" s="112"/>
    </row>
    <row r="529" spans="3:27" x14ac:dyDescent="0.25">
      <c r="C529" s="112"/>
      <c r="D529" s="112"/>
      <c r="E529" s="113"/>
      <c r="F529" s="113"/>
      <c r="G529" s="112"/>
      <c r="H529" s="112"/>
      <c r="Z529" s="112"/>
      <c r="AA529" s="112"/>
    </row>
    <row r="530" spans="3:27" x14ac:dyDescent="0.25">
      <c r="C530" s="112"/>
      <c r="D530" s="112"/>
      <c r="E530" s="113"/>
      <c r="F530" s="113"/>
      <c r="G530" s="112"/>
      <c r="H530" s="112"/>
      <c r="Z530" s="112"/>
      <c r="AA530" s="112"/>
    </row>
    <row r="531" spans="3:27" x14ac:dyDescent="0.25">
      <c r="C531" s="112"/>
      <c r="D531" s="112"/>
      <c r="E531" s="113"/>
      <c r="F531" s="113"/>
      <c r="G531" s="112"/>
      <c r="H531" s="112"/>
      <c r="Z531" s="112"/>
      <c r="AA531" s="112"/>
    </row>
    <row r="532" spans="3:27" x14ac:dyDescent="0.25">
      <c r="C532" s="112"/>
      <c r="D532" s="112"/>
      <c r="E532" s="113"/>
      <c r="F532" s="113"/>
      <c r="G532" s="112"/>
      <c r="H532" s="112"/>
      <c r="Z532" s="112"/>
      <c r="AA532" s="112"/>
    </row>
    <row r="533" spans="3:27" x14ac:dyDescent="0.25">
      <c r="C533" s="112"/>
      <c r="D533" s="112"/>
      <c r="E533" s="113"/>
      <c r="F533" s="113"/>
      <c r="G533" s="112"/>
      <c r="H533" s="112"/>
      <c r="Z533" s="112"/>
      <c r="AA533" s="112"/>
    </row>
    <row r="534" spans="3:27" x14ac:dyDescent="0.25">
      <c r="C534" s="112"/>
      <c r="D534" s="112"/>
      <c r="E534" s="113"/>
      <c r="F534" s="113"/>
      <c r="G534" s="112"/>
      <c r="H534" s="112"/>
      <c r="Z534" s="112"/>
      <c r="AA534" s="112"/>
    </row>
    <row r="535" spans="3:27" x14ac:dyDescent="0.25">
      <c r="C535" s="112"/>
      <c r="D535" s="112"/>
      <c r="E535" s="113"/>
      <c r="F535" s="113"/>
      <c r="G535" s="112"/>
      <c r="H535" s="112"/>
      <c r="Z535" s="112"/>
      <c r="AA535" s="112"/>
    </row>
    <row r="536" spans="3:27" x14ac:dyDescent="0.25">
      <c r="C536" s="112"/>
      <c r="D536" s="112"/>
      <c r="E536" s="113"/>
      <c r="F536" s="113"/>
      <c r="G536" s="112"/>
      <c r="H536" s="112"/>
      <c r="Z536" s="112"/>
      <c r="AA536" s="112"/>
    </row>
    <row r="537" spans="3:27" x14ac:dyDescent="0.25">
      <c r="C537" s="112"/>
      <c r="D537" s="112"/>
      <c r="E537" s="113"/>
      <c r="F537" s="113"/>
      <c r="G537" s="112"/>
      <c r="H537" s="112"/>
      <c r="Z537" s="112"/>
      <c r="AA537" s="112"/>
    </row>
    <row r="538" spans="3:27" x14ac:dyDescent="0.25">
      <c r="C538" s="112"/>
      <c r="D538" s="112"/>
      <c r="E538" s="113"/>
      <c r="F538" s="113"/>
      <c r="G538" s="112"/>
      <c r="H538" s="112"/>
      <c r="Z538" s="112"/>
      <c r="AA538" s="112"/>
    </row>
    <row r="539" spans="3:27" x14ac:dyDescent="0.25">
      <c r="C539" s="112"/>
      <c r="D539" s="112"/>
      <c r="E539" s="113"/>
      <c r="F539" s="113"/>
      <c r="G539" s="112"/>
      <c r="H539" s="112"/>
      <c r="Z539" s="112"/>
      <c r="AA539" s="112"/>
    </row>
    <row r="540" spans="3:27" x14ac:dyDescent="0.25">
      <c r="C540" s="112"/>
      <c r="D540" s="112"/>
      <c r="E540" s="113"/>
      <c r="F540" s="113"/>
      <c r="G540" s="112"/>
      <c r="H540" s="112"/>
      <c r="Z540" s="112"/>
      <c r="AA540" s="112"/>
    </row>
    <row r="541" spans="3:27" x14ac:dyDescent="0.25">
      <c r="C541" s="112"/>
      <c r="D541" s="112"/>
      <c r="E541" s="113"/>
      <c r="F541" s="113"/>
      <c r="G541" s="112"/>
      <c r="H541" s="112"/>
      <c r="Z541" s="112"/>
      <c r="AA541" s="112"/>
    </row>
    <row r="542" spans="3:27" x14ac:dyDescent="0.25">
      <c r="C542" s="112"/>
      <c r="D542" s="112"/>
      <c r="E542" s="113"/>
      <c r="F542" s="113"/>
      <c r="G542" s="112"/>
      <c r="H542" s="112"/>
      <c r="Z542" s="112"/>
      <c r="AA542" s="112"/>
    </row>
    <row r="543" spans="3:27" x14ac:dyDescent="0.25">
      <c r="C543" s="112"/>
      <c r="D543" s="112"/>
      <c r="E543" s="113"/>
      <c r="F543" s="113"/>
      <c r="G543" s="112"/>
      <c r="H543" s="112"/>
      <c r="Z543" s="112"/>
      <c r="AA543" s="112"/>
    </row>
    <row r="544" spans="3:27" x14ac:dyDescent="0.25">
      <c r="C544" s="112"/>
      <c r="D544" s="112"/>
      <c r="E544" s="113"/>
      <c r="F544" s="113"/>
      <c r="G544" s="112"/>
      <c r="H544" s="112"/>
      <c r="Z544" s="112"/>
      <c r="AA544" s="112"/>
    </row>
    <row r="545" spans="3:27" x14ac:dyDescent="0.25">
      <c r="C545" s="112"/>
      <c r="D545" s="112"/>
      <c r="E545" s="113"/>
      <c r="F545" s="113"/>
      <c r="G545" s="112"/>
      <c r="H545" s="112"/>
      <c r="Z545" s="112"/>
      <c r="AA545" s="112"/>
    </row>
    <row r="546" spans="3:27" x14ac:dyDescent="0.25">
      <c r="C546" s="112"/>
      <c r="D546" s="112"/>
      <c r="E546" s="113"/>
      <c r="F546" s="113"/>
      <c r="G546" s="112"/>
      <c r="H546" s="112"/>
      <c r="Z546" s="112"/>
      <c r="AA546" s="112"/>
    </row>
    <row r="547" spans="3:27" x14ac:dyDescent="0.25">
      <c r="C547" s="112"/>
      <c r="D547" s="112"/>
      <c r="E547" s="113"/>
      <c r="F547" s="113"/>
      <c r="G547" s="112"/>
      <c r="H547" s="112"/>
      <c r="Z547" s="112"/>
      <c r="AA547" s="112"/>
    </row>
    <row r="548" spans="3:27" x14ac:dyDescent="0.25">
      <c r="C548" s="112"/>
      <c r="D548" s="112"/>
      <c r="E548" s="113"/>
      <c r="F548" s="113"/>
      <c r="G548" s="112"/>
      <c r="H548" s="112"/>
      <c r="Z548" s="112"/>
      <c r="AA548" s="112"/>
    </row>
    <row r="549" spans="3:27" x14ac:dyDescent="0.25">
      <c r="C549" s="112"/>
      <c r="D549" s="112"/>
      <c r="E549" s="113"/>
      <c r="F549" s="113"/>
      <c r="G549" s="112"/>
      <c r="H549" s="112"/>
      <c r="Z549" s="112"/>
      <c r="AA549" s="112"/>
    </row>
    <row r="550" spans="3:27" x14ac:dyDescent="0.25">
      <c r="C550" s="112"/>
      <c r="D550" s="112"/>
      <c r="E550" s="113"/>
      <c r="F550" s="113"/>
      <c r="G550" s="112"/>
      <c r="H550" s="112"/>
      <c r="Z550" s="112"/>
      <c r="AA550" s="112"/>
    </row>
    <row r="551" spans="3:27" x14ac:dyDescent="0.25">
      <c r="C551" s="112"/>
      <c r="D551" s="112"/>
      <c r="E551" s="113"/>
      <c r="F551" s="113"/>
      <c r="G551" s="112"/>
      <c r="H551" s="112"/>
      <c r="Z551" s="112"/>
      <c r="AA551" s="112"/>
    </row>
    <row r="552" spans="3:27" x14ac:dyDescent="0.25">
      <c r="C552" s="112"/>
      <c r="D552" s="112"/>
      <c r="E552" s="113"/>
      <c r="F552" s="113"/>
      <c r="G552" s="112"/>
      <c r="H552" s="112"/>
      <c r="Z552" s="112"/>
      <c r="AA552" s="112"/>
    </row>
    <row r="553" spans="3:27" x14ac:dyDescent="0.25">
      <c r="C553" s="112"/>
      <c r="D553" s="112"/>
      <c r="E553" s="113"/>
      <c r="F553" s="113"/>
      <c r="G553" s="112"/>
      <c r="H553" s="112"/>
      <c r="Z553" s="112"/>
      <c r="AA553" s="112"/>
    </row>
    <row r="554" spans="3:27" x14ac:dyDescent="0.25">
      <c r="C554" s="112"/>
      <c r="D554" s="112"/>
      <c r="E554" s="113"/>
      <c r="F554" s="113"/>
      <c r="G554" s="112"/>
      <c r="H554" s="112"/>
      <c r="Z554" s="112"/>
      <c r="AA554" s="112"/>
    </row>
    <row r="555" spans="3:27" x14ac:dyDescent="0.25">
      <c r="C555" s="112"/>
      <c r="D555" s="112"/>
      <c r="E555" s="113"/>
      <c r="F555" s="113"/>
      <c r="G555" s="112"/>
      <c r="H555" s="112"/>
      <c r="Z555" s="112"/>
      <c r="AA555" s="112"/>
    </row>
    <row r="556" spans="3:27" x14ac:dyDescent="0.25">
      <c r="C556" s="112"/>
      <c r="D556" s="112"/>
      <c r="E556" s="113"/>
      <c r="F556" s="113"/>
      <c r="G556" s="112"/>
      <c r="H556" s="112"/>
      <c r="Z556" s="112"/>
      <c r="AA556" s="112"/>
    </row>
    <row r="557" spans="3:27" x14ac:dyDescent="0.25">
      <c r="C557" s="112"/>
      <c r="D557" s="112"/>
      <c r="E557" s="113"/>
      <c r="F557" s="113"/>
      <c r="G557" s="112"/>
      <c r="H557" s="112"/>
      <c r="Z557" s="112"/>
      <c r="AA557" s="112"/>
    </row>
    <row r="558" spans="3:27" x14ac:dyDescent="0.25">
      <c r="C558" s="112"/>
      <c r="D558" s="112"/>
      <c r="E558" s="113"/>
      <c r="F558" s="113"/>
      <c r="G558" s="112"/>
      <c r="H558" s="112"/>
      <c r="Z558" s="112"/>
      <c r="AA558" s="112"/>
    </row>
    <row r="559" spans="3:27" x14ac:dyDescent="0.25">
      <c r="C559" s="112"/>
      <c r="D559" s="112"/>
      <c r="E559" s="113"/>
      <c r="F559" s="113"/>
      <c r="G559" s="112"/>
      <c r="H559" s="112"/>
      <c r="Z559" s="112"/>
      <c r="AA559" s="112"/>
    </row>
    <row r="560" spans="3:27" x14ac:dyDescent="0.25">
      <c r="C560" s="112"/>
      <c r="D560" s="112"/>
      <c r="E560" s="113"/>
      <c r="F560" s="113"/>
      <c r="G560" s="112"/>
      <c r="H560" s="112"/>
      <c r="Z560" s="112"/>
      <c r="AA560" s="112"/>
    </row>
    <row r="561" spans="3:27" x14ac:dyDescent="0.25">
      <c r="C561" s="112"/>
      <c r="D561" s="112"/>
      <c r="E561" s="113"/>
      <c r="F561" s="113"/>
      <c r="G561" s="112"/>
      <c r="H561" s="112"/>
      <c r="Z561" s="112"/>
      <c r="AA561" s="112"/>
    </row>
    <row r="562" spans="3:27" x14ac:dyDescent="0.25">
      <c r="C562" s="112"/>
      <c r="D562" s="112"/>
      <c r="E562" s="113"/>
      <c r="F562" s="113"/>
      <c r="G562" s="112"/>
      <c r="H562" s="112"/>
      <c r="Z562" s="112"/>
      <c r="AA562" s="112"/>
    </row>
    <row r="563" spans="3:27" x14ac:dyDescent="0.25">
      <c r="C563" s="112"/>
      <c r="D563" s="112"/>
      <c r="E563" s="113"/>
      <c r="F563" s="113"/>
      <c r="G563" s="112"/>
      <c r="H563" s="112"/>
      <c r="Z563" s="112"/>
      <c r="AA563" s="112"/>
    </row>
    <row r="564" spans="3:27" x14ac:dyDescent="0.25">
      <c r="C564" s="112"/>
      <c r="D564" s="112"/>
      <c r="E564" s="113"/>
      <c r="F564" s="113"/>
      <c r="G564" s="112"/>
      <c r="H564" s="112"/>
      <c r="Z564" s="112"/>
      <c r="AA564" s="112"/>
    </row>
    <row r="565" spans="3:27" x14ac:dyDescent="0.25">
      <c r="C565" s="112"/>
      <c r="D565" s="112"/>
      <c r="E565" s="113"/>
      <c r="F565" s="113"/>
      <c r="G565" s="112"/>
      <c r="H565" s="112"/>
      <c r="Z565" s="112"/>
      <c r="AA565" s="112"/>
    </row>
    <row r="566" spans="3:27" x14ac:dyDescent="0.25">
      <c r="C566" s="112"/>
      <c r="D566" s="112"/>
      <c r="E566" s="113"/>
      <c r="F566" s="113"/>
      <c r="G566" s="112"/>
      <c r="H566" s="112"/>
      <c r="Z566" s="112"/>
      <c r="AA566" s="112"/>
    </row>
    <row r="567" spans="3:27" x14ac:dyDescent="0.25">
      <c r="C567" s="112"/>
      <c r="D567" s="112"/>
      <c r="E567" s="113"/>
      <c r="F567" s="113"/>
      <c r="G567" s="112"/>
      <c r="H567" s="112"/>
      <c r="Z567" s="112"/>
      <c r="AA567" s="112"/>
    </row>
    <row r="568" spans="3:27" x14ac:dyDescent="0.25">
      <c r="C568" s="112"/>
      <c r="D568" s="112"/>
      <c r="E568" s="113"/>
      <c r="F568" s="113"/>
      <c r="G568" s="112"/>
      <c r="H568" s="112"/>
      <c r="Z568" s="112"/>
      <c r="AA568" s="112"/>
    </row>
    <row r="569" spans="3:27" x14ac:dyDescent="0.25">
      <c r="C569" s="112"/>
      <c r="D569" s="112"/>
      <c r="E569" s="113"/>
      <c r="F569" s="113"/>
      <c r="G569" s="112"/>
      <c r="H569" s="112"/>
      <c r="Z569" s="112"/>
      <c r="AA569" s="112"/>
    </row>
    <row r="570" spans="3:27" x14ac:dyDescent="0.25">
      <c r="C570" s="112"/>
      <c r="D570" s="112"/>
      <c r="E570" s="113"/>
      <c r="F570" s="113"/>
      <c r="G570" s="112"/>
      <c r="H570" s="112"/>
      <c r="Z570" s="112"/>
      <c r="AA570" s="112"/>
    </row>
    <row r="571" spans="3:27" x14ac:dyDescent="0.25">
      <c r="C571" s="112"/>
      <c r="D571" s="112"/>
      <c r="E571" s="113"/>
      <c r="F571" s="113"/>
      <c r="G571" s="112"/>
      <c r="H571" s="112"/>
      <c r="Z571" s="112"/>
      <c r="AA571" s="112"/>
    </row>
    <row r="572" spans="3:27" x14ac:dyDescent="0.25">
      <c r="C572" s="112"/>
      <c r="D572" s="112"/>
      <c r="E572" s="113"/>
      <c r="F572" s="113"/>
      <c r="G572" s="112"/>
      <c r="H572" s="112"/>
      <c r="Z572" s="112"/>
      <c r="AA572" s="112"/>
    </row>
    <row r="573" spans="3:27" x14ac:dyDescent="0.25">
      <c r="C573" s="112"/>
      <c r="D573" s="112"/>
      <c r="E573" s="113"/>
      <c r="F573" s="113"/>
      <c r="G573" s="112"/>
      <c r="H573" s="112"/>
      <c r="Z573" s="112"/>
      <c r="AA573" s="112"/>
    </row>
    <row r="574" spans="3:27" x14ac:dyDescent="0.25">
      <c r="C574" s="112"/>
      <c r="D574" s="112"/>
      <c r="E574" s="113"/>
      <c r="F574" s="113"/>
      <c r="G574" s="112"/>
      <c r="H574" s="112"/>
      <c r="Z574" s="112"/>
      <c r="AA574" s="112"/>
    </row>
    <row r="575" spans="3:27" x14ac:dyDescent="0.25">
      <c r="C575" s="112"/>
      <c r="D575" s="112"/>
      <c r="E575" s="113"/>
      <c r="F575" s="113"/>
      <c r="G575" s="112"/>
      <c r="H575" s="112"/>
      <c r="Z575" s="112"/>
      <c r="AA575" s="112"/>
    </row>
    <row r="576" spans="3:27" x14ac:dyDescent="0.25">
      <c r="C576" s="112"/>
      <c r="D576" s="112"/>
      <c r="E576" s="113"/>
      <c r="F576" s="113"/>
      <c r="G576" s="112"/>
      <c r="H576" s="112"/>
      <c r="Z576" s="112"/>
      <c r="AA576" s="112"/>
    </row>
    <row r="577" spans="3:27" x14ac:dyDescent="0.25">
      <c r="C577" s="112"/>
      <c r="D577" s="112"/>
      <c r="E577" s="113"/>
      <c r="F577" s="113"/>
      <c r="G577" s="112"/>
      <c r="H577" s="112"/>
      <c r="Z577" s="112"/>
      <c r="AA577" s="112"/>
    </row>
    <row r="578" spans="3:27" x14ac:dyDescent="0.25">
      <c r="C578" s="112"/>
      <c r="D578" s="112"/>
      <c r="E578" s="113"/>
      <c r="F578" s="113"/>
      <c r="G578" s="112"/>
      <c r="H578" s="112"/>
      <c r="Z578" s="112"/>
      <c r="AA578" s="112"/>
    </row>
    <row r="579" spans="3:27" x14ac:dyDescent="0.25">
      <c r="C579" s="112"/>
      <c r="D579" s="112"/>
      <c r="E579" s="113"/>
      <c r="F579" s="113"/>
      <c r="G579" s="112"/>
      <c r="H579" s="112"/>
      <c r="Z579" s="112"/>
      <c r="AA579" s="112"/>
    </row>
    <row r="580" spans="3:27" x14ac:dyDescent="0.25">
      <c r="C580" s="112"/>
      <c r="D580" s="112"/>
      <c r="E580" s="113"/>
      <c r="F580" s="113"/>
      <c r="G580" s="112"/>
      <c r="H580" s="112"/>
      <c r="Z580" s="112"/>
      <c r="AA580" s="112"/>
    </row>
    <row r="581" spans="3:27" x14ac:dyDescent="0.25">
      <c r="C581" s="112"/>
      <c r="D581" s="112"/>
      <c r="E581" s="113"/>
      <c r="F581" s="113"/>
      <c r="G581" s="112"/>
      <c r="H581" s="112"/>
      <c r="Z581" s="112"/>
      <c r="AA581" s="112"/>
    </row>
    <row r="582" spans="3:27" x14ac:dyDescent="0.25">
      <c r="C582" s="112"/>
      <c r="D582" s="112"/>
      <c r="E582" s="113"/>
      <c r="F582" s="113"/>
      <c r="G582" s="112"/>
      <c r="H582" s="112"/>
      <c r="Z582" s="112"/>
      <c r="AA582" s="112"/>
    </row>
    <row r="583" spans="3:27" x14ac:dyDescent="0.25">
      <c r="C583" s="112"/>
      <c r="D583" s="112"/>
      <c r="E583" s="113"/>
      <c r="F583" s="113"/>
      <c r="G583" s="112"/>
      <c r="H583" s="112"/>
      <c r="Z583" s="112"/>
      <c r="AA583" s="112"/>
    </row>
    <row r="584" spans="3:27" x14ac:dyDescent="0.25">
      <c r="C584" s="112"/>
      <c r="D584" s="112"/>
      <c r="E584" s="113"/>
      <c r="F584" s="113"/>
      <c r="G584" s="112"/>
      <c r="H584" s="112"/>
      <c r="Z584" s="112"/>
      <c r="AA584" s="112"/>
    </row>
    <row r="585" spans="3:27" x14ac:dyDescent="0.25">
      <c r="C585" s="112"/>
      <c r="D585" s="112"/>
      <c r="E585" s="113"/>
      <c r="F585" s="113"/>
      <c r="G585" s="112"/>
      <c r="H585" s="112"/>
      <c r="Z585" s="112"/>
      <c r="AA585" s="112"/>
    </row>
    <row r="586" spans="3:27" x14ac:dyDescent="0.25">
      <c r="C586" s="112"/>
      <c r="D586" s="112"/>
      <c r="E586" s="113"/>
      <c r="F586" s="113"/>
      <c r="G586" s="112"/>
      <c r="H586" s="112"/>
      <c r="Z586" s="112"/>
      <c r="AA586" s="112"/>
    </row>
    <row r="587" spans="3:27" x14ac:dyDescent="0.25">
      <c r="C587" s="112"/>
      <c r="D587" s="112"/>
      <c r="E587" s="113"/>
      <c r="F587" s="113"/>
      <c r="G587" s="112"/>
      <c r="H587" s="112"/>
      <c r="Z587" s="112"/>
      <c r="AA587" s="112"/>
    </row>
    <row r="588" spans="3:27" x14ac:dyDescent="0.25">
      <c r="C588" s="112"/>
      <c r="D588" s="112"/>
      <c r="E588" s="113"/>
      <c r="F588" s="113"/>
      <c r="G588" s="112"/>
      <c r="H588" s="112"/>
      <c r="Z588" s="112"/>
      <c r="AA588" s="112"/>
    </row>
    <row r="589" spans="3:27" x14ac:dyDescent="0.25">
      <c r="C589" s="112"/>
      <c r="D589" s="112"/>
      <c r="E589" s="113"/>
      <c r="F589" s="113"/>
      <c r="G589" s="112"/>
      <c r="H589" s="112"/>
      <c r="Z589" s="112"/>
      <c r="AA589" s="112"/>
    </row>
    <row r="590" spans="3:27" x14ac:dyDescent="0.25">
      <c r="C590" s="112"/>
      <c r="D590" s="112"/>
      <c r="E590" s="113"/>
      <c r="F590" s="113"/>
      <c r="G590" s="112"/>
      <c r="H590" s="112"/>
      <c r="Z590" s="112"/>
      <c r="AA590" s="112"/>
    </row>
    <row r="591" spans="3:27" x14ac:dyDescent="0.25">
      <c r="C591" s="112"/>
      <c r="D591" s="112"/>
      <c r="E591" s="113"/>
      <c r="F591" s="113"/>
      <c r="G591" s="112"/>
      <c r="H591" s="112"/>
      <c r="Z591" s="112"/>
      <c r="AA591" s="112"/>
    </row>
    <row r="592" spans="3:27" x14ac:dyDescent="0.25">
      <c r="C592" s="112"/>
      <c r="D592" s="112"/>
      <c r="E592" s="113"/>
      <c r="F592" s="113"/>
      <c r="G592" s="112"/>
      <c r="H592" s="112"/>
      <c r="Z592" s="112"/>
      <c r="AA592" s="112"/>
    </row>
    <row r="593" spans="3:27" x14ac:dyDescent="0.25">
      <c r="C593" s="112"/>
      <c r="D593" s="112"/>
      <c r="E593" s="113"/>
      <c r="F593" s="113"/>
      <c r="G593" s="112"/>
      <c r="H593" s="112"/>
      <c r="Z593" s="112"/>
      <c r="AA593" s="112"/>
    </row>
    <row r="594" spans="3:27" x14ac:dyDescent="0.25">
      <c r="C594" s="112"/>
      <c r="D594" s="112"/>
      <c r="E594" s="113"/>
      <c r="F594" s="113"/>
      <c r="G594" s="112"/>
      <c r="H594" s="112"/>
      <c r="Z594" s="112"/>
      <c r="AA594" s="112"/>
    </row>
    <row r="595" spans="3:27" x14ac:dyDescent="0.25">
      <c r="C595" s="112"/>
      <c r="D595" s="112"/>
      <c r="E595" s="113"/>
      <c r="F595" s="113"/>
      <c r="G595" s="112"/>
      <c r="H595" s="112"/>
      <c r="Z595" s="112"/>
      <c r="AA595" s="112"/>
    </row>
    <row r="596" spans="3:27" x14ac:dyDescent="0.25">
      <c r="C596" s="112"/>
      <c r="D596" s="112"/>
      <c r="E596" s="113"/>
      <c r="F596" s="113"/>
      <c r="G596" s="112"/>
      <c r="H596" s="112"/>
      <c r="Z596" s="112"/>
      <c r="AA596" s="112"/>
    </row>
    <row r="597" spans="3:27" x14ac:dyDescent="0.25">
      <c r="C597" s="112"/>
      <c r="D597" s="112"/>
      <c r="E597" s="113"/>
      <c r="F597" s="113"/>
      <c r="G597" s="112"/>
      <c r="H597" s="112"/>
      <c r="Z597" s="112"/>
      <c r="AA597" s="112"/>
    </row>
    <row r="598" spans="3:27" x14ac:dyDescent="0.25">
      <c r="C598" s="112"/>
      <c r="D598" s="112"/>
      <c r="E598" s="113"/>
      <c r="F598" s="113"/>
      <c r="G598" s="112"/>
      <c r="H598" s="112"/>
      <c r="Z598" s="112"/>
      <c r="AA598" s="112"/>
    </row>
    <row r="599" spans="3:27" x14ac:dyDescent="0.25">
      <c r="C599" s="112"/>
      <c r="D599" s="112"/>
      <c r="E599" s="113"/>
      <c r="F599" s="113"/>
      <c r="G599" s="112"/>
      <c r="H599" s="112"/>
      <c r="Z599" s="112"/>
      <c r="AA599" s="112"/>
    </row>
    <row r="600" spans="3:27" x14ac:dyDescent="0.25">
      <c r="C600" s="112"/>
      <c r="D600" s="112"/>
      <c r="E600" s="113"/>
      <c r="F600" s="113"/>
      <c r="G600" s="112"/>
      <c r="H600" s="112"/>
      <c r="Z600" s="112"/>
      <c r="AA600" s="112"/>
    </row>
    <row r="601" spans="3:27" x14ac:dyDescent="0.25">
      <c r="C601" s="112"/>
      <c r="D601" s="112"/>
      <c r="E601" s="113"/>
      <c r="F601" s="113"/>
      <c r="G601" s="112"/>
      <c r="H601" s="112"/>
      <c r="Z601" s="112"/>
      <c r="AA601" s="112"/>
    </row>
    <row r="602" spans="3:27" x14ac:dyDescent="0.25">
      <c r="C602" s="112"/>
      <c r="D602" s="112"/>
      <c r="E602" s="113"/>
      <c r="F602" s="113"/>
      <c r="G602" s="112"/>
      <c r="H602" s="112"/>
      <c r="Z602" s="112"/>
      <c r="AA602" s="112"/>
    </row>
    <row r="603" spans="3:27" x14ac:dyDescent="0.25">
      <c r="C603" s="112"/>
      <c r="D603" s="112"/>
      <c r="E603" s="113"/>
      <c r="F603" s="113"/>
      <c r="G603" s="112"/>
      <c r="H603" s="112"/>
      <c r="Z603" s="112"/>
      <c r="AA603" s="112"/>
    </row>
    <row r="604" spans="3:27" x14ac:dyDescent="0.25">
      <c r="C604" s="112"/>
      <c r="D604" s="112"/>
      <c r="E604" s="113"/>
      <c r="F604" s="113"/>
      <c r="G604" s="112"/>
      <c r="H604" s="112"/>
      <c r="Z604" s="112"/>
      <c r="AA604" s="112"/>
    </row>
    <row r="605" spans="3:27" x14ac:dyDescent="0.25">
      <c r="C605" s="112"/>
      <c r="D605" s="112"/>
      <c r="E605" s="113"/>
      <c r="F605" s="113"/>
      <c r="G605" s="112"/>
      <c r="H605" s="112"/>
      <c r="Z605" s="112"/>
      <c r="AA605" s="112"/>
    </row>
    <row r="606" spans="3:27" x14ac:dyDescent="0.25">
      <c r="C606" s="112"/>
      <c r="D606" s="112"/>
      <c r="E606" s="113"/>
      <c r="F606" s="113"/>
      <c r="G606" s="112"/>
      <c r="H606" s="112"/>
      <c r="Z606" s="112"/>
      <c r="AA606" s="112"/>
    </row>
    <row r="607" spans="3:27" x14ac:dyDescent="0.25">
      <c r="C607" s="112"/>
      <c r="D607" s="112"/>
      <c r="E607" s="113"/>
      <c r="F607" s="113"/>
      <c r="G607" s="112"/>
      <c r="H607" s="112"/>
      <c r="Z607" s="112"/>
      <c r="AA607" s="112"/>
    </row>
    <row r="608" spans="3:27" x14ac:dyDescent="0.25">
      <c r="C608" s="112"/>
      <c r="D608" s="112"/>
      <c r="E608" s="113"/>
      <c r="F608" s="113"/>
      <c r="G608" s="112"/>
      <c r="H608" s="112"/>
      <c r="Z608" s="112"/>
      <c r="AA608" s="112"/>
    </row>
    <row r="609" spans="3:27" x14ac:dyDescent="0.25">
      <c r="C609" s="112"/>
      <c r="D609" s="112"/>
      <c r="E609" s="113"/>
      <c r="F609" s="113"/>
      <c r="G609" s="112"/>
      <c r="H609" s="112"/>
      <c r="Z609" s="112"/>
      <c r="AA609" s="112"/>
    </row>
    <row r="610" spans="3:27" x14ac:dyDescent="0.25">
      <c r="C610" s="112"/>
      <c r="D610" s="112"/>
      <c r="E610" s="113"/>
      <c r="F610" s="113"/>
      <c r="G610" s="112"/>
      <c r="H610" s="112"/>
      <c r="Z610" s="112"/>
      <c r="AA610" s="112"/>
    </row>
    <row r="611" spans="3:27" x14ac:dyDescent="0.25">
      <c r="C611" s="112"/>
      <c r="D611" s="112"/>
      <c r="E611" s="113"/>
      <c r="F611" s="113"/>
      <c r="G611" s="112"/>
      <c r="H611" s="112"/>
      <c r="Z611" s="112"/>
      <c r="AA611" s="112"/>
    </row>
    <row r="612" spans="3:27" x14ac:dyDescent="0.25">
      <c r="C612" s="112"/>
      <c r="D612" s="112"/>
      <c r="E612" s="113"/>
      <c r="F612" s="113"/>
      <c r="G612" s="112"/>
      <c r="H612" s="112"/>
      <c r="Z612" s="112"/>
      <c r="AA612" s="112"/>
    </row>
    <row r="613" spans="3:27" x14ac:dyDescent="0.25">
      <c r="C613" s="112"/>
      <c r="D613" s="112"/>
      <c r="E613" s="113"/>
      <c r="F613" s="113"/>
      <c r="G613" s="112"/>
      <c r="H613" s="112"/>
      <c r="Z613" s="112"/>
      <c r="AA613" s="112"/>
    </row>
    <row r="614" spans="3:27" x14ac:dyDescent="0.25">
      <c r="C614" s="112"/>
      <c r="D614" s="112"/>
      <c r="E614" s="113"/>
      <c r="F614" s="113"/>
      <c r="G614" s="112"/>
      <c r="H614" s="112"/>
      <c r="Z614" s="112"/>
      <c r="AA614" s="112"/>
    </row>
    <row r="615" spans="3:27" x14ac:dyDescent="0.25">
      <c r="C615" s="112"/>
      <c r="D615" s="112"/>
      <c r="E615" s="113"/>
      <c r="F615" s="113"/>
      <c r="G615" s="112"/>
      <c r="H615" s="112"/>
      <c r="Z615" s="112"/>
      <c r="AA615" s="112"/>
    </row>
    <row r="616" spans="3:27" x14ac:dyDescent="0.25">
      <c r="C616" s="112"/>
      <c r="D616" s="112"/>
      <c r="E616" s="113"/>
      <c r="F616" s="113"/>
      <c r="G616" s="112"/>
      <c r="H616" s="112"/>
      <c r="Z616" s="112"/>
      <c r="AA616" s="112"/>
    </row>
    <row r="617" spans="3:27" x14ac:dyDescent="0.25">
      <c r="C617" s="112"/>
      <c r="D617" s="112"/>
      <c r="E617" s="113"/>
      <c r="F617" s="113"/>
      <c r="G617" s="112"/>
      <c r="H617" s="112"/>
      <c r="Z617" s="112"/>
      <c r="AA617" s="112"/>
    </row>
    <row r="618" spans="3:27" x14ac:dyDescent="0.25">
      <c r="C618" s="112"/>
      <c r="D618" s="112"/>
      <c r="E618" s="113"/>
      <c r="F618" s="113"/>
      <c r="G618" s="112"/>
      <c r="H618" s="112"/>
      <c r="Z618" s="112"/>
      <c r="AA618" s="112"/>
    </row>
    <row r="619" spans="3:27" x14ac:dyDescent="0.25">
      <c r="C619" s="112"/>
      <c r="D619" s="112"/>
      <c r="E619" s="113"/>
      <c r="F619" s="113"/>
      <c r="G619" s="112"/>
      <c r="H619" s="112"/>
      <c r="Z619" s="112"/>
      <c r="AA619" s="112"/>
    </row>
    <row r="620" spans="3:27" x14ac:dyDescent="0.25">
      <c r="C620" s="112"/>
      <c r="D620" s="112"/>
      <c r="E620" s="113"/>
      <c r="F620" s="113"/>
      <c r="G620" s="112"/>
      <c r="H620" s="112"/>
      <c r="Z620" s="112"/>
      <c r="AA620" s="112"/>
    </row>
    <row r="621" spans="3:27" x14ac:dyDescent="0.25">
      <c r="C621" s="112"/>
      <c r="D621" s="112"/>
      <c r="E621" s="113"/>
      <c r="F621" s="113"/>
      <c r="G621" s="112"/>
      <c r="H621" s="112"/>
      <c r="Z621" s="112"/>
      <c r="AA621" s="112"/>
    </row>
    <row r="622" spans="3:27" x14ac:dyDescent="0.25">
      <c r="C622" s="112"/>
      <c r="D622" s="112"/>
      <c r="E622" s="113"/>
      <c r="F622" s="113"/>
      <c r="G622" s="112"/>
      <c r="H622" s="112"/>
      <c r="Z622" s="112"/>
      <c r="AA622" s="112"/>
    </row>
    <row r="623" spans="3:27" x14ac:dyDescent="0.25">
      <c r="C623" s="112"/>
      <c r="D623" s="112"/>
      <c r="E623" s="113"/>
      <c r="F623" s="113"/>
      <c r="G623" s="112"/>
      <c r="H623" s="112"/>
      <c r="Z623" s="112"/>
      <c r="AA623" s="112"/>
    </row>
    <row r="624" spans="3:27" x14ac:dyDescent="0.25">
      <c r="C624" s="112"/>
      <c r="D624" s="112"/>
      <c r="E624" s="113"/>
      <c r="F624" s="113"/>
      <c r="G624" s="112"/>
      <c r="H624" s="112"/>
      <c r="Z624" s="112"/>
      <c r="AA624" s="112"/>
    </row>
    <row r="625" spans="3:27" x14ac:dyDescent="0.25">
      <c r="C625" s="112"/>
      <c r="D625" s="112"/>
      <c r="E625" s="113"/>
      <c r="F625" s="113"/>
      <c r="G625" s="112"/>
      <c r="H625" s="112"/>
      <c r="Z625" s="112"/>
      <c r="AA625" s="112"/>
    </row>
    <row r="626" spans="3:27" x14ac:dyDescent="0.25">
      <c r="C626" s="112"/>
      <c r="D626" s="112"/>
      <c r="E626" s="113"/>
      <c r="F626" s="113"/>
      <c r="G626" s="112"/>
      <c r="H626" s="112"/>
      <c r="Z626" s="112"/>
      <c r="AA626" s="112"/>
    </row>
    <row r="627" spans="3:27" x14ac:dyDescent="0.25">
      <c r="C627" s="112"/>
      <c r="D627" s="112"/>
      <c r="E627" s="113"/>
      <c r="F627" s="113"/>
      <c r="G627" s="112"/>
      <c r="H627" s="112"/>
      <c r="Z627" s="112"/>
      <c r="AA627" s="112"/>
    </row>
    <row r="628" spans="3:27" x14ac:dyDescent="0.25">
      <c r="C628" s="112"/>
      <c r="D628" s="112"/>
      <c r="E628" s="113"/>
      <c r="F628" s="113"/>
      <c r="G628" s="112"/>
      <c r="H628" s="112"/>
      <c r="Z628" s="112"/>
      <c r="AA628" s="112"/>
    </row>
    <row r="629" spans="3:27" x14ac:dyDescent="0.25">
      <c r="C629" s="112"/>
      <c r="D629" s="112"/>
      <c r="E629" s="113"/>
      <c r="F629" s="113"/>
      <c r="G629" s="112"/>
      <c r="H629" s="112"/>
      <c r="Z629" s="112"/>
      <c r="AA629" s="112"/>
    </row>
    <row r="630" spans="3:27" x14ac:dyDescent="0.25">
      <c r="C630" s="112"/>
      <c r="D630" s="112"/>
      <c r="E630" s="113"/>
      <c r="F630" s="113"/>
      <c r="G630" s="112"/>
      <c r="H630" s="112"/>
      <c r="Z630" s="112"/>
      <c r="AA630" s="112"/>
    </row>
    <row r="631" spans="3:27" x14ac:dyDescent="0.25">
      <c r="C631" s="112"/>
      <c r="D631" s="112"/>
      <c r="E631" s="113"/>
      <c r="F631" s="113"/>
      <c r="G631" s="112"/>
      <c r="H631" s="112"/>
      <c r="Z631" s="112"/>
      <c r="AA631" s="112"/>
    </row>
    <row r="632" spans="3:27" x14ac:dyDescent="0.25">
      <c r="C632" s="112"/>
      <c r="D632" s="112"/>
      <c r="E632" s="113"/>
      <c r="F632" s="113"/>
      <c r="G632" s="112"/>
      <c r="H632" s="112"/>
      <c r="Z632" s="112"/>
      <c r="AA632" s="112"/>
    </row>
    <row r="633" spans="3:27" x14ac:dyDescent="0.25">
      <c r="C633" s="112"/>
      <c r="D633" s="112"/>
      <c r="E633" s="113"/>
      <c r="F633" s="113"/>
      <c r="G633" s="112"/>
      <c r="H633" s="112"/>
      <c r="Z633" s="112"/>
      <c r="AA633" s="112"/>
    </row>
    <row r="634" spans="3:27" x14ac:dyDescent="0.25">
      <c r="C634" s="112"/>
      <c r="D634" s="112"/>
      <c r="E634" s="113"/>
      <c r="F634" s="113"/>
      <c r="G634" s="112"/>
      <c r="H634" s="112"/>
      <c r="Z634" s="112"/>
      <c r="AA634" s="112"/>
    </row>
    <row r="635" spans="3:27" x14ac:dyDescent="0.25">
      <c r="C635" s="112"/>
      <c r="D635" s="112"/>
      <c r="E635" s="113"/>
      <c r="F635" s="113"/>
      <c r="G635" s="112"/>
      <c r="H635" s="112"/>
      <c r="Z635" s="112"/>
      <c r="AA635" s="112"/>
    </row>
    <row r="636" spans="3:27" x14ac:dyDescent="0.25">
      <c r="C636" s="112"/>
      <c r="D636" s="112"/>
      <c r="E636" s="113"/>
      <c r="F636" s="113"/>
      <c r="G636" s="112"/>
      <c r="H636" s="112"/>
      <c r="Z636" s="112"/>
      <c r="AA636" s="112"/>
    </row>
    <row r="637" spans="3:27" x14ac:dyDescent="0.25">
      <c r="C637" s="112"/>
      <c r="D637" s="112"/>
      <c r="E637" s="113"/>
      <c r="F637" s="113"/>
      <c r="G637" s="112"/>
      <c r="H637" s="112"/>
      <c r="Z637" s="112"/>
      <c r="AA637" s="112"/>
    </row>
    <row r="638" spans="3:27" x14ac:dyDescent="0.25">
      <c r="C638" s="112"/>
      <c r="D638" s="112"/>
      <c r="E638" s="113"/>
      <c r="F638" s="113"/>
      <c r="G638" s="112"/>
      <c r="H638" s="112"/>
      <c r="Z638" s="112"/>
      <c r="AA638" s="112"/>
    </row>
    <row r="639" spans="3:27" x14ac:dyDescent="0.25">
      <c r="C639" s="112"/>
      <c r="D639" s="112"/>
      <c r="E639" s="113"/>
      <c r="F639" s="113"/>
      <c r="G639" s="112"/>
      <c r="H639" s="112"/>
      <c r="Z639" s="112"/>
      <c r="AA639" s="112"/>
    </row>
    <row r="640" spans="3:27" x14ac:dyDescent="0.25">
      <c r="C640" s="112"/>
      <c r="D640" s="112"/>
      <c r="E640" s="113"/>
      <c r="F640" s="113"/>
      <c r="G640" s="112"/>
      <c r="H640" s="112"/>
      <c r="Z640" s="112"/>
      <c r="AA640" s="112"/>
    </row>
    <row r="641" spans="3:27" x14ac:dyDescent="0.25">
      <c r="C641" s="112"/>
      <c r="D641" s="112"/>
      <c r="E641" s="113"/>
      <c r="F641" s="113"/>
      <c r="G641" s="112"/>
      <c r="H641" s="112"/>
      <c r="Z641" s="112"/>
      <c r="AA641" s="112"/>
    </row>
    <row r="642" spans="3:27" x14ac:dyDescent="0.25">
      <c r="C642" s="112"/>
      <c r="D642" s="112"/>
      <c r="E642" s="113"/>
      <c r="F642" s="113"/>
      <c r="G642" s="112"/>
      <c r="H642" s="112"/>
      <c r="Z642" s="112"/>
      <c r="AA642" s="112"/>
    </row>
    <row r="643" spans="3:27" x14ac:dyDescent="0.25">
      <c r="C643" s="112"/>
      <c r="D643" s="112"/>
      <c r="E643" s="113"/>
      <c r="F643" s="113"/>
      <c r="G643" s="112"/>
      <c r="H643" s="112"/>
      <c r="Z643" s="112"/>
      <c r="AA643" s="112"/>
    </row>
    <row r="644" spans="3:27" x14ac:dyDescent="0.25">
      <c r="C644" s="112"/>
      <c r="D644" s="112"/>
      <c r="E644" s="113"/>
      <c r="F644" s="113"/>
      <c r="G644" s="112"/>
      <c r="H644" s="112"/>
      <c r="Z644" s="112"/>
      <c r="AA644" s="112"/>
    </row>
    <row r="645" spans="3:27" x14ac:dyDescent="0.25">
      <c r="C645" s="112"/>
      <c r="D645" s="112"/>
      <c r="E645" s="113"/>
      <c r="F645" s="113"/>
      <c r="G645" s="112"/>
      <c r="H645" s="112"/>
      <c r="Z645" s="112"/>
      <c r="AA645" s="112"/>
    </row>
    <row r="646" spans="3:27" x14ac:dyDescent="0.25">
      <c r="C646" s="112"/>
      <c r="D646" s="112"/>
      <c r="E646" s="113"/>
      <c r="F646" s="113"/>
      <c r="G646" s="112"/>
      <c r="H646" s="112"/>
      <c r="Z646" s="112"/>
      <c r="AA646" s="112"/>
    </row>
    <row r="647" spans="3:27" x14ac:dyDescent="0.25">
      <c r="C647" s="112"/>
      <c r="D647" s="112"/>
      <c r="E647" s="113"/>
      <c r="F647" s="113"/>
      <c r="G647" s="112"/>
      <c r="H647" s="112"/>
      <c r="Z647" s="112"/>
      <c r="AA647" s="112"/>
    </row>
    <row r="648" spans="3:27" x14ac:dyDescent="0.25">
      <c r="C648" s="112"/>
      <c r="D648" s="112"/>
      <c r="E648" s="113"/>
      <c r="F648" s="113"/>
      <c r="G648" s="112"/>
      <c r="H648" s="112"/>
      <c r="Z648" s="112"/>
      <c r="AA648" s="112"/>
    </row>
    <row r="649" spans="3:27" x14ac:dyDescent="0.25">
      <c r="C649" s="112"/>
      <c r="D649" s="112"/>
      <c r="E649" s="113"/>
      <c r="F649" s="113"/>
      <c r="G649" s="112"/>
      <c r="H649" s="112"/>
      <c r="Z649" s="112"/>
      <c r="AA649" s="112"/>
    </row>
    <row r="650" spans="3:27" x14ac:dyDescent="0.25">
      <c r="C650" s="112"/>
      <c r="D650" s="112"/>
      <c r="E650" s="113"/>
      <c r="F650" s="113"/>
      <c r="G650" s="112"/>
      <c r="H650" s="112"/>
      <c r="Z650" s="112"/>
      <c r="AA650" s="112"/>
    </row>
    <row r="651" spans="3:27" x14ac:dyDescent="0.25">
      <c r="C651" s="112"/>
      <c r="D651" s="112"/>
      <c r="E651" s="113"/>
      <c r="F651" s="113"/>
      <c r="G651" s="112"/>
      <c r="H651" s="112"/>
      <c r="Z651" s="112"/>
      <c r="AA651" s="112"/>
    </row>
    <row r="652" spans="3:27" x14ac:dyDescent="0.25">
      <c r="C652" s="112"/>
      <c r="D652" s="112"/>
      <c r="E652" s="113"/>
      <c r="F652" s="113"/>
      <c r="G652" s="112"/>
      <c r="H652" s="112"/>
      <c r="Z652" s="112"/>
      <c r="AA652" s="112"/>
    </row>
    <row r="653" spans="3:27" x14ac:dyDescent="0.25">
      <c r="C653" s="112"/>
      <c r="D653" s="112"/>
      <c r="E653" s="113"/>
      <c r="F653" s="113"/>
      <c r="G653" s="112"/>
      <c r="H653" s="112"/>
      <c r="Z653" s="112"/>
      <c r="AA653" s="112"/>
    </row>
    <row r="654" spans="3:27" x14ac:dyDescent="0.25">
      <c r="C654" s="112"/>
      <c r="D654" s="112"/>
      <c r="E654" s="113"/>
      <c r="F654" s="113"/>
      <c r="G654" s="112"/>
      <c r="H654" s="112"/>
      <c r="Z654" s="112"/>
      <c r="AA654" s="112"/>
    </row>
    <row r="655" spans="3:27" x14ac:dyDescent="0.25">
      <c r="C655" s="112"/>
      <c r="D655" s="112"/>
      <c r="E655" s="113"/>
      <c r="F655" s="113"/>
      <c r="G655" s="112"/>
      <c r="H655" s="112"/>
      <c r="Z655" s="112"/>
      <c r="AA655" s="112"/>
    </row>
    <row r="656" spans="3:27" x14ac:dyDescent="0.25">
      <c r="C656" s="112"/>
      <c r="D656" s="112"/>
      <c r="E656" s="113"/>
      <c r="F656" s="113"/>
      <c r="G656" s="112"/>
      <c r="H656" s="112"/>
      <c r="Z656" s="112"/>
      <c r="AA656" s="112"/>
    </row>
    <row r="657" spans="3:27" x14ac:dyDescent="0.25">
      <c r="C657" s="112"/>
      <c r="D657" s="112"/>
      <c r="E657" s="113"/>
      <c r="F657" s="113"/>
      <c r="G657" s="112"/>
      <c r="H657" s="112"/>
      <c r="Z657" s="112"/>
      <c r="AA657" s="112"/>
    </row>
    <row r="658" spans="3:27" x14ac:dyDescent="0.25">
      <c r="C658" s="112"/>
      <c r="D658" s="112"/>
      <c r="E658" s="113"/>
      <c r="F658" s="113"/>
      <c r="G658" s="112"/>
      <c r="H658" s="112"/>
      <c r="Z658" s="112"/>
      <c r="AA658" s="112"/>
    </row>
    <row r="659" spans="3:27" x14ac:dyDescent="0.25">
      <c r="C659" s="112"/>
      <c r="D659" s="112"/>
      <c r="E659" s="113"/>
      <c r="F659" s="113"/>
      <c r="G659" s="112"/>
      <c r="H659" s="112"/>
      <c r="Z659" s="112"/>
      <c r="AA659" s="112"/>
    </row>
    <row r="660" spans="3:27" x14ac:dyDescent="0.25">
      <c r="C660" s="112"/>
      <c r="D660" s="112"/>
      <c r="E660" s="113"/>
      <c r="F660" s="113"/>
      <c r="G660" s="112"/>
      <c r="H660" s="112"/>
      <c r="Z660" s="112"/>
      <c r="AA660" s="112"/>
    </row>
    <row r="661" spans="3:27" x14ac:dyDescent="0.25">
      <c r="C661" s="112"/>
      <c r="D661" s="112"/>
      <c r="E661" s="113"/>
      <c r="F661" s="113"/>
      <c r="G661" s="112"/>
      <c r="H661" s="112"/>
      <c r="Z661" s="112"/>
      <c r="AA661" s="112"/>
    </row>
    <row r="662" spans="3:27" x14ac:dyDescent="0.25">
      <c r="C662" s="112"/>
      <c r="D662" s="112"/>
      <c r="E662" s="113"/>
      <c r="F662" s="113"/>
      <c r="G662" s="112"/>
      <c r="H662" s="112"/>
      <c r="Z662" s="112"/>
      <c r="AA662" s="112"/>
    </row>
    <row r="663" spans="3:27" x14ac:dyDescent="0.25">
      <c r="C663" s="112"/>
      <c r="D663" s="112"/>
      <c r="E663" s="113"/>
      <c r="F663" s="113"/>
      <c r="G663" s="112"/>
      <c r="H663" s="112"/>
      <c r="Z663" s="112"/>
      <c r="AA663" s="112"/>
    </row>
    <row r="664" spans="3:27" x14ac:dyDescent="0.25">
      <c r="C664" s="112"/>
      <c r="D664" s="112"/>
      <c r="E664" s="113"/>
      <c r="F664" s="113"/>
      <c r="G664" s="112"/>
      <c r="H664" s="112"/>
      <c r="Z664" s="112"/>
      <c r="AA664" s="112"/>
    </row>
    <row r="665" spans="3:27" x14ac:dyDescent="0.25">
      <c r="C665" s="112"/>
      <c r="D665" s="112"/>
      <c r="E665" s="113"/>
      <c r="F665" s="113"/>
      <c r="G665" s="112"/>
      <c r="H665" s="112"/>
      <c r="Z665" s="112"/>
      <c r="AA665" s="112"/>
    </row>
    <row r="666" spans="3:27" x14ac:dyDescent="0.25">
      <c r="C666" s="112"/>
      <c r="D666" s="112"/>
      <c r="E666" s="113"/>
      <c r="F666" s="113"/>
      <c r="G666" s="112"/>
      <c r="H666" s="112"/>
      <c r="Z666" s="112"/>
      <c r="AA666" s="112"/>
    </row>
    <row r="667" spans="3:27" x14ac:dyDescent="0.25">
      <c r="C667" s="112"/>
      <c r="D667" s="112"/>
      <c r="E667" s="113"/>
      <c r="F667" s="113"/>
      <c r="G667" s="112"/>
      <c r="H667" s="112"/>
      <c r="Z667" s="112"/>
      <c r="AA667" s="112"/>
    </row>
    <row r="668" spans="3:27" x14ac:dyDescent="0.25">
      <c r="C668" s="112"/>
      <c r="D668" s="112"/>
      <c r="E668" s="113"/>
      <c r="F668" s="113"/>
      <c r="G668" s="112"/>
      <c r="H668" s="112"/>
      <c r="Z668" s="112"/>
      <c r="AA668" s="112"/>
    </row>
    <row r="669" spans="3:27" x14ac:dyDescent="0.25">
      <c r="C669" s="112"/>
      <c r="D669" s="112"/>
      <c r="E669" s="113"/>
      <c r="F669" s="113"/>
      <c r="G669" s="112"/>
      <c r="H669" s="112"/>
      <c r="Z669" s="112"/>
      <c r="AA669" s="112"/>
    </row>
    <row r="670" spans="3:27" x14ac:dyDescent="0.25">
      <c r="C670" s="112"/>
      <c r="D670" s="112"/>
      <c r="E670" s="113"/>
      <c r="F670" s="113"/>
      <c r="G670" s="112"/>
      <c r="H670" s="112"/>
      <c r="Z670" s="112"/>
      <c r="AA670" s="112"/>
    </row>
    <row r="671" spans="3:27" x14ac:dyDescent="0.25">
      <c r="C671" s="112"/>
      <c r="D671" s="112"/>
      <c r="E671" s="113"/>
      <c r="F671" s="113"/>
      <c r="G671" s="112"/>
      <c r="H671" s="112"/>
      <c r="Z671" s="112"/>
      <c r="AA671" s="112"/>
    </row>
    <row r="672" spans="3:27" x14ac:dyDescent="0.25">
      <c r="C672" s="112"/>
      <c r="D672" s="112"/>
      <c r="E672" s="113"/>
      <c r="F672" s="113"/>
      <c r="G672" s="112"/>
      <c r="H672" s="112"/>
      <c r="Z672" s="112"/>
      <c r="AA672" s="112"/>
    </row>
    <row r="673" spans="3:27" x14ac:dyDescent="0.25">
      <c r="C673" s="112"/>
      <c r="D673" s="112"/>
      <c r="E673" s="113"/>
      <c r="F673" s="113"/>
      <c r="G673" s="112"/>
      <c r="H673" s="112"/>
      <c r="Z673" s="112"/>
      <c r="AA673" s="112"/>
    </row>
    <row r="674" spans="3:27" x14ac:dyDescent="0.25">
      <c r="C674" s="112"/>
      <c r="D674" s="112"/>
      <c r="E674" s="113"/>
      <c r="F674" s="113"/>
      <c r="G674" s="112"/>
      <c r="H674" s="112"/>
      <c r="Z674" s="112"/>
      <c r="AA674" s="112"/>
    </row>
    <row r="675" spans="3:27" x14ac:dyDescent="0.25">
      <c r="C675" s="112"/>
      <c r="D675" s="112"/>
      <c r="E675" s="113"/>
      <c r="F675" s="113"/>
      <c r="G675" s="112"/>
      <c r="H675" s="112"/>
      <c r="Z675" s="112"/>
      <c r="AA675" s="112"/>
    </row>
    <row r="676" spans="3:27" x14ac:dyDescent="0.25">
      <c r="C676" s="112"/>
      <c r="D676" s="112"/>
      <c r="E676" s="113"/>
      <c r="F676" s="113"/>
      <c r="G676" s="112"/>
      <c r="H676" s="112"/>
      <c r="Z676" s="112"/>
      <c r="AA676" s="112"/>
    </row>
    <row r="677" spans="3:27" x14ac:dyDescent="0.25">
      <c r="C677" s="112"/>
      <c r="D677" s="112"/>
      <c r="E677" s="113"/>
      <c r="F677" s="113"/>
      <c r="G677" s="112"/>
      <c r="H677" s="112"/>
      <c r="Z677" s="112"/>
      <c r="AA677" s="112"/>
    </row>
    <row r="678" spans="3:27" x14ac:dyDescent="0.25">
      <c r="C678" s="112"/>
      <c r="D678" s="112"/>
      <c r="E678" s="113"/>
      <c r="F678" s="113"/>
      <c r="G678" s="112"/>
      <c r="H678" s="112"/>
      <c r="Z678" s="112"/>
      <c r="AA678" s="112"/>
    </row>
    <row r="679" spans="3:27" x14ac:dyDescent="0.25">
      <c r="C679" s="112"/>
      <c r="D679" s="112"/>
      <c r="E679" s="113"/>
      <c r="F679" s="113"/>
      <c r="G679" s="112"/>
      <c r="H679" s="112"/>
      <c r="Z679" s="112"/>
      <c r="AA679" s="112"/>
    </row>
    <row r="680" spans="3:27" x14ac:dyDescent="0.25">
      <c r="C680" s="112"/>
      <c r="D680" s="112"/>
      <c r="E680" s="113"/>
      <c r="F680" s="113"/>
      <c r="G680" s="112"/>
      <c r="H680" s="112"/>
      <c r="Z680" s="112"/>
      <c r="AA680" s="112"/>
    </row>
    <row r="681" spans="3:27" x14ac:dyDescent="0.25">
      <c r="C681" s="112"/>
      <c r="D681" s="112"/>
      <c r="E681" s="113"/>
      <c r="F681" s="113"/>
      <c r="G681" s="112"/>
      <c r="H681" s="112"/>
      <c r="Z681" s="112"/>
      <c r="AA681" s="112"/>
    </row>
    <row r="682" spans="3:27" x14ac:dyDescent="0.25">
      <c r="C682" s="112"/>
      <c r="D682" s="112"/>
      <c r="E682" s="113"/>
      <c r="F682" s="113"/>
      <c r="G682" s="112"/>
      <c r="H682" s="112"/>
      <c r="Z682" s="112"/>
      <c r="AA682" s="112"/>
    </row>
    <row r="683" spans="3:27" x14ac:dyDescent="0.25">
      <c r="C683" s="112"/>
      <c r="D683" s="112"/>
      <c r="E683" s="113"/>
      <c r="F683" s="113"/>
      <c r="G683" s="112"/>
      <c r="H683" s="112"/>
      <c r="Z683" s="112"/>
      <c r="AA683" s="112"/>
    </row>
    <row r="684" spans="3:27" x14ac:dyDescent="0.25">
      <c r="C684" s="112"/>
      <c r="D684" s="112"/>
      <c r="E684" s="113"/>
      <c r="F684" s="113"/>
      <c r="G684" s="112"/>
      <c r="H684" s="112"/>
      <c r="Z684" s="112"/>
      <c r="AA684" s="112"/>
    </row>
    <row r="685" spans="3:27" x14ac:dyDescent="0.25">
      <c r="C685" s="112"/>
      <c r="D685" s="112"/>
      <c r="E685" s="113"/>
      <c r="F685" s="113"/>
      <c r="G685" s="112"/>
      <c r="H685" s="112"/>
      <c r="Z685" s="112"/>
      <c r="AA685" s="112"/>
    </row>
    <row r="686" spans="3:27" x14ac:dyDescent="0.25">
      <c r="C686" s="112"/>
      <c r="D686" s="112"/>
      <c r="E686" s="113"/>
      <c r="F686" s="113"/>
      <c r="G686" s="112"/>
      <c r="H686" s="112"/>
      <c r="Z686" s="112"/>
      <c r="AA686" s="112"/>
    </row>
    <row r="687" spans="3:27" x14ac:dyDescent="0.25">
      <c r="C687" s="112"/>
      <c r="D687" s="112"/>
      <c r="E687" s="113"/>
      <c r="F687" s="113"/>
      <c r="G687" s="112"/>
      <c r="H687" s="112"/>
      <c r="Z687" s="112"/>
      <c r="AA687" s="112"/>
    </row>
    <row r="688" spans="3:27" x14ac:dyDescent="0.25">
      <c r="C688" s="112"/>
      <c r="D688" s="112"/>
      <c r="E688" s="113"/>
      <c r="F688" s="113"/>
      <c r="G688" s="112"/>
      <c r="H688" s="112"/>
      <c r="Z688" s="112"/>
      <c r="AA688" s="112"/>
    </row>
    <row r="689" spans="3:27" x14ac:dyDescent="0.25">
      <c r="C689" s="112"/>
      <c r="D689" s="112"/>
      <c r="E689" s="113"/>
      <c r="F689" s="113"/>
      <c r="G689" s="112"/>
      <c r="H689" s="112"/>
      <c r="Z689" s="112"/>
      <c r="AA689" s="112"/>
    </row>
    <row r="690" spans="3:27" x14ac:dyDescent="0.25">
      <c r="C690" s="112"/>
      <c r="D690" s="112"/>
      <c r="E690" s="113"/>
      <c r="F690" s="113"/>
      <c r="G690" s="112"/>
      <c r="H690" s="112"/>
      <c r="Z690" s="112"/>
      <c r="AA690" s="112"/>
    </row>
    <row r="691" spans="3:27" x14ac:dyDescent="0.25">
      <c r="C691" s="112"/>
      <c r="D691" s="112"/>
      <c r="E691" s="113"/>
      <c r="F691" s="113"/>
      <c r="G691" s="112"/>
      <c r="H691" s="112"/>
      <c r="Z691" s="112"/>
      <c r="AA691" s="112"/>
    </row>
    <row r="692" spans="3:27" x14ac:dyDescent="0.25">
      <c r="C692" s="112"/>
      <c r="D692" s="112"/>
      <c r="E692" s="113"/>
      <c r="F692" s="113"/>
      <c r="G692" s="112"/>
      <c r="H692" s="112"/>
      <c r="Z692" s="112"/>
      <c r="AA692" s="112"/>
    </row>
    <row r="693" spans="3:27" x14ac:dyDescent="0.25">
      <c r="C693" s="112"/>
      <c r="D693" s="112"/>
      <c r="E693" s="113"/>
      <c r="F693" s="113"/>
      <c r="G693" s="112"/>
      <c r="H693" s="112"/>
      <c r="Z693" s="112"/>
      <c r="AA693" s="112"/>
    </row>
    <row r="694" spans="3:27" x14ac:dyDescent="0.25">
      <c r="C694" s="112"/>
      <c r="D694" s="112"/>
      <c r="E694" s="113"/>
      <c r="F694" s="113"/>
      <c r="G694" s="112"/>
      <c r="H694" s="112"/>
      <c r="Z694" s="112"/>
      <c r="AA694" s="112"/>
    </row>
    <row r="695" spans="3:27" x14ac:dyDescent="0.25">
      <c r="C695" s="112"/>
      <c r="D695" s="112"/>
      <c r="E695" s="113"/>
      <c r="F695" s="113"/>
      <c r="G695" s="112"/>
      <c r="H695" s="112"/>
      <c r="Z695" s="112"/>
      <c r="AA695" s="112"/>
    </row>
    <row r="696" spans="3:27" x14ac:dyDescent="0.25">
      <c r="C696" s="112"/>
      <c r="D696" s="112"/>
      <c r="E696" s="113"/>
      <c r="F696" s="113"/>
      <c r="G696" s="112"/>
      <c r="H696" s="112"/>
      <c r="Z696" s="112"/>
      <c r="AA696" s="112"/>
    </row>
    <row r="697" spans="3:27" x14ac:dyDescent="0.25">
      <c r="C697" s="112"/>
      <c r="D697" s="112"/>
      <c r="E697" s="113"/>
      <c r="F697" s="113"/>
      <c r="G697" s="112"/>
      <c r="H697" s="112"/>
      <c r="Z697" s="112"/>
      <c r="AA697" s="112"/>
    </row>
    <row r="698" spans="3:27" x14ac:dyDescent="0.25">
      <c r="C698" s="112"/>
      <c r="D698" s="112"/>
      <c r="E698" s="113"/>
      <c r="F698" s="113"/>
      <c r="G698" s="112"/>
      <c r="H698" s="112"/>
      <c r="Z698" s="112"/>
      <c r="AA698" s="112"/>
    </row>
    <row r="699" spans="3:27" x14ac:dyDescent="0.25">
      <c r="C699" s="112"/>
      <c r="D699" s="112"/>
      <c r="E699" s="113"/>
      <c r="F699" s="113"/>
      <c r="G699" s="112"/>
      <c r="H699" s="112"/>
      <c r="Z699" s="112"/>
      <c r="AA699" s="112"/>
    </row>
    <row r="700" spans="3:27" x14ac:dyDescent="0.25">
      <c r="C700" s="112"/>
      <c r="D700" s="112"/>
      <c r="E700" s="113"/>
      <c r="F700" s="113"/>
      <c r="G700" s="112"/>
      <c r="H700" s="112"/>
      <c r="Z700" s="112"/>
      <c r="AA700" s="112"/>
    </row>
    <row r="701" spans="3:27" x14ac:dyDescent="0.25">
      <c r="C701" s="112"/>
      <c r="D701" s="112"/>
      <c r="E701" s="113"/>
      <c r="F701" s="113"/>
      <c r="G701" s="112"/>
      <c r="H701" s="112"/>
      <c r="Z701" s="112"/>
      <c r="AA701" s="112"/>
    </row>
    <row r="702" spans="3:27" x14ac:dyDescent="0.25">
      <c r="C702" s="112"/>
      <c r="D702" s="112"/>
      <c r="E702" s="113"/>
      <c r="F702" s="113"/>
      <c r="G702" s="112"/>
      <c r="H702" s="112"/>
      <c r="Z702" s="112"/>
      <c r="AA702" s="112"/>
    </row>
    <row r="703" spans="3:27" x14ac:dyDescent="0.25">
      <c r="C703" s="112"/>
      <c r="D703" s="112"/>
      <c r="E703" s="113"/>
      <c r="F703" s="113"/>
      <c r="G703" s="112"/>
      <c r="H703" s="112"/>
      <c r="Z703" s="112"/>
      <c r="AA703" s="112"/>
    </row>
    <row r="704" spans="3:27" x14ac:dyDescent="0.25">
      <c r="C704" s="112"/>
      <c r="D704" s="112"/>
      <c r="E704" s="113"/>
      <c r="F704" s="113"/>
      <c r="G704" s="112"/>
      <c r="H704" s="112"/>
      <c r="Z704" s="112"/>
      <c r="AA704" s="112"/>
    </row>
    <row r="705" spans="3:27" x14ac:dyDescent="0.25">
      <c r="C705" s="112"/>
      <c r="D705" s="112"/>
      <c r="E705" s="113"/>
      <c r="F705" s="113"/>
      <c r="G705" s="112"/>
      <c r="H705" s="112"/>
      <c r="Z705" s="112"/>
      <c r="AA705" s="112"/>
    </row>
    <row r="706" spans="3:27" x14ac:dyDescent="0.25">
      <c r="C706" s="112"/>
      <c r="D706" s="112"/>
      <c r="E706" s="113"/>
      <c r="F706" s="113"/>
      <c r="G706" s="112"/>
      <c r="H706" s="112"/>
      <c r="Z706" s="112"/>
      <c r="AA706" s="112"/>
    </row>
    <row r="707" spans="3:27" x14ac:dyDescent="0.25">
      <c r="C707" s="112"/>
      <c r="D707" s="112"/>
      <c r="E707" s="113"/>
      <c r="F707" s="113"/>
      <c r="G707" s="112"/>
      <c r="H707" s="112"/>
      <c r="Z707" s="112"/>
      <c r="AA707" s="112"/>
    </row>
    <row r="708" spans="3:27" x14ac:dyDescent="0.25">
      <c r="C708" s="112"/>
      <c r="D708" s="112"/>
      <c r="E708" s="113"/>
      <c r="F708" s="113"/>
      <c r="G708" s="112"/>
      <c r="H708" s="112"/>
      <c r="Z708" s="112"/>
      <c r="AA708" s="112"/>
    </row>
    <row r="709" spans="3:27" x14ac:dyDescent="0.25">
      <c r="C709" s="112"/>
      <c r="D709" s="112"/>
      <c r="E709" s="113"/>
      <c r="F709" s="113"/>
      <c r="G709" s="112"/>
      <c r="H709" s="112"/>
      <c r="Z709" s="112"/>
      <c r="AA709" s="112"/>
    </row>
    <row r="710" spans="3:27" x14ac:dyDescent="0.25">
      <c r="C710" s="112"/>
      <c r="D710" s="112"/>
      <c r="E710" s="113"/>
      <c r="F710" s="113"/>
      <c r="G710" s="112"/>
      <c r="H710" s="112"/>
      <c r="Z710" s="112"/>
      <c r="AA710" s="112"/>
    </row>
    <row r="711" spans="3:27" x14ac:dyDescent="0.25">
      <c r="C711" s="112"/>
      <c r="D711" s="112"/>
      <c r="E711" s="113"/>
      <c r="F711" s="113"/>
      <c r="G711" s="112"/>
      <c r="H711" s="112"/>
      <c r="Z711" s="112"/>
      <c r="AA711" s="112"/>
    </row>
    <row r="712" spans="3:27" x14ac:dyDescent="0.25">
      <c r="C712" s="112"/>
      <c r="D712" s="112"/>
      <c r="E712" s="113"/>
      <c r="F712" s="113"/>
      <c r="G712" s="112"/>
      <c r="H712" s="112"/>
      <c r="Z712" s="112"/>
      <c r="AA712" s="112"/>
    </row>
    <row r="713" spans="3:27" x14ac:dyDescent="0.25">
      <c r="C713" s="112"/>
      <c r="D713" s="112"/>
      <c r="E713" s="113"/>
      <c r="F713" s="113"/>
      <c r="G713" s="112"/>
      <c r="H713" s="112"/>
      <c r="Z713" s="112"/>
      <c r="AA713" s="112"/>
    </row>
    <row r="714" spans="3:27" x14ac:dyDescent="0.25">
      <c r="C714" s="112"/>
      <c r="D714" s="112"/>
      <c r="E714" s="113"/>
      <c r="F714" s="113"/>
      <c r="G714" s="112"/>
      <c r="H714" s="112"/>
      <c r="Z714" s="112"/>
      <c r="AA714" s="112"/>
    </row>
    <row r="715" spans="3:27" x14ac:dyDescent="0.25">
      <c r="C715" s="112"/>
      <c r="D715" s="112"/>
      <c r="E715" s="113"/>
      <c r="F715" s="113"/>
      <c r="G715" s="112"/>
      <c r="H715" s="112"/>
      <c r="Z715" s="112"/>
      <c r="AA715" s="112"/>
    </row>
    <row r="716" spans="3:27" x14ac:dyDescent="0.25">
      <c r="C716" s="112"/>
      <c r="D716" s="112"/>
      <c r="E716" s="113"/>
      <c r="F716" s="113"/>
      <c r="G716" s="112"/>
      <c r="H716" s="112"/>
      <c r="Z716" s="112"/>
      <c r="AA716" s="112"/>
    </row>
    <row r="717" spans="3:27" x14ac:dyDescent="0.25">
      <c r="C717" s="112"/>
      <c r="D717" s="112"/>
      <c r="E717" s="113"/>
      <c r="F717" s="113"/>
      <c r="G717" s="112"/>
      <c r="H717" s="112"/>
      <c r="Z717" s="112"/>
      <c r="AA717" s="112"/>
    </row>
    <row r="718" spans="3:27" x14ac:dyDescent="0.25">
      <c r="C718" s="112"/>
      <c r="D718" s="112"/>
      <c r="E718" s="113"/>
      <c r="F718" s="113"/>
      <c r="G718" s="112"/>
      <c r="H718" s="112"/>
      <c r="Z718" s="112"/>
      <c r="AA718" s="112"/>
    </row>
    <row r="719" spans="3:27" x14ac:dyDescent="0.25">
      <c r="C719" s="112"/>
      <c r="D719" s="112"/>
      <c r="E719" s="113"/>
      <c r="F719" s="113"/>
      <c r="G719" s="112"/>
      <c r="H719" s="112"/>
      <c r="Z719" s="112"/>
      <c r="AA719" s="112"/>
    </row>
    <row r="720" spans="3:27" x14ac:dyDescent="0.25">
      <c r="C720" s="112"/>
      <c r="D720" s="112"/>
      <c r="E720" s="113"/>
      <c r="F720" s="113"/>
      <c r="G720" s="112"/>
      <c r="H720" s="112"/>
      <c r="Z720" s="112"/>
      <c r="AA720" s="112"/>
    </row>
    <row r="721" spans="3:27" x14ac:dyDescent="0.25">
      <c r="C721" s="112"/>
      <c r="D721" s="112"/>
      <c r="E721" s="113"/>
      <c r="F721" s="113"/>
      <c r="G721" s="112"/>
      <c r="H721" s="112"/>
      <c r="Z721" s="112"/>
      <c r="AA721" s="112"/>
    </row>
    <row r="722" spans="3:27" x14ac:dyDescent="0.25">
      <c r="C722" s="112"/>
      <c r="D722" s="112"/>
      <c r="E722" s="113"/>
      <c r="F722" s="113"/>
      <c r="G722" s="112"/>
      <c r="H722" s="112"/>
      <c r="Z722" s="112"/>
      <c r="AA722" s="112"/>
    </row>
    <row r="723" spans="3:27" x14ac:dyDescent="0.25">
      <c r="C723" s="112"/>
      <c r="D723" s="112"/>
      <c r="E723" s="113"/>
      <c r="F723" s="113"/>
      <c r="G723" s="112"/>
      <c r="H723" s="112"/>
      <c r="Z723" s="112"/>
      <c r="AA723" s="112"/>
    </row>
    <row r="724" spans="3:27" x14ac:dyDescent="0.25">
      <c r="C724" s="112"/>
      <c r="D724" s="112"/>
      <c r="E724" s="113"/>
      <c r="F724" s="113"/>
      <c r="G724" s="112"/>
      <c r="H724" s="112"/>
      <c r="Z724" s="112"/>
      <c r="AA724" s="112"/>
    </row>
    <row r="725" spans="3:27" x14ac:dyDescent="0.25">
      <c r="C725" s="112"/>
      <c r="D725" s="112"/>
      <c r="E725" s="113"/>
      <c r="F725" s="113"/>
      <c r="G725" s="112"/>
      <c r="H725" s="112"/>
      <c r="Z725" s="112"/>
      <c r="AA725" s="112"/>
    </row>
    <row r="726" spans="3:27" x14ac:dyDescent="0.25">
      <c r="C726" s="112"/>
      <c r="D726" s="112"/>
      <c r="E726" s="113"/>
      <c r="F726" s="113"/>
      <c r="G726" s="112"/>
      <c r="H726" s="112"/>
      <c r="Z726" s="112"/>
      <c r="AA726" s="112"/>
    </row>
    <row r="727" spans="3:27" x14ac:dyDescent="0.25">
      <c r="C727" s="112"/>
      <c r="D727" s="112"/>
      <c r="E727" s="113"/>
      <c r="F727" s="113"/>
      <c r="G727" s="112"/>
      <c r="H727" s="112"/>
      <c r="Z727" s="112"/>
      <c r="AA727" s="112"/>
    </row>
    <row r="728" spans="3:27" x14ac:dyDescent="0.25">
      <c r="C728" s="112"/>
      <c r="D728" s="112"/>
      <c r="E728" s="113"/>
      <c r="F728" s="113"/>
      <c r="G728" s="112"/>
      <c r="H728" s="112"/>
      <c r="Z728" s="112"/>
      <c r="AA728" s="112"/>
    </row>
    <row r="729" spans="3:27" x14ac:dyDescent="0.25">
      <c r="C729" s="112"/>
      <c r="D729" s="112"/>
      <c r="E729" s="113"/>
      <c r="F729" s="113"/>
      <c r="G729" s="112"/>
      <c r="H729" s="112"/>
      <c r="Z729" s="112"/>
      <c r="AA729" s="112"/>
    </row>
    <row r="730" spans="3:27" x14ac:dyDescent="0.25">
      <c r="C730" s="112"/>
      <c r="D730" s="112"/>
      <c r="E730" s="113"/>
      <c r="F730" s="113"/>
      <c r="G730" s="112"/>
      <c r="H730" s="112"/>
      <c r="Z730" s="112"/>
      <c r="AA730" s="112"/>
    </row>
    <row r="731" spans="3:27" x14ac:dyDescent="0.25">
      <c r="C731" s="112"/>
      <c r="D731" s="112"/>
      <c r="E731" s="113"/>
      <c r="F731" s="113"/>
      <c r="G731" s="112"/>
      <c r="H731" s="112"/>
      <c r="Z731" s="112"/>
      <c r="AA731" s="112"/>
    </row>
    <row r="732" spans="3:27" x14ac:dyDescent="0.25">
      <c r="C732" s="112"/>
      <c r="D732" s="112"/>
      <c r="E732" s="113"/>
      <c r="F732" s="113"/>
      <c r="G732" s="112"/>
      <c r="H732" s="112"/>
      <c r="Z732" s="112"/>
      <c r="AA732" s="112"/>
    </row>
    <row r="733" spans="3:27" x14ac:dyDescent="0.25">
      <c r="C733" s="112"/>
      <c r="D733" s="112"/>
      <c r="E733" s="113"/>
      <c r="F733" s="113"/>
      <c r="G733" s="112"/>
      <c r="H733" s="112"/>
      <c r="Z733" s="112"/>
      <c r="AA733" s="112"/>
    </row>
    <row r="734" spans="3:27" x14ac:dyDescent="0.25">
      <c r="C734" s="112"/>
      <c r="D734" s="112"/>
      <c r="E734" s="113"/>
      <c r="F734" s="113"/>
      <c r="G734" s="112"/>
      <c r="H734" s="112"/>
      <c r="Z734" s="112"/>
      <c r="AA734" s="112"/>
    </row>
    <row r="735" spans="3:27" x14ac:dyDescent="0.25">
      <c r="C735" s="112"/>
      <c r="D735" s="112"/>
      <c r="E735" s="113"/>
      <c r="F735" s="113"/>
      <c r="G735" s="112"/>
      <c r="H735" s="112"/>
      <c r="Z735" s="112"/>
      <c r="AA735" s="112"/>
    </row>
    <row r="736" spans="3:27" x14ac:dyDescent="0.25">
      <c r="C736" s="112"/>
      <c r="D736" s="112"/>
      <c r="E736" s="113"/>
      <c r="F736" s="113"/>
      <c r="G736" s="112"/>
      <c r="H736" s="112"/>
      <c r="Z736" s="112"/>
      <c r="AA736" s="112"/>
    </row>
    <row r="737" spans="3:27" x14ac:dyDescent="0.25">
      <c r="C737" s="112"/>
      <c r="D737" s="112"/>
      <c r="E737" s="113"/>
      <c r="F737" s="113"/>
      <c r="G737" s="112"/>
      <c r="H737" s="112"/>
      <c r="Z737" s="112"/>
      <c r="AA737" s="112"/>
    </row>
    <row r="738" spans="3:27" x14ac:dyDescent="0.25">
      <c r="C738" s="112"/>
      <c r="D738" s="112"/>
      <c r="E738" s="113"/>
      <c r="F738" s="113"/>
      <c r="G738" s="112"/>
      <c r="H738" s="112"/>
      <c r="Z738" s="112"/>
      <c r="AA738" s="112"/>
    </row>
    <row r="739" spans="3:27" x14ac:dyDescent="0.25">
      <c r="C739" s="112"/>
      <c r="D739" s="112"/>
      <c r="E739" s="113"/>
      <c r="F739" s="113"/>
      <c r="G739" s="112"/>
      <c r="H739" s="112"/>
      <c r="Z739" s="112"/>
      <c r="AA739" s="112"/>
    </row>
    <row r="740" spans="3:27" x14ac:dyDescent="0.25">
      <c r="C740" s="112"/>
      <c r="D740" s="112"/>
      <c r="E740" s="113"/>
      <c r="F740" s="113"/>
      <c r="G740" s="112"/>
      <c r="H740" s="112"/>
      <c r="Z740" s="112"/>
      <c r="AA740" s="112"/>
    </row>
    <row r="741" spans="3:27" x14ac:dyDescent="0.25">
      <c r="C741" s="112"/>
      <c r="D741" s="112"/>
      <c r="E741" s="113"/>
      <c r="F741" s="113"/>
      <c r="G741" s="112"/>
      <c r="H741" s="112"/>
      <c r="Z741" s="112"/>
      <c r="AA741" s="112"/>
    </row>
    <row r="742" spans="3:27" x14ac:dyDescent="0.25">
      <c r="C742" s="112"/>
      <c r="D742" s="112"/>
      <c r="E742" s="113"/>
      <c r="F742" s="113"/>
      <c r="G742" s="112"/>
      <c r="H742" s="112"/>
      <c r="Z742" s="112"/>
      <c r="AA742" s="112"/>
    </row>
    <row r="743" spans="3:27" x14ac:dyDescent="0.25">
      <c r="C743" s="112"/>
      <c r="D743" s="112"/>
      <c r="E743" s="113"/>
      <c r="F743" s="113"/>
      <c r="G743" s="112"/>
      <c r="H743" s="112"/>
      <c r="Z743" s="112"/>
      <c r="AA743" s="112"/>
    </row>
    <row r="744" spans="3:27" x14ac:dyDescent="0.25">
      <c r="C744" s="112"/>
      <c r="D744" s="112"/>
      <c r="E744" s="113"/>
      <c r="F744" s="113"/>
      <c r="G744" s="112"/>
      <c r="H744" s="112"/>
      <c r="Z744" s="112"/>
      <c r="AA744" s="112"/>
    </row>
    <row r="745" spans="3:27" x14ac:dyDescent="0.25">
      <c r="C745" s="112"/>
      <c r="D745" s="112"/>
      <c r="E745" s="113"/>
      <c r="F745" s="113"/>
      <c r="G745" s="112"/>
      <c r="H745" s="112"/>
      <c r="Z745" s="112"/>
      <c r="AA745" s="112"/>
    </row>
    <row r="746" spans="3:27" x14ac:dyDescent="0.25">
      <c r="C746" s="112"/>
      <c r="D746" s="112"/>
      <c r="E746" s="113"/>
      <c r="F746" s="113"/>
      <c r="G746" s="112"/>
      <c r="H746" s="112"/>
      <c r="Z746" s="112"/>
      <c r="AA746" s="112"/>
    </row>
    <row r="747" spans="3:27" x14ac:dyDescent="0.25">
      <c r="C747" s="112"/>
      <c r="D747" s="112"/>
      <c r="E747" s="113"/>
      <c r="F747" s="113"/>
      <c r="G747" s="112"/>
      <c r="H747" s="112"/>
      <c r="Z747" s="112"/>
      <c r="AA747" s="112"/>
    </row>
    <row r="748" spans="3:27" x14ac:dyDescent="0.25">
      <c r="C748" s="112"/>
      <c r="D748" s="112"/>
      <c r="E748" s="113"/>
      <c r="F748" s="113"/>
      <c r="G748" s="112"/>
      <c r="H748" s="112"/>
      <c r="Z748" s="112"/>
      <c r="AA748" s="112"/>
    </row>
    <row r="749" spans="3:27" x14ac:dyDescent="0.25">
      <c r="C749" s="112"/>
      <c r="D749" s="112"/>
      <c r="E749" s="113"/>
      <c r="F749" s="113"/>
      <c r="G749" s="112"/>
      <c r="H749" s="112"/>
      <c r="Z749" s="112"/>
      <c r="AA749" s="112"/>
    </row>
    <row r="750" spans="3:27" x14ac:dyDescent="0.25">
      <c r="C750" s="112"/>
      <c r="D750" s="112"/>
      <c r="E750" s="113"/>
      <c r="F750" s="113"/>
      <c r="G750" s="112"/>
      <c r="H750" s="112"/>
      <c r="Z750" s="112"/>
      <c r="AA750" s="112"/>
    </row>
    <row r="751" spans="3:27" x14ac:dyDescent="0.25">
      <c r="C751" s="112"/>
      <c r="D751" s="112"/>
      <c r="E751" s="113"/>
      <c r="F751" s="113"/>
      <c r="G751" s="112"/>
      <c r="H751" s="112"/>
      <c r="Z751" s="112"/>
      <c r="AA751" s="112"/>
    </row>
    <row r="752" spans="3:27" x14ac:dyDescent="0.25">
      <c r="C752" s="112"/>
      <c r="D752" s="112"/>
      <c r="E752" s="113"/>
      <c r="F752" s="113"/>
      <c r="G752" s="112"/>
      <c r="H752" s="112"/>
      <c r="Z752" s="112"/>
      <c r="AA752" s="112"/>
    </row>
    <row r="753" spans="3:27" x14ac:dyDescent="0.25">
      <c r="C753" s="112"/>
      <c r="D753" s="112"/>
      <c r="E753" s="113"/>
      <c r="F753" s="113"/>
      <c r="G753" s="112"/>
      <c r="H753" s="112"/>
      <c r="Z753" s="112"/>
      <c r="AA753" s="112"/>
    </row>
    <row r="754" spans="3:27" x14ac:dyDescent="0.25">
      <c r="C754" s="112"/>
      <c r="D754" s="112"/>
      <c r="E754" s="113"/>
      <c r="F754" s="113"/>
      <c r="G754" s="112"/>
      <c r="H754" s="112"/>
      <c r="Z754" s="112"/>
      <c r="AA754" s="112"/>
    </row>
    <row r="755" spans="3:27" x14ac:dyDescent="0.25">
      <c r="C755" s="112"/>
      <c r="D755" s="112"/>
      <c r="E755" s="113"/>
      <c r="F755" s="113"/>
      <c r="G755" s="112"/>
      <c r="H755" s="112"/>
      <c r="Z755" s="112"/>
      <c r="AA755" s="112"/>
    </row>
    <row r="756" spans="3:27" x14ac:dyDescent="0.25">
      <c r="C756" s="112"/>
      <c r="D756" s="112"/>
      <c r="E756" s="113"/>
      <c r="F756" s="113"/>
      <c r="G756" s="112"/>
      <c r="H756" s="112"/>
      <c r="Z756" s="112"/>
      <c r="AA756" s="112"/>
    </row>
    <row r="757" spans="3:27" x14ac:dyDescent="0.25">
      <c r="C757" s="112"/>
      <c r="D757" s="112"/>
      <c r="E757" s="113"/>
      <c r="F757" s="113"/>
      <c r="G757" s="112"/>
      <c r="H757" s="112"/>
      <c r="Z757" s="112"/>
      <c r="AA757" s="112"/>
    </row>
    <row r="758" spans="3:27" x14ac:dyDescent="0.25">
      <c r="C758" s="112"/>
      <c r="D758" s="112"/>
      <c r="E758" s="113"/>
      <c r="F758" s="113"/>
      <c r="G758" s="112"/>
      <c r="H758" s="112"/>
      <c r="Z758" s="112"/>
      <c r="AA758" s="112"/>
    </row>
    <row r="759" spans="3:27" x14ac:dyDescent="0.25">
      <c r="C759" s="112"/>
      <c r="D759" s="112"/>
      <c r="E759" s="113"/>
      <c r="F759" s="113"/>
      <c r="G759" s="112"/>
      <c r="H759" s="112"/>
      <c r="Z759" s="112"/>
      <c r="AA759" s="112"/>
    </row>
    <row r="760" spans="3:27" x14ac:dyDescent="0.25">
      <c r="C760" s="112"/>
      <c r="D760" s="112"/>
      <c r="E760" s="113"/>
      <c r="F760" s="113"/>
      <c r="G760" s="112"/>
      <c r="H760" s="112"/>
      <c r="Z760" s="112"/>
      <c r="AA760" s="112"/>
    </row>
    <row r="761" spans="3:27" x14ac:dyDescent="0.25">
      <c r="C761" s="112"/>
      <c r="D761" s="112"/>
      <c r="E761" s="113"/>
      <c r="F761" s="113"/>
      <c r="G761" s="112"/>
      <c r="H761" s="112"/>
      <c r="Z761" s="112"/>
      <c r="AA761" s="112"/>
    </row>
    <row r="762" spans="3:27" x14ac:dyDescent="0.25">
      <c r="C762" s="112"/>
      <c r="D762" s="112"/>
      <c r="E762" s="113"/>
      <c r="F762" s="113"/>
      <c r="G762" s="112"/>
      <c r="H762" s="112"/>
      <c r="Z762" s="112"/>
      <c r="AA762" s="112"/>
    </row>
    <row r="763" spans="3:27" x14ac:dyDescent="0.25">
      <c r="C763" s="112"/>
      <c r="D763" s="112"/>
      <c r="E763" s="113"/>
      <c r="F763" s="113"/>
      <c r="G763" s="112"/>
      <c r="H763" s="112"/>
      <c r="Z763" s="112"/>
      <c r="AA763" s="112"/>
    </row>
    <row r="764" spans="3:27" x14ac:dyDescent="0.25">
      <c r="C764" s="112"/>
      <c r="D764" s="112"/>
      <c r="E764" s="113"/>
      <c r="F764" s="113"/>
      <c r="G764" s="112"/>
      <c r="H764" s="112"/>
      <c r="Z764" s="112"/>
      <c r="AA764" s="112"/>
    </row>
    <row r="765" spans="3:27" x14ac:dyDescent="0.25">
      <c r="C765" s="112"/>
      <c r="D765" s="112"/>
      <c r="E765" s="113"/>
      <c r="F765" s="113"/>
      <c r="G765" s="112"/>
      <c r="H765" s="112"/>
      <c r="Z765" s="112"/>
      <c r="AA765" s="112"/>
    </row>
    <row r="766" spans="3:27" x14ac:dyDescent="0.25">
      <c r="C766" s="112"/>
      <c r="D766" s="112"/>
      <c r="E766" s="113"/>
      <c r="F766" s="113"/>
      <c r="G766" s="112"/>
      <c r="H766" s="112"/>
      <c r="Z766" s="112"/>
      <c r="AA766" s="112"/>
    </row>
    <row r="767" spans="3:27" x14ac:dyDescent="0.25">
      <c r="C767" s="112"/>
      <c r="D767" s="112"/>
      <c r="E767" s="113"/>
      <c r="F767" s="113"/>
      <c r="G767" s="112"/>
      <c r="H767" s="112"/>
      <c r="Z767" s="112"/>
      <c r="AA767" s="112"/>
    </row>
    <row r="768" spans="3:27" x14ac:dyDescent="0.25">
      <c r="C768" s="112"/>
      <c r="D768" s="112"/>
      <c r="E768" s="113"/>
      <c r="F768" s="113"/>
      <c r="G768" s="112"/>
      <c r="H768" s="112"/>
      <c r="Z768" s="112"/>
      <c r="AA768" s="112"/>
    </row>
    <row r="769" spans="3:27" x14ac:dyDescent="0.25">
      <c r="C769" s="112"/>
      <c r="D769" s="112"/>
      <c r="E769" s="113"/>
      <c r="F769" s="113"/>
      <c r="G769" s="112"/>
      <c r="H769" s="112"/>
      <c r="Z769" s="112"/>
      <c r="AA769" s="112"/>
    </row>
    <row r="770" spans="3:27" x14ac:dyDescent="0.25">
      <c r="C770" s="112"/>
      <c r="D770" s="112"/>
      <c r="E770" s="113"/>
      <c r="F770" s="113"/>
      <c r="G770" s="112"/>
      <c r="H770" s="112"/>
      <c r="Z770" s="112"/>
      <c r="AA770" s="112"/>
    </row>
    <row r="771" spans="3:27" x14ac:dyDescent="0.25">
      <c r="C771" s="112"/>
      <c r="D771" s="112"/>
      <c r="E771" s="113"/>
      <c r="F771" s="113"/>
      <c r="G771" s="112"/>
      <c r="H771" s="112"/>
      <c r="Z771" s="112"/>
      <c r="AA771" s="112"/>
    </row>
    <row r="772" spans="3:27" x14ac:dyDescent="0.25">
      <c r="C772" s="112"/>
      <c r="D772" s="112"/>
      <c r="E772" s="113"/>
      <c r="F772" s="113"/>
      <c r="G772" s="112"/>
      <c r="H772" s="112"/>
      <c r="Z772" s="112"/>
      <c r="AA772" s="112"/>
    </row>
    <row r="773" spans="3:27" x14ac:dyDescent="0.25">
      <c r="C773" s="112"/>
      <c r="D773" s="112"/>
      <c r="E773" s="113"/>
      <c r="F773" s="113"/>
      <c r="G773" s="112"/>
      <c r="H773" s="112"/>
      <c r="Z773" s="112"/>
      <c r="AA773" s="112"/>
    </row>
    <row r="774" spans="3:27" x14ac:dyDescent="0.25">
      <c r="C774" s="112"/>
      <c r="D774" s="112"/>
      <c r="E774" s="113"/>
      <c r="F774" s="113"/>
      <c r="G774" s="112"/>
      <c r="H774" s="112"/>
      <c r="Z774" s="112"/>
      <c r="AA774" s="112"/>
    </row>
    <row r="775" spans="3:27" x14ac:dyDescent="0.25">
      <c r="C775" s="112"/>
      <c r="D775" s="112"/>
      <c r="E775" s="113"/>
      <c r="F775" s="113"/>
      <c r="G775" s="112"/>
      <c r="H775" s="112"/>
      <c r="Z775" s="112"/>
      <c r="AA775" s="112"/>
    </row>
    <row r="776" spans="3:27" x14ac:dyDescent="0.25">
      <c r="C776" s="112"/>
      <c r="D776" s="112"/>
      <c r="E776" s="113"/>
      <c r="F776" s="113"/>
      <c r="G776" s="112"/>
      <c r="H776" s="112"/>
      <c r="Z776" s="112"/>
      <c r="AA776" s="112"/>
    </row>
    <row r="777" spans="3:27" x14ac:dyDescent="0.25">
      <c r="C777" s="112"/>
      <c r="D777" s="112"/>
      <c r="E777" s="113"/>
      <c r="F777" s="113"/>
      <c r="G777" s="112"/>
      <c r="H777" s="112"/>
      <c r="Z777" s="112"/>
      <c r="AA777" s="112"/>
    </row>
    <row r="778" spans="3:27" x14ac:dyDescent="0.25">
      <c r="C778" s="112"/>
      <c r="D778" s="112"/>
      <c r="E778" s="113"/>
      <c r="F778" s="113"/>
      <c r="G778" s="112"/>
      <c r="H778" s="112"/>
      <c r="Z778" s="112"/>
      <c r="AA778" s="112"/>
    </row>
    <row r="779" spans="3:27" x14ac:dyDescent="0.25">
      <c r="C779" s="112"/>
      <c r="D779" s="112"/>
      <c r="E779" s="113"/>
      <c r="F779" s="113"/>
      <c r="G779" s="112"/>
      <c r="H779" s="112"/>
      <c r="Z779" s="112"/>
      <c r="AA779" s="112"/>
    </row>
    <row r="780" spans="3:27" x14ac:dyDescent="0.25">
      <c r="C780" s="112"/>
      <c r="D780" s="112"/>
      <c r="E780" s="113"/>
      <c r="F780" s="113"/>
      <c r="G780" s="112"/>
      <c r="H780" s="112"/>
      <c r="Z780" s="112"/>
      <c r="AA780" s="112"/>
    </row>
    <row r="781" spans="3:27" x14ac:dyDescent="0.25">
      <c r="C781" s="112"/>
      <c r="D781" s="112"/>
      <c r="E781" s="113"/>
      <c r="F781" s="113"/>
      <c r="G781" s="112"/>
      <c r="H781" s="112"/>
      <c r="Z781" s="112"/>
      <c r="AA781" s="112"/>
    </row>
    <row r="782" spans="3:27" x14ac:dyDescent="0.25">
      <c r="C782" s="112"/>
      <c r="D782" s="112"/>
      <c r="E782" s="113"/>
      <c r="F782" s="113"/>
      <c r="G782" s="112"/>
      <c r="H782" s="112"/>
      <c r="Z782" s="112"/>
      <c r="AA782" s="112"/>
    </row>
    <row r="783" spans="3:27" x14ac:dyDescent="0.25">
      <c r="C783" s="112"/>
      <c r="D783" s="112"/>
      <c r="E783" s="113"/>
      <c r="F783" s="113"/>
      <c r="G783" s="112"/>
      <c r="H783" s="112"/>
      <c r="Z783" s="112"/>
      <c r="AA783" s="112"/>
    </row>
    <row r="784" spans="3:27" x14ac:dyDescent="0.25">
      <c r="C784" s="112"/>
      <c r="D784" s="112"/>
      <c r="E784" s="113"/>
      <c r="F784" s="113"/>
      <c r="G784" s="112"/>
      <c r="H784" s="112"/>
      <c r="Z784" s="112"/>
      <c r="AA784" s="112"/>
    </row>
    <row r="785" spans="3:27" x14ac:dyDescent="0.25">
      <c r="C785" s="112"/>
      <c r="D785" s="112"/>
      <c r="E785" s="113"/>
      <c r="F785" s="113"/>
      <c r="G785" s="112"/>
      <c r="H785" s="112"/>
      <c r="Z785" s="112"/>
      <c r="AA785" s="112"/>
    </row>
    <row r="786" spans="3:27" x14ac:dyDescent="0.25">
      <c r="C786" s="112"/>
      <c r="D786" s="112"/>
      <c r="E786" s="113"/>
      <c r="F786" s="113"/>
      <c r="G786" s="112"/>
      <c r="H786" s="112"/>
      <c r="Z786" s="112"/>
      <c r="AA786" s="112"/>
    </row>
    <row r="787" spans="3:27" x14ac:dyDescent="0.25">
      <c r="C787" s="112"/>
      <c r="D787" s="112"/>
      <c r="E787" s="113"/>
      <c r="F787" s="113"/>
      <c r="G787" s="112"/>
      <c r="H787" s="112"/>
      <c r="Z787" s="112"/>
      <c r="AA787" s="112"/>
    </row>
    <row r="788" spans="3:27" x14ac:dyDescent="0.25">
      <c r="C788" s="112"/>
      <c r="D788" s="112"/>
      <c r="E788" s="113"/>
      <c r="F788" s="113"/>
      <c r="G788" s="112"/>
      <c r="H788" s="112"/>
      <c r="Z788" s="112"/>
      <c r="AA788" s="112"/>
    </row>
    <row r="789" spans="3:27" x14ac:dyDescent="0.25">
      <c r="C789" s="112"/>
      <c r="D789" s="112"/>
      <c r="E789" s="113"/>
      <c r="F789" s="113"/>
      <c r="G789" s="112"/>
      <c r="H789" s="112"/>
      <c r="Z789" s="112"/>
      <c r="AA789" s="112"/>
    </row>
    <row r="790" spans="3:27" x14ac:dyDescent="0.25">
      <c r="C790" s="112"/>
      <c r="D790" s="112"/>
      <c r="E790" s="113"/>
      <c r="F790" s="113"/>
      <c r="G790" s="112"/>
      <c r="H790" s="112"/>
      <c r="Z790" s="112"/>
      <c r="AA790" s="112"/>
    </row>
    <row r="791" spans="3:27" x14ac:dyDescent="0.25">
      <c r="C791" s="112"/>
      <c r="D791" s="112"/>
      <c r="E791" s="113"/>
      <c r="F791" s="113"/>
      <c r="G791" s="112"/>
      <c r="H791" s="112"/>
      <c r="Z791" s="112"/>
      <c r="AA791" s="112"/>
    </row>
    <row r="792" spans="3:27" x14ac:dyDescent="0.25">
      <c r="C792" s="112"/>
      <c r="D792" s="112"/>
      <c r="E792" s="113"/>
      <c r="F792" s="113"/>
      <c r="G792" s="112"/>
      <c r="H792" s="112"/>
      <c r="Z792" s="112"/>
      <c r="AA792" s="112"/>
    </row>
    <row r="793" spans="3:27" x14ac:dyDescent="0.25">
      <c r="C793" s="112"/>
      <c r="D793" s="112"/>
      <c r="E793" s="113"/>
      <c r="F793" s="113"/>
      <c r="G793" s="112"/>
      <c r="H793" s="112"/>
      <c r="Z793" s="112"/>
      <c r="AA793" s="112"/>
    </row>
    <row r="794" spans="3:27" x14ac:dyDescent="0.25">
      <c r="C794" s="112"/>
      <c r="D794" s="112"/>
      <c r="E794" s="113"/>
      <c r="F794" s="113"/>
      <c r="G794" s="112"/>
      <c r="H794" s="112"/>
      <c r="Z794" s="112"/>
      <c r="AA794" s="112"/>
    </row>
    <row r="795" spans="3:27" x14ac:dyDescent="0.25">
      <c r="C795" s="112"/>
      <c r="D795" s="112"/>
      <c r="E795" s="113"/>
      <c r="F795" s="113"/>
      <c r="G795" s="112"/>
      <c r="H795" s="112"/>
      <c r="Z795" s="112"/>
      <c r="AA795" s="112"/>
    </row>
    <row r="796" spans="3:27" x14ac:dyDescent="0.25">
      <c r="C796" s="112"/>
      <c r="D796" s="112"/>
      <c r="E796" s="113"/>
      <c r="F796" s="113"/>
      <c r="G796" s="112"/>
      <c r="H796" s="112"/>
      <c r="Z796" s="112"/>
      <c r="AA796" s="112"/>
    </row>
    <row r="797" spans="3:27" x14ac:dyDescent="0.25">
      <c r="C797" s="112"/>
      <c r="D797" s="112"/>
      <c r="E797" s="113"/>
      <c r="F797" s="113"/>
      <c r="G797" s="112"/>
      <c r="H797" s="112"/>
      <c r="Z797" s="112"/>
      <c r="AA797" s="112"/>
    </row>
    <row r="798" spans="3:27" x14ac:dyDescent="0.25">
      <c r="C798" s="112"/>
      <c r="D798" s="112"/>
      <c r="E798" s="113"/>
      <c r="F798" s="113"/>
      <c r="G798" s="112"/>
      <c r="H798" s="112"/>
      <c r="Z798" s="112"/>
      <c r="AA798" s="112"/>
    </row>
    <row r="799" spans="3:27" x14ac:dyDescent="0.25">
      <c r="C799" s="112"/>
      <c r="D799" s="112"/>
      <c r="E799" s="113"/>
      <c r="F799" s="113"/>
      <c r="G799" s="112"/>
      <c r="H799" s="112"/>
      <c r="Z799" s="112"/>
      <c r="AA799" s="112"/>
    </row>
    <row r="800" spans="3:27" x14ac:dyDescent="0.25">
      <c r="C800" s="112"/>
      <c r="D800" s="112"/>
      <c r="E800" s="113"/>
      <c r="F800" s="113"/>
      <c r="G800" s="112"/>
      <c r="H800" s="112"/>
      <c r="Z800" s="112"/>
      <c r="AA800" s="112"/>
    </row>
    <row r="801" spans="3:27" x14ac:dyDescent="0.25">
      <c r="C801" s="112"/>
      <c r="D801" s="112"/>
      <c r="E801" s="113"/>
      <c r="F801" s="113"/>
      <c r="G801" s="112"/>
      <c r="H801" s="112"/>
      <c r="Z801" s="112"/>
      <c r="AA801" s="112"/>
    </row>
    <row r="802" spans="3:27" x14ac:dyDescent="0.25">
      <c r="C802" s="112"/>
      <c r="D802" s="112"/>
      <c r="E802" s="113"/>
      <c r="F802" s="113"/>
      <c r="G802" s="112"/>
      <c r="H802" s="112"/>
      <c r="Z802" s="112"/>
      <c r="AA802" s="112"/>
    </row>
    <row r="803" spans="3:27" x14ac:dyDescent="0.25">
      <c r="C803" s="112"/>
      <c r="D803" s="112"/>
      <c r="E803" s="113"/>
      <c r="F803" s="113"/>
      <c r="G803" s="112"/>
      <c r="H803" s="112"/>
      <c r="Z803" s="112"/>
      <c r="AA803" s="112"/>
    </row>
    <row r="804" spans="3:27" x14ac:dyDescent="0.25">
      <c r="C804" s="112"/>
      <c r="D804" s="112"/>
      <c r="E804" s="113"/>
      <c r="F804" s="113"/>
      <c r="G804" s="112"/>
      <c r="H804" s="112"/>
      <c r="Z804" s="112"/>
      <c r="AA804" s="112"/>
    </row>
    <row r="805" spans="3:27" x14ac:dyDescent="0.25">
      <c r="C805" s="112"/>
      <c r="D805" s="112"/>
      <c r="E805" s="113"/>
      <c r="F805" s="113"/>
      <c r="G805" s="112"/>
      <c r="H805" s="112"/>
      <c r="Z805" s="112"/>
      <c r="AA805" s="112"/>
    </row>
    <row r="806" spans="3:27" x14ac:dyDescent="0.25">
      <c r="C806" s="112"/>
      <c r="D806" s="112"/>
      <c r="E806" s="113"/>
      <c r="F806" s="113"/>
      <c r="G806" s="112"/>
      <c r="H806" s="112"/>
      <c r="Z806" s="112"/>
      <c r="AA806" s="112"/>
    </row>
    <row r="807" spans="3:27" x14ac:dyDescent="0.25">
      <c r="C807" s="112"/>
      <c r="D807" s="112"/>
      <c r="E807" s="113"/>
      <c r="F807" s="113"/>
      <c r="G807" s="112"/>
      <c r="H807" s="112"/>
      <c r="Z807" s="112"/>
      <c r="AA807" s="112"/>
    </row>
    <row r="808" spans="3:27" x14ac:dyDescent="0.25">
      <c r="C808" s="112"/>
      <c r="D808" s="112"/>
      <c r="E808" s="113"/>
      <c r="F808" s="113"/>
      <c r="G808" s="112"/>
      <c r="H808" s="112"/>
      <c r="Z808" s="112"/>
      <c r="AA808" s="112"/>
    </row>
    <row r="809" spans="3:27" x14ac:dyDescent="0.25">
      <c r="C809" s="112"/>
      <c r="D809" s="112"/>
      <c r="E809" s="113"/>
      <c r="F809" s="113"/>
      <c r="G809" s="112"/>
      <c r="H809" s="112"/>
      <c r="Z809" s="112"/>
      <c r="AA809" s="112"/>
    </row>
    <row r="810" spans="3:27" x14ac:dyDescent="0.25">
      <c r="C810" s="112"/>
      <c r="D810" s="112"/>
      <c r="E810" s="113"/>
      <c r="F810" s="113"/>
      <c r="G810" s="112"/>
      <c r="H810" s="112"/>
      <c r="Z810" s="112"/>
      <c r="AA810" s="112"/>
    </row>
    <row r="811" spans="3:27" x14ac:dyDescent="0.25">
      <c r="C811" s="112"/>
      <c r="D811" s="112"/>
      <c r="E811" s="113"/>
      <c r="F811" s="113"/>
      <c r="G811" s="112"/>
      <c r="H811" s="112"/>
      <c r="Z811" s="112"/>
      <c r="AA811" s="112"/>
    </row>
    <row r="812" spans="3:27" x14ac:dyDescent="0.25">
      <c r="C812" s="112"/>
      <c r="D812" s="112"/>
      <c r="E812" s="113"/>
      <c r="F812" s="113"/>
      <c r="G812" s="112"/>
      <c r="H812" s="112"/>
      <c r="Z812" s="112"/>
      <c r="AA812" s="112"/>
    </row>
    <row r="813" spans="3:27" x14ac:dyDescent="0.25">
      <c r="C813" s="112"/>
      <c r="D813" s="112"/>
      <c r="E813" s="113"/>
      <c r="F813" s="113"/>
      <c r="G813" s="112"/>
      <c r="H813" s="112"/>
      <c r="Z813" s="112"/>
      <c r="AA813" s="112"/>
    </row>
    <row r="814" spans="3:27" x14ac:dyDescent="0.25">
      <c r="C814" s="112"/>
      <c r="D814" s="112"/>
      <c r="E814" s="113"/>
      <c r="F814" s="113"/>
      <c r="G814" s="112"/>
      <c r="H814" s="112"/>
      <c r="Z814" s="112"/>
      <c r="AA814" s="112"/>
    </row>
    <row r="815" spans="3:27" x14ac:dyDescent="0.25">
      <c r="C815" s="112"/>
      <c r="D815" s="112"/>
      <c r="E815" s="113"/>
      <c r="F815" s="113"/>
      <c r="G815" s="112"/>
      <c r="H815" s="112"/>
      <c r="Z815" s="112"/>
      <c r="AA815" s="112"/>
    </row>
    <row r="816" spans="3:27" x14ac:dyDescent="0.25">
      <c r="C816" s="112"/>
      <c r="D816" s="112"/>
      <c r="E816" s="113"/>
      <c r="F816" s="113"/>
      <c r="G816" s="112"/>
      <c r="H816" s="112"/>
      <c r="Z816" s="112"/>
      <c r="AA816" s="112"/>
    </row>
    <row r="817" spans="3:27" x14ac:dyDescent="0.25">
      <c r="C817" s="112"/>
      <c r="D817" s="112"/>
      <c r="E817" s="113"/>
      <c r="F817" s="113"/>
      <c r="G817" s="112"/>
      <c r="H817" s="112"/>
      <c r="Z817" s="112"/>
      <c r="AA817" s="112"/>
    </row>
    <row r="818" spans="3:27" x14ac:dyDescent="0.25">
      <c r="C818" s="112"/>
      <c r="D818" s="112"/>
      <c r="E818" s="113"/>
      <c r="F818" s="113"/>
      <c r="G818" s="112"/>
      <c r="H818" s="112"/>
      <c r="Z818" s="112"/>
      <c r="AA818" s="112"/>
    </row>
    <row r="819" spans="3:27" x14ac:dyDescent="0.25">
      <c r="C819" s="112"/>
      <c r="D819" s="112"/>
      <c r="E819" s="113"/>
      <c r="F819" s="113"/>
      <c r="G819" s="112"/>
      <c r="H819" s="112"/>
      <c r="Z819" s="112"/>
      <c r="AA819" s="112"/>
    </row>
    <row r="820" spans="3:27" x14ac:dyDescent="0.25">
      <c r="C820" s="112"/>
      <c r="D820" s="112"/>
      <c r="E820" s="113"/>
      <c r="F820" s="113"/>
      <c r="G820" s="112"/>
      <c r="H820" s="112"/>
      <c r="Z820" s="112"/>
      <c r="AA820" s="112"/>
    </row>
    <row r="821" spans="3:27" x14ac:dyDescent="0.25">
      <c r="C821" s="112"/>
      <c r="D821" s="112"/>
      <c r="E821" s="113"/>
      <c r="F821" s="113"/>
      <c r="G821" s="112"/>
      <c r="H821" s="112"/>
      <c r="Z821" s="112"/>
      <c r="AA821" s="112"/>
    </row>
    <row r="822" spans="3:27" x14ac:dyDescent="0.25">
      <c r="C822" s="112"/>
      <c r="D822" s="112"/>
      <c r="E822" s="113"/>
      <c r="F822" s="113"/>
      <c r="G822" s="112"/>
      <c r="H822" s="112"/>
      <c r="Z822" s="112"/>
      <c r="AA822" s="112"/>
    </row>
    <row r="823" spans="3:27" x14ac:dyDescent="0.25">
      <c r="C823" s="112"/>
      <c r="D823" s="112"/>
      <c r="E823" s="113"/>
      <c r="F823" s="113"/>
      <c r="G823" s="112"/>
      <c r="H823" s="112"/>
      <c r="Z823" s="112"/>
      <c r="AA823" s="112"/>
    </row>
    <row r="824" spans="3:27" x14ac:dyDescent="0.25">
      <c r="C824" s="112"/>
      <c r="D824" s="112"/>
      <c r="E824" s="113"/>
      <c r="F824" s="113"/>
      <c r="G824" s="112"/>
      <c r="H824" s="112"/>
      <c r="Z824" s="112"/>
      <c r="AA824" s="112"/>
    </row>
    <row r="825" spans="3:27" x14ac:dyDescent="0.25">
      <c r="C825" s="112"/>
      <c r="D825" s="112"/>
      <c r="E825" s="113"/>
      <c r="F825" s="113"/>
      <c r="G825" s="112"/>
      <c r="H825" s="112"/>
      <c r="Z825" s="112"/>
      <c r="AA825" s="112"/>
    </row>
    <row r="826" spans="3:27" x14ac:dyDescent="0.25">
      <c r="C826" s="112"/>
      <c r="D826" s="112"/>
      <c r="E826" s="113"/>
      <c r="F826" s="113"/>
      <c r="G826" s="112"/>
      <c r="H826" s="112"/>
      <c r="Z826" s="112"/>
      <c r="AA826" s="112"/>
    </row>
    <row r="827" spans="3:27" x14ac:dyDescent="0.25">
      <c r="C827" s="112"/>
      <c r="D827" s="112"/>
      <c r="E827" s="113"/>
      <c r="F827" s="113"/>
      <c r="G827" s="112"/>
      <c r="H827" s="112"/>
      <c r="Z827" s="112"/>
      <c r="AA827" s="112"/>
    </row>
    <row r="828" spans="3:27" x14ac:dyDescent="0.25">
      <c r="C828" s="112"/>
      <c r="D828" s="112"/>
      <c r="E828" s="113"/>
      <c r="F828" s="113"/>
      <c r="G828" s="112"/>
      <c r="H828" s="112"/>
      <c r="Z828" s="112"/>
      <c r="AA828" s="112"/>
    </row>
    <row r="829" spans="3:27" x14ac:dyDescent="0.25">
      <c r="C829" s="112"/>
      <c r="D829" s="112"/>
      <c r="E829" s="113"/>
      <c r="F829" s="113"/>
      <c r="G829" s="112"/>
      <c r="H829" s="112"/>
      <c r="Z829" s="112"/>
      <c r="AA829" s="112"/>
    </row>
    <row r="830" spans="3:27" x14ac:dyDescent="0.25">
      <c r="C830" s="112"/>
      <c r="D830" s="112"/>
      <c r="E830" s="113"/>
      <c r="F830" s="113"/>
      <c r="G830" s="112"/>
      <c r="H830" s="112"/>
      <c r="Z830" s="112"/>
      <c r="AA830" s="112"/>
    </row>
    <row r="831" spans="3:27" x14ac:dyDescent="0.25">
      <c r="C831" s="112"/>
      <c r="D831" s="112"/>
      <c r="E831" s="113"/>
      <c r="F831" s="113"/>
      <c r="G831" s="112"/>
      <c r="H831" s="112"/>
      <c r="Z831" s="112"/>
      <c r="AA831" s="112"/>
    </row>
    <row r="832" spans="3:27" x14ac:dyDescent="0.25">
      <c r="C832" s="112"/>
      <c r="D832" s="112"/>
      <c r="E832" s="113"/>
      <c r="F832" s="113"/>
      <c r="G832" s="112"/>
      <c r="H832" s="112"/>
      <c r="Z832" s="112"/>
      <c r="AA832" s="112"/>
    </row>
    <row r="833" spans="3:27" x14ac:dyDescent="0.25">
      <c r="C833" s="112"/>
      <c r="D833" s="112"/>
      <c r="E833" s="113"/>
      <c r="F833" s="113"/>
      <c r="G833" s="112"/>
      <c r="H833" s="112"/>
      <c r="Z833" s="112"/>
      <c r="AA833" s="112"/>
    </row>
    <row r="834" spans="3:27" x14ac:dyDescent="0.25">
      <c r="C834" s="112"/>
      <c r="D834" s="112"/>
      <c r="E834" s="113"/>
      <c r="F834" s="113"/>
      <c r="G834" s="112"/>
      <c r="H834" s="112"/>
      <c r="Z834" s="112"/>
      <c r="AA834" s="112"/>
    </row>
    <row r="835" spans="3:27" x14ac:dyDescent="0.25">
      <c r="C835" s="112"/>
      <c r="D835" s="112"/>
      <c r="E835" s="113"/>
      <c r="F835" s="113"/>
      <c r="G835" s="112"/>
      <c r="H835" s="112"/>
      <c r="Z835" s="112"/>
      <c r="AA835" s="112"/>
    </row>
    <row r="836" spans="3:27" x14ac:dyDescent="0.25">
      <c r="C836" s="112"/>
      <c r="D836" s="112"/>
      <c r="E836" s="113"/>
      <c r="F836" s="113"/>
      <c r="G836" s="112"/>
      <c r="H836" s="112"/>
      <c r="Z836" s="112"/>
      <c r="AA836" s="112"/>
    </row>
    <row r="837" spans="3:27" x14ac:dyDescent="0.25">
      <c r="C837" s="112"/>
      <c r="D837" s="112"/>
      <c r="E837" s="113"/>
      <c r="F837" s="113"/>
      <c r="G837" s="112"/>
      <c r="H837" s="112"/>
      <c r="Z837" s="112"/>
      <c r="AA837" s="112"/>
    </row>
    <row r="838" spans="3:27" x14ac:dyDescent="0.25">
      <c r="C838" s="112"/>
      <c r="D838" s="112"/>
      <c r="E838" s="113"/>
      <c r="F838" s="113"/>
      <c r="G838" s="112"/>
      <c r="H838" s="112"/>
      <c r="Z838" s="112"/>
      <c r="AA838" s="112"/>
    </row>
    <row r="839" spans="3:27" x14ac:dyDescent="0.25">
      <c r="C839" s="112"/>
      <c r="D839" s="112"/>
      <c r="E839" s="113"/>
      <c r="F839" s="113"/>
      <c r="G839" s="112"/>
      <c r="H839" s="112"/>
      <c r="Z839" s="112"/>
      <c r="AA839" s="112"/>
    </row>
    <row r="840" spans="3:27" x14ac:dyDescent="0.25">
      <c r="C840" s="112"/>
      <c r="D840" s="112"/>
      <c r="E840" s="113"/>
      <c r="F840" s="113"/>
      <c r="G840" s="112"/>
      <c r="H840" s="112"/>
      <c r="Z840" s="112"/>
      <c r="AA840" s="112"/>
    </row>
    <row r="841" spans="3:27" x14ac:dyDescent="0.25">
      <c r="C841" s="112"/>
      <c r="D841" s="112"/>
      <c r="E841" s="113"/>
      <c r="F841" s="113"/>
      <c r="G841" s="112"/>
      <c r="H841" s="112"/>
      <c r="Z841" s="112"/>
      <c r="AA841" s="112"/>
    </row>
    <row r="842" spans="3:27" x14ac:dyDescent="0.25">
      <c r="C842" s="112"/>
      <c r="D842" s="112"/>
      <c r="E842" s="113"/>
      <c r="F842" s="113"/>
      <c r="G842" s="112"/>
      <c r="H842" s="112"/>
      <c r="Z842" s="112"/>
      <c r="AA842" s="112"/>
    </row>
    <row r="843" spans="3:27" x14ac:dyDescent="0.25">
      <c r="C843" s="112"/>
      <c r="D843" s="112"/>
      <c r="E843" s="113"/>
      <c r="F843" s="113"/>
      <c r="G843" s="112"/>
      <c r="H843" s="112"/>
      <c r="Z843" s="112"/>
      <c r="AA843" s="112"/>
    </row>
    <row r="844" spans="3:27" x14ac:dyDescent="0.25">
      <c r="C844" s="112"/>
      <c r="D844" s="112"/>
      <c r="E844" s="113"/>
      <c r="F844" s="113"/>
      <c r="G844" s="112"/>
      <c r="H844" s="112"/>
      <c r="Z844" s="112"/>
      <c r="AA844" s="112"/>
    </row>
    <row r="845" spans="3:27" x14ac:dyDescent="0.25">
      <c r="C845" s="112"/>
      <c r="D845" s="112"/>
      <c r="E845" s="113"/>
      <c r="F845" s="113"/>
      <c r="G845" s="112"/>
      <c r="H845" s="112"/>
      <c r="Z845" s="112"/>
      <c r="AA845" s="112"/>
    </row>
    <row r="846" spans="3:27" x14ac:dyDescent="0.25">
      <c r="C846" s="112"/>
      <c r="D846" s="112"/>
      <c r="E846" s="113"/>
      <c r="F846" s="113"/>
      <c r="G846" s="112"/>
      <c r="H846" s="112"/>
      <c r="Z846" s="112"/>
      <c r="AA846" s="112"/>
    </row>
    <row r="847" spans="3:27" x14ac:dyDescent="0.25">
      <c r="C847" s="112"/>
      <c r="D847" s="112"/>
      <c r="E847" s="113"/>
      <c r="F847" s="113"/>
      <c r="G847" s="112"/>
      <c r="H847" s="112"/>
      <c r="Z847" s="112"/>
      <c r="AA847" s="112"/>
    </row>
    <row r="848" spans="3:27" x14ac:dyDescent="0.25">
      <c r="C848" s="112"/>
      <c r="D848" s="112"/>
      <c r="E848" s="113"/>
      <c r="F848" s="113"/>
      <c r="G848" s="112"/>
      <c r="H848" s="112"/>
      <c r="Z848" s="112"/>
      <c r="AA848" s="112"/>
    </row>
    <row r="849" spans="3:27" x14ac:dyDescent="0.25">
      <c r="C849" s="112"/>
      <c r="D849" s="112"/>
      <c r="E849" s="113"/>
      <c r="F849" s="113"/>
      <c r="G849" s="112"/>
      <c r="H849" s="112"/>
      <c r="Z849" s="112"/>
      <c r="AA849" s="112"/>
    </row>
    <row r="850" spans="3:27" x14ac:dyDescent="0.25">
      <c r="C850" s="112"/>
      <c r="D850" s="112"/>
      <c r="E850" s="113"/>
      <c r="F850" s="113"/>
      <c r="G850" s="112"/>
      <c r="H850" s="112"/>
      <c r="Z850" s="112"/>
      <c r="AA850" s="112"/>
    </row>
    <row r="851" spans="3:27" x14ac:dyDescent="0.25">
      <c r="C851" s="112"/>
      <c r="D851" s="112"/>
      <c r="E851" s="113"/>
      <c r="F851" s="113"/>
      <c r="G851" s="112"/>
      <c r="H851" s="112"/>
      <c r="Z851" s="112"/>
      <c r="AA851" s="112"/>
    </row>
    <row r="852" spans="3:27" x14ac:dyDescent="0.25">
      <c r="C852" s="112"/>
      <c r="D852" s="112"/>
      <c r="E852" s="113"/>
      <c r="F852" s="113"/>
      <c r="G852" s="112"/>
      <c r="H852" s="112"/>
      <c r="Z852" s="112"/>
      <c r="AA852" s="112"/>
    </row>
    <row r="853" spans="3:27" x14ac:dyDescent="0.25">
      <c r="C853" s="112"/>
      <c r="D853" s="112"/>
      <c r="E853" s="113"/>
      <c r="F853" s="113"/>
      <c r="G853" s="112"/>
      <c r="H853" s="112"/>
      <c r="Z853" s="112"/>
      <c r="AA853" s="112"/>
    </row>
    <row r="854" spans="3:27" x14ac:dyDescent="0.25">
      <c r="C854" s="112"/>
      <c r="D854" s="112"/>
      <c r="E854" s="113"/>
      <c r="F854" s="113"/>
      <c r="G854" s="112"/>
      <c r="H854" s="112"/>
      <c r="Z854" s="112"/>
      <c r="AA854" s="112"/>
    </row>
    <row r="855" spans="3:27" x14ac:dyDescent="0.25">
      <c r="C855" s="112"/>
      <c r="D855" s="112"/>
      <c r="E855" s="113"/>
      <c r="F855" s="113"/>
      <c r="G855" s="112"/>
      <c r="H855" s="112"/>
      <c r="Z855" s="112"/>
      <c r="AA855" s="112"/>
    </row>
    <row r="856" spans="3:27" x14ac:dyDescent="0.25">
      <c r="C856" s="112"/>
      <c r="D856" s="112"/>
      <c r="E856" s="113"/>
      <c r="F856" s="113"/>
      <c r="G856" s="112"/>
      <c r="H856" s="112"/>
      <c r="Z856" s="112"/>
      <c r="AA856" s="112"/>
    </row>
    <row r="857" spans="3:27" x14ac:dyDescent="0.25">
      <c r="C857" s="112"/>
      <c r="D857" s="112"/>
      <c r="E857" s="113"/>
      <c r="F857" s="113"/>
      <c r="G857" s="112"/>
      <c r="H857" s="112"/>
      <c r="Z857" s="112"/>
      <c r="AA857" s="112"/>
    </row>
    <row r="858" spans="3:27" x14ac:dyDescent="0.25">
      <c r="C858" s="112"/>
      <c r="D858" s="112"/>
      <c r="E858" s="113"/>
      <c r="F858" s="113"/>
      <c r="G858" s="112"/>
      <c r="H858" s="112"/>
      <c r="Z858" s="112"/>
      <c r="AA858" s="112"/>
    </row>
    <row r="859" spans="3:27" x14ac:dyDescent="0.25">
      <c r="C859" s="112"/>
      <c r="D859" s="112"/>
      <c r="E859" s="113"/>
      <c r="F859" s="113"/>
      <c r="G859" s="112"/>
      <c r="H859" s="112"/>
      <c r="Z859" s="112"/>
      <c r="AA859" s="112"/>
    </row>
    <row r="860" spans="3:27" x14ac:dyDescent="0.25">
      <c r="C860" s="112"/>
      <c r="D860" s="112"/>
      <c r="E860" s="113"/>
      <c r="F860" s="113"/>
      <c r="G860" s="112"/>
      <c r="H860" s="112"/>
      <c r="Z860" s="112"/>
      <c r="AA860" s="112"/>
    </row>
    <row r="861" spans="3:27" x14ac:dyDescent="0.25">
      <c r="C861" s="112"/>
      <c r="D861" s="112"/>
      <c r="E861" s="113"/>
      <c r="F861" s="113"/>
      <c r="G861" s="112"/>
      <c r="H861" s="112"/>
      <c r="Z861" s="112"/>
      <c r="AA861" s="112"/>
    </row>
    <row r="862" spans="3:27" x14ac:dyDescent="0.25">
      <c r="C862" s="112"/>
      <c r="D862" s="112"/>
      <c r="E862" s="113"/>
      <c r="F862" s="113"/>
      <c r="G862" s="112"/>
      <c r="H862" s="112"/>
      <c r="Z862" s="112"/>
      <c r="AA862" s="112"/>
    </row>
    <row r="863" spans="3:27" x14ac:dyDescent="0.25">
      <c r="C863" s="112"/>
      <c r="D863" s="112"/>
      <c r="E863" s="113"/>
      <c r="F863" s="113"/>
      <c r="G863" s="112"/>
      <c r="H863" s="112"/>
      <c r="Z863" s="112"/>
      <c r="AA863" s="112"/>
    </row>
    <row r="864" spans="3:27" x14ac:dyDescent="0.25">
      <c r="C864" s="112"/>
      <c r="D864" s="112"/>
      <c r="E864" s="113"/>
      <c r="F864" s="113"/>
      <c r="G864" s="112"/>
      <c r="H864" s="112"/>
      <c r="Z864" s="112"/>
      <c r="AA864" s="112"/>
    </row>
    <row r="865" spans="3:27" x14ac:dyDescent="0.25">
      <c r="C865" s="112"/>
      <c r="D865" s="112"/>
      <c r="E865" s="113"/>
      <c r="F865" s="113"/>
      <c r="G865" s="112"/>
      <c r="H865" s="112"/>
      <c r="Z865" s="112"/>
      <c r="AA865" s="112"/>
    </row>
    <row r="866" spans="3:27" x14ac:dyDescent="0.25">
      <c r="C866" s="112"/>
      <c r="D866" s="112"/>
      <c r="E866" s="113"/>
      <c r="F866" s="113"/>
      <c r="G866" s="112"/>
      <c r="H866" s="112"/>
      <c r="Z866" s="112"/>
      <c r="AA866" s="112"/>
    </row>
    <row r="867" spans="3:27" x14ac:dyDescent="0.25">
      <c r="C867" s="112"/>
      <c r="D867" s="112"/>
      <c r="E867" s="113"/>
      <c r="F867" s="113"/>
      <c r="G867" s="112"/>
      <c r="H867" s="112"/>
      <c r="Z867" s="112"/>
      <c r="AA867" s="112"/>
    </row>
    <row r="868" spans="3:27" x14ac:dyDescent="0.25">
      <c r="C868" s="112"/>
      <c r="D868" s="112"/>
      <c r="E868" s="113"/>
      <c r="F868" s="113"/>
      <c r="G868" s="112"/>
      <c r="H868" s="112"/>
      <c r="Z868" s="112"/>
      <c r="AA868" s="112"/>
    </row>
    <row r="869" spans="3:27" x14ac:dyDescent="0.25">
      <c r="C869" s="112"/>
      <c r="D869" s="112"/>
      <c r="E869" s="113"/>
      <c r="F869" s="113"/>
      <c r="G869" s="112"/>
      <c r="H869" s="112"/>
      <c r="Z869" s="112"/>
      <c r="AA869" s="112"/>
    </row>
    <row r="870" spans="3:27" x14ac:dyDescent="0.25">
      <c r="C870" s="112"/>
      <c r="D870" s="112"/>
      <c r="E870" s="113"/>
      <c r="F870" s="113"/>
      <c r="G870" s="112"/>
      <c r="H870" s="112"/>
      <c r="Z870" s="112"/>
      <c r="AA870" s="112"/>
    </row>
    <row r="871" spans="3:27" x14ac:dyDescent="0.25">
      <c r="C871" s="112"/>
      <c r="D871" s="112"/>
      <c r="E871" s="113"/>
      <c r="F871" s="113"/>
      <c r="G871" s="112"/>
      <c r="H871" s="112"/>
      <c r="Z871" s="112"/>
      <c r="AA871" s="112"/>
    </row>
    <row r="872" spans="3:27" x14ac:dyDescent="0.25">
      <c r="C872" s="112"/>
      <c r="D872" s="112"/>
      <c r="E872" s="113"/>
      <c r="F872" s="113"/>
      <c r="G872" s="112"/>
      <c r="H872" s="112"/>
      <c r="Z872" s="112"/>
      <c r="AA872" s="112"/>
    </row>
    <row r="873" spans="3:27" x14ac:dyDescent="0.25">
      <c r="C873" s="112"/>
      <c r="D873" s="112"/>
      <c r="E873" s="113"/>
      <c r="F873" s="113"/>
      <c r="G873" s="112"/>
      <c r="H873" s="112"/>
      <c r="Z873" s="112"/>
      <c r="AA873" s="112"/>
    </row>
    <row r="874" spans="3:27" x14ac:dyDescent="0.25">
      <c r="C874" s="112"/>
      <c r="D874" s="112"/>
      <c r="E874" s="113"/>
      <c r="F874" s="113"/>
      <c r="G874" s="112"/>
      <c r="H874" s="112"/>
      <c r="Z874" s="112"/>
      <c r="AA874" s="112"/>
    </row>
    <row r="875" spans="3:27" x14ac:dyDescent="0.25">
      <c r="C875" s="112"/>
      <c r="D875" s="112"/>
      <c r="E875" s="113"/>
      <c r="F875" s="113"/>
      <c r="G875" s="112"/>
      <c r="H875" s="112"/>
      <c r="Z875" s="112"/>
      <c r="AA875" s="112"/>
    </row>
    <row r="876" spans="3:27" x14ac:dyDescent="0.25">
      <c r="C876" s="112"/>
      <c r="D876" s="112"/>
      <c r="E876" s="113"/>
      <c r="F876" s="113"/>
      <c r="G876" s="112"/>
      <c r="H876" s="112"/>
      <c r="Z876" s="112"/>
      <c r="AA876" s="112"/>
    </row>
    <row r="877" spans="3:27" x14ac:dyDescent="0.25">
      <c r="C877" s="112"/>
      <c r="D877" s="112"/>
      <c r="E877" s="113"/>
      <c r="F877" s="113"/>
      <c r="G877" s="112"/>
      <c r="H877" s="112"/>
      <c r="Z877" s="112"/>
      <c r="AA877" s="112"/>
    </row>
    <row r="878" spans="3:27" x14ac:dyDescent="0.25">
      <c r="C878" s="112"/>
      <c r="D878" s="112"/>
      <c r="E878" s="113"/>
      <c r="F878" s="113"/>
      <c r="G878" s="112"/>
      <c r="H878" s="112"/>
      <c r="Z878" s="112"/>
      <c r="AA878" s="112"/>
    </row>
    <row r="879" spans="3:27" x14ac:dyDescent="0.25">
      <c r="C879" s="112"/>
      <c r="D879" s="112"/>
      <c r="E879" s="113"/>
      <c r="F879" s="113"/>
      <c r="G879" s="112"/>
      <c r="H879" s="112"/>
      <c r="Z879" s="112"/>
      <c r="AA879" s="112"/>
    </row>
    <row r="880" spans="3:27" x14ac:dyDescent="0.25">
      <c r="C880" s="112"/>
      <c r="D880" s="112"/>
      <c r="E880" s="113"/>
      <c r="F880" s="113"/>
      <c r="G880" s="112"/>
      <c r="H880" s="112"/>
      <c r="Z880" s="112"/>
      <c r="AA880" s="112"/>
    </row>
    <row r="881" spans="3:27" x14ac:dyDescent="0.25">
      <c r="C881" s="112"/>
      <c r="D881" s="112"/>
      <c r="E881" s="113"/>
      <c r="F881" s="113"/>
      <c r="G881" s="112"/>
      <c r="H881" s="112"/>
      <c r="Z881" s="112"/>
      <c r="AA881" s="112"/>
    </row>
    <row r="882" spans="3:27" x14ac:dyDescent="0.25">
      <c r="C882" s="112"/>
      <c r="D882" s="112"/>
      <c r="E882" s="113"/>
      <c r="F882" s="113"/>
      <c r="G882" s="112"/>
      <c r="H882" s="112"/>
      <c r="Z882" s="112"/>
      <c r="AA882" s="112"/>
    </row>
    <row r="883" spans="3:27" x14ac:dyDescent="0.25">
      <c r="C883" s="112"/>
      <c r="D883" s="112"/>
      <c r="E883" s="113"/>
      <c r="F883" s="113"/>
      <c r="G883" s="112"/>
      <c r="H883" s="112"/>
      <c r="Z883" s="112"/>
      <c r="AA883" s="112"/>
    </row>
    <row r="884" spans="3:27" x14ac:dyDescent="0.25">
      <c r="C884" s="112"/>
      <c r="D884" s="112"/>
      <c r="E884" s="113"/>
      <c r="F884" s="113"/>
      <c r="G884" s="112"/>
      <c r="H884" s="112"/>
      <c r="Z884" s="112"/>
      <c r="AA884" s="112"/>
    </row>
    <row r="885" spans="3:27" x14ac:dyDescent="0.25">
      <c r="C885" s="112"/>
      <c r="D885" s="112"/>
      <c r="E885" s="113"/>
      <c r="F885" s="113"/>
      <c r="G885" s="112"/>
      <c r="H885" s="112"/>
      <c r="Z885" s="112"/>
      <c r="AA885" s="112"/>
    </row>
    <row r="886" spans="3:27" x14ac:dyDescent="0.25">
      <c r="C886" s="112"/>
      <c r="D886" s="112"/>
      <c r="E886" s="113"/>
      <c r="F886" s="113"/>
      <c r="G886" s="112"/>
      <c r="H886" s="112"/>
      <c r="Z886" s="112"/>
      <c r="AA886" s="112"/>
    </row>
    <row r="887" spans="3:27" x14ac:dyDescent="0.25">
      <c r="C887" s="112"/>
      <c r="D887" s="112"/>
      <c r="E887" s="113"/>
      <c r="F887" s="113"/>
      <c r="G887" s="112"/>
      <c r="H887" s="112"/>
      <c r="Z887" s="112"/>
      <c r="AA887" s="112"/>
    </row>
    <row r="888" spans="3:27" x14ac:dyDescent="0.25">
      <c r="C888" s="112"/>
      <c r="D888" s="112"/>
      <c r="E888" s="113"/>
      <c r="F888" s="113"/>
      <c r="G888" s="112"/>
      <c r="H888" s="112"/>
      <c r="Z888" s="112"/>
      <c r="AA888" s="112"/>
    </row>
    <row r="889" spans="3:27" x14ac:dyDescent="0.25">
      <c r="C889" s="112"/>
      <c r="D889" s="112"/>
      <c r="E889" s="113"/>
      <c r="F889" s="113"/>
      <c r="G889" s="112"/>
      <c r="H889" s="112"/>
      <c r="Z889" s="112"/>
      <c r="AA889" s="112"/>
    </row>
    <row r="890" spans="3:27" x14ac:dyDescent="0.25">
      <c r="C890" s="112"/>
      <c r="D890" s="112"/>
      <c r="E890" s="113"/>
      <c r="F890" s="113"/>
      <c r="G890" s="112"/>
      <c r="H890" s="112"/>
      <c r="Z890" s="112"/>
      <c r="AA890" s="112"/>
    </row>
    <row r="891" spans="3:27" x14ac:dyDescent="0.25">
      <c r="C891" s="112"/>
      <c r="D891" s="112"/>
      <c r="E891" s="113"/>
      <c r="F891" s="113"/>
      <c r="G891" s="112"/>
      <c r="H891" s="112"/>
      <c r="Z891" s="112"/>
      <c r="AA891" s="112"/>
    </row>
    <row r="892" spans="3:27" x14ac:dyDescent="0.25">
      <c r="C892" s="112"/>
      <c r="D892" s="112"/>
      <c r="E892" s="113"/>
      <c r="F892" s="113"/>
      <c r="G892" s="112"/>
      <c r="H892" s="112"/>
      <c r="Z892" s="112"/>
      <c r="AA892" s="112"/>
    </row>
    <row r="893" spans="3:27" x14ac:dyDescent="0.25">
      <c r="C893" s="112"/>
      <c r="D893" s="112"/>
      <c r="E893" s="113"/>
      <c r="F893" s="113"/>
      <c r="G893" s="112"/>
      <c r="H893" s="112"/>
      <c r="Z893" s="112"/>
      <c r="AA893" s="112"/>
    </row>
    <row r="894" spans="3:27" x14ac:dyDescent="0.25">
      <c r="C894" s="112"/>
      <c r="D894" s="112"/>
      <c r="E894" s="113"/>
      <c r="F894" s="113"/>
      <c r="G894" s="112"/>
      <c r="H894" s="112"/>
      <c r="Z894" s="112"/>
      <c r="AA894" s="112"/>
    </row>
    <row r="895" spans="3:27" x14ac:dyDescent="0.25">
      <c r="C895" s="112"/>
      <c r="D895" s="112"/>
      <c r="E895" s="113"/>
      <c r="F895" s="113"/>
      <c r="G895" s="112"/>
      <c r="H895" s="112"/>
      <c r="Z895" s="112"/>
      <c r="AA895" s="112"/>
    </row>
    <row r="896" spans="3:27" x14ac:dyDescent="0.25">
      <c r="C896" s="112"/>
      <c r="D896" s="112"/>
      <c r="E896" s="113"/>
      <c r="F896" s="113"/>
      <c r="G896" s="112"/>
      <c r="H896" s="112"/>
      <c r="Z896" s="112"/>
      <c r="AA896" s="112"/>
    </row>
    <row r="897" spans="3:27" x14ac:dyDescent="0.25">
      <c r="C897" s="112"/>
      <c r="D897" s="112"/>
      <c r="E897" s="113"/>
      <c r="F897" s="113"/>
      <c r="G897" s="112"/>
      <c r="H897" s="112"/>
      <c r="Z897" s="112"/>
      <c r="AA897" s="112"/>
    </row>
    <row r="898" spans="3:27" x14ac:dyDescent="0.25">
      <c r="C898" s="112"/>
      <c r="D898" s="112"/>
      <c r="E898" s="113"/>
      <c r="F898" s="113"/>
      <c r="G898" s="112"/>
      <c r="H898" s="112"/>
      <c r="Z898" s="112"/>
      <c r="AA898" s="112"/>
    </row>
    <row r="899" spans="3:27" x14ac:dyDescent="0.25">
      <c r="C899" s="112"/>
      <c r="D899" s="112"/>
      <c r="E899" s="113"/>
      <c r="F899" s="113"/>
      <c r="G899" s="112"/>
      <c r="H899" s="112"/>
      <c r="Z899" s="112"/>
      <c r="AA899" s="112"/>
    </row>
    <row r="900" spans="3:27" x14ac:dyDescent="0.25">
      <c r="C900" s="112"/>
      <c r="D900" s="112"/>
      <c r="E900" s="113"/>
      <c r="F900" s="113"/>
      <c r="G900" s="112"/>
      <c r="H900" s="112"/>
      <c r="Z900" s="112"/>
      <c r="AA900" s="112"/>
    </row>
    <row r="901" spans="3:27" x14ac:dyDescent="0.25">
      <c r="C901" s="112"/>
      <c r="D901" s="112"/>
      <c r="E901" s="113"/>
      <c r="F901" s="113"/>
      <c r="G901" s="112"/>
      <c r="H901" s="112"/>
      <c r="Z901" s="112"/>
      <c r="AA901" s="112"/>
    </row>
    <row r="902" spans="3:27" x14ac:dyDescent="0.25">
      <c r="C902" s="112"/>
      <c r="D902" s="112"/>
      <c r="E902" s="113"/>
      <c r="F902" s="113"/>
      <c r="G902" s="112"/>
      <c r="H902" s="112"/>
      <c r="Z902" s="112"/>
      <c r="AA902" s="112"/>
    </row>
    <row r="903" spans="3:27" x14ac:dyDescent="0.25">
      <c r="C903" s="112"/>
      <c r="D903" s="112"/>
      <c r="E903" s="113"/>
      <c r="F903" s="113"/>
      <c r="G903" s="112"/>
      <c r="H903" s="112"/>
      <c r="Z903" s="112"/>
      <c r="AA903" s="112"/>
    </row>
    <row r="904" spans="3:27" x14ac:dyDescent="0.25">
      <c r="C904" s="112"/>
      <c r="D904" s="112"/>
      <c r="E904" s="113"/>
      <c r="F904" s="113"/>
      <c r="G904" s="112"/>
      <c r="H904" s="112"/>
      <c r="Z904" s="112"/>
      <c r="AA904" s="112"/>
    </row>
    <row r="905" spans="3:27" x14ac:dyDescent="0.25">
      <c r="C905" s="112"/>
      <c r="D905" s="112"/>
      <c r="E905" s="113"/>
      <c r="F905" s="113"/>
      <c r="G905" s="112"/>
      <c r="H905" s="112"/>
      <c r="Z905" s="112"/>
      <c r="AA905" s="112"/>
    </row>
    <row r="906" spans="3:27" x14ac:dyDescent="0.25">
      <c r="C906" s="112"/>
      <c r="D906" s="112"/>
      <c r="E906" s="113"/>
      <c r="F906" s="113"/>
      <c r="G906" s="112"/>
      <c r="H906" s="112"/>
      <c r="Z906" s="112"/>
      <c r="AA906" s="112"/>
    </row>
    <row r="907" spans="3:27" x14ac:dyDescent="0.25">
      <c r="C907" s="112"/>
      <c r="D907" s="112"/>
      <c r="E907" s="113"/>
      <c r="F907" s="113"/>
      <c r="G907" s="112"/>
      <c r="H907" s="112"/>
      <c r="Z907" s="112"/>
      <c r="AA907" s="112"/>
    </row>
    <row r="908" spans="3:27" x14ac:dyDescent="0.25">
      <c r="C908" s="112"/>
      <c r="D908" s="112"/>
      <c r="E908" s="113"/>
      <c r="F908" s="113"/>
      <c r="G908" s="112"/>
      <c r="H908" s="112"/>
      <c r="Z908" s="112"/>
      <c r="AA908" s="112"/>
    </row>
    <row r="909" spans="3:27" x14ac:dyDescent="0.25">
      <c r="C909" s="112"/>
      <c r="D909" s="112"/>
      <c r="E909" s="113"/>
      <c r="F909" s="113"/>
      <c r="G909" s="112"/>
      <c r="H909" s="112"/>
      <c r="Z909" s="112"/>
      <c r="AA909" s="112"/>
    </row>
    <row r="910" spans="3:27" x14ac:dyDescent="0.25">
      <c r="C910" s="112"/>
      <c r="D910" s="112"/>
      <c r="E910" s="113"/>
      <c r="F910" s="113"/>
      <c r="G910" s="112"/>
      <c r="H910" s="112"/>
      <c r="Z910" s="112"/>
      <c r="AA910" s="112"/>
    </row>
    <row r="911" spans="3:27" x14ac:dyDescent="0.25">
      <c r="C911" s="112"/>
      <c r="D911" s="112"/>
      <c r="E911" s="113"/>
      <c r="F911" s="113"/>
      <c r="G911" s="112"/>
      <c r="H911" s="112"/>
      <c r="Z911" s="112"/>
      <c r="AA911" s="112"/>
    </row>
    <row r="912" spans="3:27" x14ac:dyDescent="0.25">
      <c r="C912" s="112"/>
      <c r="D912" s="112"/>
      <c r="E912" s="113"/>
      <c r="F912" s="113"/>
      <c r="G912" s="112"/>
      <c r="H912" s="112"/>
      <c r="Z912" s="112"/>
      <c r="AA912" s="112"/>
    </row>
    <row r="913" spans="3:27" x14ac:dyDescent="0.25">
      <c r="C913" s="112"/>
      <c r="D913" s="112"/>
      <c r="E913" s="113"/>
      <c r="F913" s="113"/>
      <c r="G913" s="112"/>
      <c r="H913" s="112"/>
      <c r="Z913" s="112"/>
      <c r="AA913" s="112"/>
    </row>
    <row r="914" spans="3:27" x14ac:dyDescent="0.25">
      <c r="C914" s="112"/>
      <c r="D914" s="112"/>
      <c r="E914" s="113"/>
      <c r="F914" s="113"/>
      <c r="G914" s="112"/>
      <c r="H914" s="112"/>
      <c r="Z914" s="112"/>
      <c r="AA914" s="112"/>
    </row>
    <row r="915" spans="3:27" x14ac:dyDescent="0.25">
      <c r="C915" s="112"/>
      <c r="D915" s="112"/>
      <c r="E915" s="113"/>
      <c r="F915" s="113"/>
      <c r="G915" s="112"/>
      <c r="H915" s="112"/>
      <c r="Z915" s="112"/>
      <c r="AA915" s="112"/>
    </row>
    <row r="916" spans="3:27" x14ac:dyDescent="0.25">
      <c r="C916" s="112"/>
      <c r="D916" s="112"/>
      <c r="E916" s="113"/>
      <c r="F916" s="113"/>
      <c r="G916" s="112"/>
      <c r="H916" s="112"/>
      <c r="Z916" s="112"/>
      <c r="AA916" s="112"/>
    </row>
    <row r="917" spans="3:27" x14ac:dyDescent="0.25">
      <c r="C917" s="112"/>
      <c r="D917" s="112"/>
      <c r="E917" s="113"/>
      <c r="F917" s="113"/>
      <c r="G917" s="112"/>
      <c r="H917" s="112"/>
      <c r="Z917" s="112"/>
      <c r="AA917" s="112"/>
    </row>
    <row r="918" spans="3:27" x14ac:dyDescent="0.25">
      <c r="C918" s="112"/>
      <c r="D918" s="112"/>
      <c r="E918" s="113"/>
      <c r="F918" s="113"/>
      <c r="G918" s="112"/>
      <c r="H918" s="112"/>
      <c r="Z918" s="112"/>
      <c r="AA918" s="112"/>
    </row>
    <row r="919" spans="3:27" x14ac:dyDescent="0.25">
      <c r="C919" s="112"/>
      <c r="D919" s="112"/>
      <c r="E919" s="113"/>
      <c r="F919" s="113"/>
      <c r="G919" s="112"/>
      <c r="H919" s="112"/>
      <c r="Z919" s="112"/>
      <c r="AA919" s="112"/>
    </row>
    <row r="920" spans="3:27" x14ac:dyDescent="0.25">
      <c r="C920" s="112"/>
      <c r="D920" s="112"/>
      <c r="E920" s="113"/>
      <c r="F920" s="113"/>
      <c r="G920" s="112"/>
      <c r="H920" s="112"/>
      <c r="Z920" s="112"/>
      <c r="AA920" s="112"/>
    </row>
    <row r="921" spans="3:27" x14ac:dyDescent="0.25">
      <c r="C921" s="112"/>
      <c r="D921" s="112"/>
      <c r="E921" s="113"/>
      <c r="F921" s="113"/>
      <c r="G921" s="112"/>
      <c r="H921" s="112"/>
      <c r="Z921" s="112"/>
      <c r="AA921" s="112"/>
    </row>
    <row r="922" spans="3:27" x14ac:dyDescent="0.25">
      <c r="C922" s="112"/>
      <c r="D922" s="112"/>
      <c r="E922" s="113"/>
      <c r="F922" s="113"/>
      <c r="G922" s="112"/>
      <c r="H922" s="112"/>
      <c r="Z922" s="112"/>
      <c r="AA922" s="112"/>
    </row>
    <row r="923" spans="3:27" x14ac:dyDescent="0.25">
      <c r="C923" s="112"/>
      <c r="D923" s="112"/>
      <c r="E923" s="113"/>
      <c r="F923" s="113"/>
      <c r="G923" s="112"/>
      <c r="H923" s="112"/>
      <c r="Z923" s="112"/>
      <c r="AA923" s="112"/>
    </row>
    <row r="924" spans="3:27" x14ac:dyDescent="0.25">
      <c r="C924" s="112"/>
      <c r="D924" s="112"/>
      <c r="E924" s="113"/>
      <c r="F924" s="113"/>
      <c r="G924" s="112"/>
      <c r="H924" s="112"/>
      <c r="Z924" s="112"/>
      <c r="AA924" s="112"/>
    </row>
    <row r="925" spans="3:27" x14ac:dyDescent="0.25">
      <c r="C925" s="112"/>
      <c r="D925" s="112"/>
      <c r="E925" s="113"/>
      <c r="F925" s="113"/>
      <c r="G925" s="112"/>
      <c r="H925" s="112"/>
      <c r="Z925" s="112"/>
      <c r="AA925" s="112"/>
    </row>
    <row r="926" spans="3:27" x14ac:dyDescent="0.25">
      <c r="C926" s="112"/>
      <c r="D926" s="112"/>
      <c r="E926" s="113"/>
      <c r="F926" s="113"/>
      <c r="G926" s="112"/>
      <c r="H926" s="112"/>
      <c r="Z926" s="112"/>
      <c r="AA926" s="112"/>
    </row>
    <row r="927" spans="3:27" x14ac:dyDescent="0.25">
      <c r="C927" s="112"/>
      <c r="D927" s="112"/>
      <c r="E927" s="113"/>
      <c r="F927" s="113"/>
      <c r="G927" s="112"/>
      <c r="H927" s="112"/>
      <c r="Z927" s="112"/>
      <c r="AA927" s="112"/>
    </row>
    <row r="928" spans="3:27" x14ac:dyDescent="0.25">
      <c r="C928" s="112"/>
      <c r="D928" s="112"/>
      <c r="E928" s="113"/>
      <c r="F928" s="113"/>
      <c r="G928" s="112"/>
      <c r="H928" s="112"/>
      <c r="Z928" s="112"/>
      <c r="AA928" s="112"/>
    </row>
    <row r="929" spans="3:27" x14ac:dyDescent="0.25">
      <c r="C929" s="112"/>
      <c r="D929" s="112"/>
      <c r="E929" s="113"/>
      <c r="F929" s="113"/>
      <c r="G929" s="112"/>
      <c r="H929" s="112"/>
      <c r="Z929" s="112"/>
      <c r="AA929" s="112"/>
    </row>
    <row r="930" spans="3:27" x14ac:dyDescent="0.25">
      <c r="C930" s="112"/>
      <c r="D930" s="112"/>
      <c r="E930" s="113"/>
      <c r="F930" s="113"/>
      <c r="G930" s="112"/>
      <c r="H930" s="112"/>
      <c r="Z930" s="112"/>
      <c r="AA930" s="112"/>
    </row>
    <row r="931" spans="3:27" x14ac:dyDescent="0.25">
      <c r="C931" s="112"/>
      <c r="D931" s="112"/>
      <c r="E931" s="113"/>
      <c r="F931" s="113"/>
      <c r="G931" s="112"/>
      <c r="H931" s="112"/>
      <c r="Z931" s="112"/>
      <c r="AA931" s="112"/>
    </row>
    <row r="932" spans="3:27" x14ac:dyDescent="0.25">
      <c r="C932" s="112"/>
      <c r="D932" s="112"/>
      <c r="E932" s="113"/>
      <c r="F932" s="113"/>
      <c r="G932" s="112"/>
      <c r="H932" s="112"/>
      <c r="Z932" s="112"/>
      <c r="AA932" s="112"/>
    </row>
    <row r="933" spans="3:27" x14ac:dyDescent="0.25">
      <c r="C933" s="112"/>
      <c r="D933" s="112"/>
      <c r="E933" s="113"/>
      <c r="F933" s="113"/>
      <c r="G933" s="112"/>
      <c r="H933" s="112"/>
      <c r="Z933" s="112"/>
      <c r="AA933" s="112"/>
    </row>
    <row r="934" spans="3:27" x14ac:dyDescent="0.25">
      <c r="C934" s="112"/>
      <c r="D934" s="112"/>
      <c r="E934" s="113"/>
      <c r="F934" s="113"/>
      <c r="G934" s="112"/>
      <c r="H934" s="112"/>
      <c r="Z934" s="112"/>
      <c r="AA934" s="112"/>
    </row>
    <row r="935" spans="3:27" x14ac:dyDescent="0.25">
      <c r="C935" s="112"/>
      <c r="D935" s="112"/>
      <c r="E935" s="113"/>
      <c r="F935" s="113"/>
      <c r="G935" s="112"/>
      <c r="H935" s="112"/>
      <c r="Z935" s="112"/>
      <c r="AA935" s="112"/>
    </row>
    <row r="936" spans="3:27" x14ac:dyDescent="0.25">
      <c r="C936" s="112"/>
      <c r="D936" s="112"/>
      <c r="E936" s="113"/>
      <c r="F936" s="113"/>
      <c r="G936" s="112"/>
      <c r="H936" s="112"/>
      <c r="Z936" s="112"/>
      <c r="AA936" s="112"/>
    </row>
    <row r="937" spans="3:27" x14ac:dyDescent="0.25">
      <c r="C937" s="112"/>
      <c r="D937" s="112"/>
      <c r="E937" s="113"/>
      <c r="F937" s="113"/>
      <c r="G937" s="112"/>
      <c r="H937" s="112"/>
      <c r="Z937" s="112"/>
      <c r="AA937" s="112"/>
    </row>
    <row r="938" spans="3:27" x14ac:dyDescent="0.25">
      <c r="C938" s="112"/>
      <c r="D938" s="112"/>
      <c r="E938" s="113"/>
      <c r="F938" s="113"/>
      <c r="G938" s="112"/>
      <c r="H938" s="112"/>
      <c r="Z938" s="112"/>
      <c r="AA938" s="112"/>
    </row>
    <row r="939" spans="3:27" x14ac:dyDescent="0.25">
      <c r="C939" s="112"/>
      <c r="D939" s="112"/>
      <c r="E939" s="113"/>
      <c r="F939" s="113"/>
      <c r="G939" s="112"/>
      <c r="H939" s="112"/>
      <c r="Z939" s="112"/>
      <c r="AA939" s="112"/>
    </row>
    <row r="940" spans="3:27" x14ac:dyDescent="0.25">
      <c r="C940" s="112"/>
      <c r="D940" s="112"/>
      <c r="E940" s="113"/>
      <c r="F940" s="113"/>
      <c r="G940" s="112"/>
      <c r="H940" s="112"/>
      <c r="Z940" s="112"/>
      <c r="AA940" s="112"/>
    </row>
    <row r="941" spans="3:27" x14ac:dyDescent="0.25">
      <c r="C941" s="112"/>
      <c r="D941" s="112"/>
      <c r="E941" s="113"/>
      <c r="F941" s="113"/>
      <c r="G941" s="112"/>
      <c r="H941" s="112"/>
      <c r="Z941" s="112"/>
      <c r="AA941" s="112"/>
    </row>
    <row r="942" spans="3:27" x14ac:dyDescent="0.25">
      <c r="C942" s="112"/>
      <c r="D942" s="112"/>
      <c r="E942" s="113"/>
      <c r="F942" s="113"/>
      <c r="G942" s="112"/>
      <c r="H942" s="112"/>
      <c r="Z942" s="112"/>
      <c r="AA942" s="112"/>
    </row>
    <row r="943" spans="3:27" x14ac:dyDescent="0.25">
      <c r="C943" s="112"/>
      <c r="D943" s="112"/>
      <c r="E943" s="113"/>
      <c r="F943" s="113"/>
      <c r="G943" s="112"/>
      <c r="H943" s="112"/>
      <c r="Z943" s="112"/>
      <c r="AA943" s="112"/>
    </row>
    <row r="944" spans="3:27" x14ac:dyDescent="0.25">
      <c r="C944" s="112"/>
      <c r="D944" s="112"/>
      <c r="E944" s="113"/>
      <c r="F944" s="113"/>
      <c r="G944" s="112"/>
      <c r="H944" s="112"/>
      <c r="Z944" s="112"/>
      <c r="AA944" s="112"/>
    </row>
    <row r="945" spans="3:27" x14ac:dyDescent="0.25">
      <c r="C945" s="112"/>
      <c r="D945" s="112"/>
      <c r="E945" s="113"/>
      <c r="F945" s="113"/>
      <c r="G945" s="112"/>
      <c r="H945" s="112"/>
      <c r="Z945" s="112"/>
      <c r="AA945" s="112"/>
    </row>
    <row r="946" spans="3:27" x14ac:dyDescent="0.25">
      <c r="C946" s="112"/>
      <c r="D946" s="112"/>
      <c r="E946" s="113"/>
      <c r="F946" s="113"/>
      <c r="G946" s="112"/>
      <c r="H946" s="112"/>
      <c r="Z946" s="112"/>
      <c r="AA946" s="112"/>
    </row>
    <row r="947" spans="3:27" x14ac:dyDescent="0.25">
      <c r="C947" s="112"/>
      <c r="D947" s="112"/>
      <c r="E947" s="113"/>
      <c r="F947" s="113"/>
      <c r="G947" s="112"/>
      <c r="H947" s="112"/>
      <c r="Z947" s="112"/>
      <c r="AA947" s="112"/>
    </row>
    <row r="948" spans="3:27" x14ac:dyDescent="0.25">
      <c r="C948" s="112"/>
      <c r="D948" s="112"/>
      <c r="E948" s="113"/>
      <c r="F948" s="113"/>
      <c r="G948" s="112"/>
      <c r="H948" s="112"/>
      <c r="Z948" s="112"/>
      <c r="AA948" s="112"/>
    </row>
    <row r="949" spans="3:27" x14ac:dyDescent="0.25">
      <c r="C949" s="112"/>
      <c r="D949" s="112"/>
      <c r="E949" s="113"/>
      <c r="F949" s="113"/>
      <c r="G949" s="112"/>
      <c r="H949" s="112"/>
      <c r="Z949" s="112"/>
      <c r="AA949" s="112"/>
    </row>
    <row r="950" spans="3:27" x14ac:dyDescent="0.25">
      <c r="C950" s="112"/>
      <c r="D950" s="112"/>
      <c r="E950" s="113"/>
      <c r="F950" s="113"/>
      <c r="G950" s="112"/>
      <c r="H950" s="112"/>
      <c r="Z950" s="112"/>
      <c r="AA950" s="112"/>
    </row>
    <row r="951" spans="3:27" x14ac:dyDescent="0.25">
      <c r="C951" s="112"/>
      <c r="D951" s="112"/>
      <c r="E951" s="113"/>
      <c r="F951" s="113"/>
      <c r="G951" s="112"/>
      <c r="H951" s="112"/>
      <c r="Z951" s="112"/>
      <c r="AA951" s="112"/>
    </row>
    <row r="952" spans="3:27" x14ac:dyDescent="0.25">
      <c r="C952" s="112"/>
      <c r="D952" s="112"/>
      <c r="E952" s="113"/>
      <c r="F952" s="113"/>
      <c r="G952" s="112"/>
      <c r="H952" s="112"/>
      <c r="Z952" s="112"/>
      <c r="AA952" s="112"/>
    </row>
    <row r="953" spans="3:27" x14ac:dyDescent="0.25">
      <c r="C953" s="112"/>
      <c r="D953" s="112"/>
      <c r="E953" s="113"/>
      <c r="F953" s="113"/>
      <c r="G953" s="112"/>
      <c r="H953" s="112"/>
      <c r="Z953" s="112"/>
      <c r="AA953" s="112"/>
    </row>
    <row r="954" spans="3:27" x14ac:dyDescent="0.25">
      <c r="C954" s="112"/>
      <c r="D954" s="112"/>
      <c r="E954" s="113"/>
      <c r="F954" s="113"/>
      <c r="G954" s="112"/>
      <c r="H954" s="112"/>
      <c r="Z954" s="112"/>
      <c r="AA954" s="112"/>
    </row>
    <row r="955" spans="3:27" x14ac:dyDescent="0.25">
      <c r="C955" s="112"/>
      <c r="D955" s="112"/>
      <c r="E955" s="113"/>
      <c r="F955" s="113"/>
      <c r="G955" s="112"/>
      <c r="H955" s="112"/>
      <c r="Z955" s="112"/>
      <c r="AA955" s="112"/>
    </row>
    <row r="956" spans="3:27" x14ac:dyDescent="0.25">
      <c r="C956" s="112"/>
      <c r="D956" s="112"/>
      <c r="E956" s="113"/>
      <c r="F956" s="113"/>
      <c r="G956" s="112"/>
      <c r="H956" s="112"/>
      <c r="Z956" s="112"/>
      <c r="AA956" s="112"/>
    </row>
    <row r="957" spans="3:27" x14ac:dyDescent="0.25">
      <c r="C957" s="112"/>
      <c r="D957" s="112"/>
      <c r="E957" s="113"/>
      <c r="F957" s="113"/>
      <c r="G957" s="112"/>
      <c r="H957" s="112"/>
      <c r="Z957" s="112"/>
      <c r="AA957" s="112"/>
    </row>
    <row r="958" spans="3:27" x14ac:dyDescent="0.25">
      <c r="C958" s="112"/>
      <c r="D958" s="112"/>
      <c r="E958" s="113"/>
      <c r="F958" s="113"/>
      <c r="G958" s="112"/>
      <c r="H958" s="112"/>
      <c r="Z958" s="112"/>
      <c r="AA958" s="112"/>
    </row>
    <row r="959" spans="3:27" x14ac:dyDescent="0.25">
      <c r="C959" s="112"/>
      <c r="D959" s="112"/>
      <c r="E959" s="113"/>
      <c r="F959" s="113"/>
      <c r="G959" s="112"/>
      <c r="H959" s="112"/>
      <c r="Z959" s="112"/>
      <c r="AA959" s="112"/>
    </row>
    <row r="960" spans="3:27" x14ac:dyDescent="0.25">
      <c r="C960" s="112"/>
      <c r="D960" s="112"/>
      <c r="E960" s="113"/>
      <c r="F960" s="113"/>
      <c r="G960" s="112"/>
      <c r="H960" s="112"/>
      <c r="Z960" s="112"/>
      <c r="AA960" s="112"/>
    </row>
    <row r="961" spans="3:27" x14ac:dyDescent="0.25">
      <c r="C961" s="112"/>
      <c r="D961" s="112"/>
      <c r="E961" s="113"/>
      <c r="F961" s="113"/>
      <c r="G961" s="112"/>
      <c r="H961" s="112"/>
      <c r="Z961" s="112"/>
      <c r="AA961" s="112"/>
    </row>
    <row r="962" spans="3:27" x14ac:dyDescent="0.25">
      <c r="C962" s="112"/>
      <c r="D962" s="112"/>
      <c r="E962" s="113"/>
      <c r="F962" s="113"/>
      <c r="G962" s="112"/>
      <c r="H962" s="112"/>
      <c r="Z962" s="112"/>
      <c r="AA962" s="112"/>
    </row>
    <row r="963" spans="3:27" x14ac:dyDescent="0.25">
      <c r="C963" s="112"/>
      <c r="D963" s="112"/>
      <c r="E963" s="113"/>
      <c r="F963" s="113"/>
      <c r="G963" s="112"/>
      <c r="H963" s="112"/>
      <c r="Z963" s="112"/>
      <c r="AA963" s="112"/>
    </row>
    <row r="964" spans="3:27" x14ac:dyDescent="0.25">
      <c r="C964" s="112"/>
      <c r="D964" s="112"/>
      <c r="E964" s="113"/>
      <c r="F964" s="113"/>
      <c r="G964" s="112"/>
      <c r="H964" s="112"/>
      <c r="Z964" s="112"/>
      <c r="AA964" s="112"/>
    </row>
    <row r="965" spans="3:27" x14ac:dyDescent="0.25">
      <c r="C965" s="112"/>
      <c r="D965" s="112"/>
      <c r="E965" s="113"/>
      <c r="F965" s="113"/>
      <c r="G965" s="112"/>
      <c r="H965" s="112"/>
      <c r="Z965" s="112"/>
      <c r="AA965" s="112"/>
    </row>
    <row r="966" spans="3:27" x14ac:dyDescent="0.25">
      <c r="C966" s="112"/>
      <c r="D966" s="112"/>
      <c r="E966" s="113"/>
      <c r="F966" s="113"/>
      <c r="G966" s="112"/>
      <c r="H966" s="112"/>
      <c r="Z966" s="112"/>
      <c r="AA966" s="112"/>
    </row>
    <row r="967" spans="3:27" x14ac:dyDescent="0.25">
      <c r="C967" s="112"/>
      <c r="D967" s="112"/>
      <c r="E967" s="113"/>
      <c r="F967" s="113"/>
      <c r="G967" s="112"/>
      <c r="H967" s="112"/>
      <c r="Z967" s="112"/>
      <c r="AA967" s="112"/>
    </row>
    <row r="968" spans="3:27" x14ac:dyDescent="0.25">
      <c r="C968" s="112"/>
      <c r="D968" s="112"/>
      <c r="E968" s="113"/>
      <c r="F968" s="113"/>
      <c r="G968" s="112"/>
      <c r="H968" s="112"/>
      <c r="Z968" s="112"/>
      <c r="AA968" s="112"/>
    </row>
    <row r="969" spans="3:27" x14ac:dyDescent="0.25">
      <c r="C969" s="112"/>
      <c r="D969" s="112"/>
      <c r="E969" s="113"/>
      <c r="F969" s="113"/>
      <c r="G969" s="112"/>
      <c r="H969" s="112"/>
      <c r="Z969" s="112"/>
      <c r="AA969" s="112"/>
    </row>
    <row r="970" spans="3:27" x14ac:dyDescent="0.25">
      <c r="C970" s="112"/>
      <c r="D970" s="112"/>
      <c r="E970" s="113"/>
      <c r="F970" s="113"/>
      <c r="G970" s="112"/>
      <c r="H970" s="112"/>
      <c r="Z970" s="112"/>
      <c r="AA970" s="112"/>
    </row>
    <row r="971" spans="3:27" x14ac:dyDescent="0.25">
      <c r="C971" s="112"/>
      <c r="D971" s="112"/>
      <c r="E971" s="113"/>
      <c r="F971" s="113"/>
      <c r="G971" s="112"/>
      <c r="H971" s="112"/>
      <c r="Z971" s="112"/>
      <c r="AA971" s="112"/>
    </row>
    <row r="972" spans="3:27" x14ac:dyDescent="0.25">
      <c r="C972" s="112"/>
      <c r="D972" s="112"/>
      <c r="E972" s="113"/>
      <c r="F972" s="113"/>
      <c r="G972" s="112"/>
      <c r="H972" s="112"/>
      <c r="Z972" s="112"/>
      <c r="AA972" s="112"/>
    </row>
    <row r="973" spans="3:27" x14ac:dyDescent="0.25">
      <c r="C973" s="112"/>
      <c r="D973" s="112"/>
      <c r="E973" s="113"/>
      <c r="F973" s="113"/>
      <c r="G973" s="112"/>
      <c r="H973" s="112"/>
      <c r="Z973" s="112"/>
      <c r="AA973" s="112"/>
    </row>
    <row r="974" spans="3:27" x14ac:dyDescent="0.25">
      <c r="C974" s="112"/>
      <c r="D974" s="112"/>
      <c r="E974" s="113"/>
      <c r="F974" s="113"/>
      <c r="G974" s="112"/>
      <c r="H974" s="112"/>
      <c r="Z974" s="112"/>
      <c r="AA974" s="112"/>
    </row>
    <row r="975" spans="3:27" x14ac:dyDescent="0.25">
      <c r="C975" s="112"/>
      <c r="D975" s="112"/>
      <c r="E975" s="113"/>
      <c r="F975" s="113"/>
      <c r="G975" s="112"/>
      <c r="H975" s="112"/>
      <c r="Z975" s="112"/>
      <c r="AA975" s="112"/>
    </row>
    <row r="976" spans="3:27" x14ac:dyDescent="0.25">
      <c r="C976" s="112"/>
      <c r="D976" s="112"/>
      <c r="E976" s="113"/>
      <c r="F976" s="113"/>
      <c r="G976" s="112"/>
      <c r="H976" s="112"/>
      <c r="Z976" s="112"/>
      <c r="AA976" s="112"/>
    </row>
    <row r="977" spans="3:27" x14ac:dyDescent="0.25">
      <c r="C977" s="112"/>
      <c r="D977" s="112"/>
      <c r="E977" s="113"/>
      <c r="F977" s="113"/>
      <c r="G977" s="112"/>
      <c r="H977" s="112"/>
      <c r="Z977" s="112"/>
      <c r="AA977" s="112"/>
    </row>
    <row r="978" spans="3:27" x14ac:dyDescent="0.25">
      <c r="C978" s="112"/>
      <c r="D978" s="112"/>
      <c r="E978" s="113"/>
      <c r="F978" s="113"/>
      <c r="G978" s="112"/>
      <c r="H978" s="112"/>
      <c r="Z978" s="112"/>
      <c r="AA978" s="112"/>
    </row>
    <row r="979" spans="3:27" x14ac:dyDescent="0.25">
      <c r="C979" s="112"/>
      <c r="D979" s="112"/>
      <c r="E979" s="113"/>
      <c r="F979" s="113"/>
      <c r="G979" s="112"/>
      <c r="H979" s="112"/>
      <c r="Z979" s="112"/>
      <c r="AA979" s="112"/>
    </row>
    <row r="980" spans="3:27" x14ac:dyDescent="0.25">
      <c r="C980" s="112"/>
      <c r="D980" s="112"/>
      <c r="E980" s="113"/>
      <c r="F980" s="113"/>
      <c r="G980" s="112"/>
      <c r="H980" s="112"/>
      <c r="Z980" s="112"/>
      <c r="AA980" s="112"/>
    </row>
    <row r="981" spans="3:27" x14ac:dyDescent="0.25">
      <c r="C981" s="112"/>
      <c r="D981" s="112"/>
      <c r="E981" s="113"/>
      <c r="F981" s="113"/>
      <c r="G981" s="112"/>
      <c r="H981" s="112"/>
      <c r="Z981" s="112"/>
      <c r="AA981" s="112"/>
    </row>
    <row r="982" spans="3:27" x14ac:dyDescent="0.25">
      <c r="C982" s="112"/>
      <c r="D982" s="112"/>
      <c r="E982" s="113"/>
      <c r="F982" s="113"/>
      <c r="G982" s="112"/>
      <c r="H982" s="112"/>
      <c r="Z982" s="112"/>
      <c r="AA982" s="112"/>
    </row>
    <row r="983" spans="3:27" x14ac:dyDescent="0.25">
      <c r="C983" s="112"/>
      <c r="D983" s="112"/>
      <c r="E983" s="113"/>
      <c r="F983" s="113"/>
      <c r="G983" s="112"/>
      <c r="H983" s="112"/>
      <c r="Z983" s="112"/>
      <c r="AA983" s="112"/>
    </row>
    <row r="984" spans="3:27" x14ac:dyDescent="0.25">
      <c r="C984" s="112"/>
      <c r="D984" s="112"/>
      <c r="E984" s="113"/>
      <c r="F984" s="113"/>
      <c r="G984" s="112"/>
      <c r="H984" s="112"/>
      <c r="Z984" s="112"/>
      <c r="AA984" s="112"/>
    </row>
    <row r="985" spans="3:27" x14ac:dyDescent="0.25">
      <c r="C985" s="112"/>
      <c r="D985" s="112"/>
      <c r="E985" s="113"/>
      <c r="F985" s="113"/>
      <c r="G985" s="112"/>
      <c r="H985" s="112"/>
      <c r="Z985" s="112"/>
      <c r="AA985" s="112"/>
    </row>
    <row r="986" spans="3:27" x14ac:dyDescent="0.25">
      <c r="C986" s="112"/>
      <c r="D986" s="112"/>
      <c r="E986" s="113"/>
      <c r="F986" s="113"/>
      <c r="G986" s="112"/>
      <c r="H986" s="112"/>
      <c r="Z986" s="112"/>
      <c r="AA986" s="112"/>
    </row>
    <row r="987" spans="3:27" x14ac:dyDescent="0.25">
      <c r="C987" s="112"/>
      <c r="D987" s="112"/>
      <c r="E987" s="113"/>
      <c r="F987" s="113"/>
      <c r="G987" s="112"/>
      <c r="H987" s="112"/>
      <c r="Z987" s="112"/>
      <c r="AA987" s="112"/>
    </row>
    <row r="988" spans="3:27" x14ac:dyDescent="0.25">
      <c r="C988" s="112"/>
      <c r="D988" s="112"/>
      <c r="E988" s="113"/>
      <c r="F988" s="113"/>
      <c r="G988" s="112"/>
      <c r="H988" s="112"/>
      <c r="Z988" s="112"/>
      <c r="AA988" s="112"/>
    </row>
    <row r="989" spans="3:27" x14ac:dyDescent="0.25">
      <c r="C989" s="112"/>
      <c r="D989" s="112"/>
      <c r="E989" s="113"/>
      <c r="F989" s="113"/>
      <c r="G989" s="112"/>
      <c r="H989" s="112"/>
      <c r="Z989" s="112"/>
      <c r="AA989" s="112"/>
    </row>
    <row r="990" spans="3:27" x14ac:dyDescent="0.25">
      <c r="C990" s="112"/>
      <c r="D990" s="112"/>
      <c r="E990" s="113"/>
      <c r="F990" s="113"/>
      <c r="G990" s="112"/>
      <c r="H990" s="112"/>
      <c r="Z990" s="112"/>
      <c r="AA990" s="112"/>
    </row>
    <row r="991" spans="3:27" x14ac:dyDescent="0.25">
      <c r="C991" s="112"/>
      <c r="D991" s="112"/>
      <c r="E991" s="113"/>
      <c r="F991" s="113"/>
      <c r="G991" s="112"/>
      <c r="H991" s="112"/>
      <c r="Z991" s="112"/>
      <c r="AA991" s="112"/>
    </row>
    <row r="992" spans="3:27" x14ac:dyDescent="0.25">
      <c r="C992" s="112"/>
      <c r="D992" s="112"/>
      <c r="E992" s="113"/>
      <c r="F992" s="113"/>
      <c r="G992" s="112"/>
      <c r="H992" s="112"/>
      <c r="Z992" s="112"/>
      <c r="AA992" s="112"/>
    </row>
    <row r="993" spans="3:27" x14ac:dyDescent="0.25">
      <c r="C993" s="112"/>
      <c r="D993" s="112"/>
      <c r="E993" s="113"/>
      <c r="F993" s="113"/>
      <c r="G993" s="112"/>
      <c r="H993" s="112"/>
      <c r="Z993" s="112"/>
      <c r="AA993" s="112"/>
    </row>
    <row r="994" spans="3:27" x14ac:dyDescent="0.25">
      <c r="C994" s="112"/>
      <c r="D994" s="112"/>
      <c r="E994" s="113"/>
      <c r="F994" s="113"/>
      <c r="G994" s="112"/>
      <c r="H994" s="112"/>
      <c r="Z994" s="112"/>
      <c r="AA994" s="112"/>
    </row>
    <row r="995" spans="3:27" x14ac:dyDescent="0.25">
      <c r="C995" s="112"/>
      <c r="D995" s="112"/>
      <c r="E995" s="113"/>
      <c r="F995" s="113"/>
      <c r="G995" s="112"/>
      <c r="H995" s="112"/>
      <c r="Z995" s="112"/>
      <c r="AA995" s="112"/>
    </row>
    <row r="996" spans="3:27" x14ac:dyDescent="0.25">
      <c r="C996" s="112"/>
      <c r="D996" s="112"/>
      <c r="E996" s="113"/>
      <c r="F996" s="113"/>
      <c r="G996" s="112"/>
      <c r="H996" s="112"/>
      <c r="Z996" s="112"/>
      <c r="AA996" s="112"/>
    </row>
    <row r="997" spans="3:27" x14ac:dyDescent="0.25">
      <c r="C997" s="112"/>
      <c r="D997" s="112"/>
      <c r="E997" s="113"/>
      <c r="F997" s="113"/>
      <c r="G997" s="112"/>
      <c r="H997" s="112"/>
      <c r="Z997" s="112"/>
      <c r="AA997" s="112"/>
    </row>
    <row r="998" spans="3:27" x14ac:dyDescent="0.25">
      <c r="C998" s="112"/>
      <c r="D998" s="112"/>
      <c r="E998" s="113"/>
      <c r="F998" s="113"/>
      <c r="G998" s="112"/>
      <c r="H998" s="112"/>
      <c r="Z998" s="112"/>
      <c r="AA998" s="112"/>
    </row>
    <row r="999" spans="3:27" x14ac:dyDescent="0.25">
      <c r="C999" s="112"/>
      <c r="D999" s="112"/>
      <c r="E999" s="113"/>
      <c r="F999" s="113"/>
      <c r="G999" s="112"/>
      <c r="H999" s="112"/>
      <c r="Z999" s="112"/>
      <c r="AA999" s="112"/>
    </row>
    <row r="1000" spans="3:27" x14ac:dyDescent="0.25">
      <c r="C1000" s="112"/>
      <c r="D1000" s="112"/>
      <c r="E1000" s="113"/>
      <c r="F1000" s="113"/>
      <c r="G1000" s="112"/>
      <c r="H1000" s="112"/>
      <c r="Z1000" s="112"/>
      <c r="AA1000" s="112"/>
    </row>
    <row r="1001" spans="3:27" x14ac:dyDescent="0.25">
      <c r="C1001" s="112"/>
      <c r="D1001" s="112"/>
      <c r="E1001" s="113"/>
      <c r="F1001" s="113"/>
      <c r="G1001" s="112"/>
      <c r="H1001" s="112"/>
      <c r="Z1001" s="112"/>
      <c r="AA1001" s="112"/>
    </row>
    <row r="1002" spans="3:27" x14ac:dyDescent="0.25">
      <c r="C1002" s="112"/>
      <c r="D1002" s="112"/>
      <c r="E1002" s="113"/>
      <c r="F1002" s="113"/>
      <c r="G1002" s="112"/>
      <c r="H1002" s="112"/>
      <c r="Z1002" s="112"/>
      <c r="AA1002" s="112"/>
    </row>
    <row r="1003" spans="3:27" x14ac:dyDescent="0.25">
      <c r="C1003" s="112"/>
      <c r="D1003" s="112"/>
      <c r="E1003" s="113"/>
      <c r="F1003" s="113"/>
      <c r="G1003" s="112"/>
      <c r="H1003" s="112"/>
      <c r="Z1003" s="112"/>
      <c r="AA1003" s="112"/>
    </row>
    <row r="1004" spans="3:27" x14ac:dyDescent="0.25">
      <c r="C1004" s="112"/>
      <c r="D1004" s="112"/>
      <c r="E1004" s="113"/>
      <c r="F1004" s="113"/>
      <c r="G1004" s="112"/>
      <c r="H1004" s="112"/>
      <c r="Z1004" s="112"/>
      <c r="AA1004" s="112"/>
    </row>
    <row r="1005" spans="3:27" x14ac:dyDescent="0.25">
      <c r="C1005" s="112"/>
      <c r="D1005" s="112"/>
      <c r="E1005" s="113"/>
      <c r="F1005" s="113"/>
      <c r="G1005" s="112"/>
      <c r="H1005" s="112"/>
      <c r="Z1005" s="112"/>
      <c r="AA1005" s="112"/>
    </row>
    <row r="1006" spans="3:27" x14ac:dyDescent="0.25">
      <c r="C1006" s="112"/>
      <c r="D1006" s="112"/>
      <c r="E1006" s="113"/>
      <c r="F1006" s="113"/>
      <c r="G1006" s="112"/>
      <c r="H1006" s="112"/>
      <c r="Z1006" s="112"/>
      <c r="AA1006" s="112"/>
    </row>
    <row r="1007" spans="3:27" x14ac:dyDescent="0.25">
      <c r="C1007" s="112"/>
      <c r="D1007" s="112"/>
      <c r="E1007" s="113"/>
      <c r="F1007" s="113"/>
      <c r="G1007" s="112"/>
      <c r="H1007" s="112"/>
      <c r="Z1007" s="112"/>
      <c r="AA1007" s="112"/>
    </row>
    <row r="1008" spans="3:27" x14ac:dyDescent="0.25">
      <c r="C1008" s="112"/>
      <c r="D1008" s="112"/>
      <c r="E1008" s="113"/>
      <c r="F1008" s="113"/>
      <c r="G1008" s="112"/>
      <c r="H1008" s="112"/>
      <c r="Z1008" s="112"/>
      <c r="AA1008" s="112"/>
    </row>
    <row r="1009" spans="3:27" x14ac:dyDescent="0.25">
      <c r="C1009" s="112"/>
      <c r="D1009" s="112"/>
      <c r="E1009" s="113"/>
      <c r="F1009" s="113"/>
      <c r="G1009" s="112"/>
      <c r="H1009" s="112"/>
      <c r="Z1009" s="112"/>
      <c r="AA1009" s="112"/>
    </row>
    <row r="1010" spans="3:27" x14ac:dyDescent="0.25">
      <c r="C1010" s="112"/>
      <c r="D1010" s="112"/>
      <c r="E1010" s="113"/>
      <c r="F1010" s="113"/>
      <c r="G1010" s="112"/>
      <c r="H1010" s="112"/>
      <c r="Z1010" s="112"/>
      <c r="AA1010" s="112"/>
    </row>
    <row r="1011" spans="3:27" x14ac:dyDescent="0.25">
      <c r="C1011" s="112"/>
      <c r="D1011" s="112"/>
      <c r="E1011" s="113"/>
      <c r="F1011" s="113"/>
      <c r="G1011" s="112"/>
      <c r="H1011" s="112"/>
      <c r="Z1011" s="112"/>
      <c r="AA1011" s="112"/>
    </row>
    <row r="1012" spans="3:27" x14ac:dyDescent="0.25">
      <c r="C1012" s="112"/>
      <c r="D1012" s="112"/>
      <c r="E1012" s="113"/>
      <c r="F1012" s="113"/>
      <c r="G1012" s="112"/>
      <c r="H1012" s="112"/>
      <c r="Z1012" s="112"/>
      <c r="AA1012" s="112"/>
    </row>
    <row r="1013" spans="3:27" x14ac:dyDescent="0.25">
      <c r="C1013" s="112"/>
      <c r="D1013" s="112"/>
      <c r="E1013" s="113"/>
      <c r="F1013" s="113"/>
      <c r="G1013" s="112"/>
      <c r="H1013" s="112"/>
      <c r="Z1013" s="112"/>
      <c r="AA1013" s="112"/>
    </row>
    <row r="1014" spans="3:27" x14ac:dyDescent="0.25">
      <c r="C1014" s="112"/>
      <c r="D1014" s="112"/>
      <c r="E1014" s="113"/>
      <c r="F1014" s="113"/>
      <c r="G1014" s="112"/>
      <c r="H1014" s="112"/>
      <c r="Z1014" s="112"/>
      <c r="AA1014" s="112"/>
    </row>
    <row r="1015" spans="3:27" x14ac:dyDescent="0.25">
      <c r="C1015" s="112"/>
      <c r="D1015" s="112"/>
      <c r="E1015" s="113"/>
      <c r="F1015" s="113"/>
      <c r="G1015" s="112"/>
      <c r="H1015" s="112"/>
      <c r="Z1015" s="112"/>
      <c r="AA1015" s="112"/>
    </row>
    <row r="1016" spans="3:27" x14ac:dyDescent="0.25">
      <c r="C1016" s="112"/>
      <c r="D1016" s="112"/>
      <c r="E1016" s="113"/>
      <c r="F1016" s="113"/>
      <c r="G1016" s="112"/>
      <c r="H1016" s="112"/>
      <c r="Z1016" s="112"/>
      <c r="AA1016" s="112"/>
    </row>
    <row r="1017" spans="3:27" x14ac:dyDescent="0.25">
      <c r="C1017" s="112"/>
      <c r="D1017" s="112"/>
      <c r="E1017" s="113"/>
      <c r="F1017" s="113"/>
      <c r="G1017" s="112"/>
      <c r="H1017" s="112"/>
      <c r="Z1017" s="112"/>
      <c r="AA1017" s="112"/>
    </row>
    <row r="1018" spans="3:27" x14ac:dyDescent="0.25">
      <c r="C1018" s="112"/>
      <c r="D1018" s="112"/>
      <c r="E1018" s="113"/>
      <c r="F1018" s="113"/>
      <c r="G1018" s="112"/>
      <c r="H1018" s="112"/>
      <c r="Z1018" s="112"/>
      <c r="AA1018" s="112"/>
    </row>
    <row r="1019" spans="3:27" x14ac:dyDescent="0.25">
      <c r="C1019" s="112"/>
      <c r="D1019" s="112"/>
      <c r="E1019" s="113"/>
      <c r="F1019" s="113"/>
      <c r="G1019" s="112"/>
      <c r="H1019" s="112"/>
      <c r="Z1019" s="112"/>
      <c r="AA1019" s="112"/>
    </row>
    <row r="1020" spans="3:27" x14ac:dyDescent="0.25">
      <c r="C1020" s="112"/>
      <c r="D1020" s="112"/>
      <c r="E1020" s="113"/>
      <c r="F1020" s="113"/>
      <c r="G1020" s="112"/>
      <c r="H1020" s="112"/>
      <c r="Z1020" s="112"/>
      <c r="AA1020" s="112"/>
    </row>
    <row r="1021" spans="3:27" x14ac:dyDescent="0.25">
      <c r="C1021" s="112"/>
      <c r="D1021" s="112"/>
      <c r="E1021" s="113"/>
      <c r="F1021" s="113"/>
      <c r="G1021" s="112"/>
      <c r="H1021" s="112"/>
      <c r="Z1021" s="112"/>
      <c r="AA1021" s="112"/>
    </row>
    <row r="1022" spans="3:27" x14ac:dyDescent="0.25">
      <c r="C1022" s="112"/>
      <c r="D1022" s="112"/>
      <c r="E1022" s="113"/>
      <c r="F1022" s="113"/>
      <c r="G1022" s="112"/>
      <c r="H1022" s="112"/>
      <c r="Z1022" s="112"/>
      <c r="AA1022" s="112"/>
    </row>
    <row r="1023" spans="3:27" x14ac:dyDescent="0.25">
      <c r="C1023" s="112"/>
      <c r="D1023" s="112"/>
      <c r="E1023" s="113"/>
      <c r="F1023" s="113"/>
      <c r="G1023" s="112"/>
      <c r="H1023" s="112"/>
      <c r="Z1023" s="112"/>
      <c r="AA1023" s="112"/>
    </row>
    <row r="1024" spans="3:27" x14ac:dyDescent="0.25">
      <c r="C1024" s="112"/>
      <c r="D1024" s="112"/>
      <c r="E1024" s="113"/>
      <c r="F1024" s="113"/>
      <c r="G1024" s="112"/>
      <c r="H1024" s="112"/>
      <c r="Z1024" s="112"/>
      <c r="AA1024" s="112"/>
    </row>
    <row r="1025" spans="3:27" x14ac:dyDescent="0.25">
      <c r="C1025" s="112"/>
      <c r="D1025" s="112"/>
      <c r="E1025" s="113"/>
      <c r="F1025" s="113"/>
      <c r="G1025" s="112"/>
      <c r="H1025" s="112"/>
      <c r="Z1025" s="112"/>
      <c r="AA1025" s="112"/>
    </row>
    <row r="1026" spans="3:27" x14ac:dyDescent="0.25">
      <c r="C1026" s="112"/>
      <c r="D1026" s="112"/>
      <c r="E1026" s="113"/>
      <c r="F1026" s="113"/>
      <c r="G1026" s="112"/>
      <c r="H1026" s="112"/>
      <c r="Z1026" s="112"/>
      <c r="AA1026" s="112"/>
    </row>
    <row r="1027" spans="3:27" x14ac:dyDescent="0.25">
      <c r="C1027" s="112"/>
      <c r="D1027" s="112"/>
      <c r="E1027" s="113"/>
      <c r="F1027" s="113"/>
      <c r="G1027" s="112"/>
      <c r="H1027" s="112"/>
      <c r="Z1027" s="112"/>
      <c r="AA1027" s="112"/>
    </row>
    <row r="1028" spans="3:27" x14ac:dyDescent="0.25">
      <c r="C1028" s="112"/>
      <c r="D1028" s="112"/>
      <c r="E1028" s="113"/>
      <c r="F1028" s="113"/>
      <c r="G1028" s="112"/>
      <c r="H1028" s="112"/>
      <c r="Z1028" s="112"/>
      <c r="AA1028" s="112"/>
    </row>
    <row r="1029" spans="3:27" x14ac:dyDescent="0.25">
      <c r="C1029" s="112"/>
      <c r="D1029" s="112"/>
      <c r="E1029" s="113"/>
      <c r="F1029" s="113"/>
      <c r="G1029" s="112"/>
      <c r="H1029" s="112"/>
      <c r="Z1029" s="112"/>
      <c r="AA1029" s="112"/>
    </row>
    <row r="1030" spans="3:27" x14ac:dyDescent="0.25">
      <c r="C1030" s="112"/>
      <c r="D1030" s="112"/>
      <c r="E1030" s="113"/>
      <c r="F1030" s="113"/>
      <c r="G1030" s="112"/>
      <c r="H1030" s="112"/>
      <c r="Z1030" s="112"/>
      <c r="AA1030" s="112"/>
    </row>
    <row r="1031" spans="3:27" x14ac:dyDescent="0.25">
      <c r="C1031" s="112"/>
      <c r="D1031" s="112"/>
      <c r="E1031" s="113"/>
      <c r="F1031" s="113"/>
      <c r="G1031" s="112"/>
      <c r="H1031" s="112"/>
      <c r="Z1031" s="112"/>
      <c r="AA1031" s="112"/>
    </row>
    <row r="1032" spans="3:27" x14ac:dyDescent="0.25">
      <c r="C1032" s="112"/>
      <c r="D1032" s="112"/>
      <c r="E1032" s="113"/>
      <c r="F1032" s="113"/>
      <c r="G1032" s="112"/>
      <c r="H1032" s="112"/>
      <c r="Z1032" s="112"/>
      <c r="AA1032" s="112"/>
    </row>
    <row r="1033" spans="3:27" x14ac:dyDescent="0.25">
      <c r="C1033" s="112"/>
      <c r="D1033" s="112"/>
      <c r="E1033" s="113"/>
      <c r="F1033" s="113"/>
      <c r="G1033" s="112"/>
      <c r="H1033" s="112"/>
      <c r="Z1033" s="112"/>
      <c r="AA1033" s="112"/>
    </row>
    <row r="1034" spans="3:27" x14ac:dyDescent="0.25">
      <c r="C1034" s="112"/>
      <c r="D1034" s="112"/>
      <c r="E1034" s="113"/>
      <c r="F1034" s="113"/>
      <c r="G1034" s="112"/>
      <c r="H1034" s="112"/>
      <c r="Z1034" s="112"/>
      <c r="AA1034" s="112"/>
    </row>
    <row r="1035" spans="3:27" x14ac:dyDescent="0.25">
      <c r="C1035" s="112"/>
      <c r="D1035" s="112"/>
      <c r="E1035" s="113"/>
      <c r="F1035" s="113"/>
      <c r="G1035" s="112"/>
      <c r="H1035" s="112"/>
      <c r="Z1035" s="112"/>
      <c r="AA1035" s="112"/>
    </row>
    <row r="1036" spans="3:27" x14ac:dyDescent="0.25">
      <c r="C1036" s="112"/>
      <c r="D1036" s="112"/>
      <c r="E1036" s="113"/>
      <c r="F1036" s="113"/>
      <c r="G1036" s="112"/>
      <c r="H1036" s="112"/>
      <c r="Z1036" s="112"/>
      <c r="AA1036" s="112"/>
    </row>
    <row r="1037" spans="3:27" x14ac:dyDescent="0.25">
      <c r="C1037" s="112"/>
      <c r="D1037" s="112"/>
      <c r="E1037" s="113"/>
      <c r="F1037" s="113"/>
      <c r="G1037" s="112"/>
      <c r="H1037" s="112"/>
      <c r="Z1037" s="112"/>
      <c r="AA1037" s="112"/>
    </row>
    <row r="1038" spans="3:27" x14ac:dyDescent="0.25">
      <c r="C1038" s="112"/>
      <c r="D1038" s="112"/>
      <c r="E1038" s="113"/>
      <c r="F1038" s="113"/>
      <c r="G1038" s="112"/>
      <c r="H1038" s="112"/>
      <c r="Z1038" s="112"/>
      <c r="AA1038" s="112"/>
    </row>
    <row r="1039" spans="3:27" x14ac:dyDescent="0.25">
      <c r="C1039" s="112"/>
      <c r="D1039" s="112"/>
      <c r="E1039" s="113"/>
      <c r="F1039" s="113"/>
      <c r="G1039" s="112"/>
      <c r="H1039" s="112"/>
      <c r="Z1039" s="112"/>
      <c r="AA1039" s="112"/>
    </row>
    <row r="1040" spans="3:27" x14ac:dyDescent="0.25">
      <c r="C1040" s="112"/>
      <c r="D1040" s="112"/>
      <c r="E1040" s="113"/>
      <c r="F1040" s="113"/>
      <c r="G1040" s="112"/>
      <c r="H1040" s="112"/>
      <c r="Z1040" s="112"/>
      <c r="AA1040" s="112"/>
    </row>
    <row r="1041" spans="3:27" x14ac:dyDescent="0.25">
      <c r="C1041" s="112"/>
      <c r="D1041" s="112"/>
      <c r="E1041" s="113"/>
      <c r="F1041" s="113"/>
      <c r="G1041" s="112"/>
      <c r="H1041" s="112"/>
      <c r="Z1041" s="112"/>
      <c r="AA1041" s="112"/>
    </row>
    <row r="1042" spans="3:27" x14ac:dyDescent="0.25">
      <c r="C1042" s="112"/>
      <c r="D1042" s="112"/>
      <c r="E1042" s="113"/>
      <c r="F1042" s="113"/>
      <c r="G1042" s="112"/>
      <c r="H1042" s="112"/>
      <c r="Z1042" s="112"/>
      <c r="AA1042" s="112"/>
    </row>
    <row r="1043" spans="3:27" x14ac:dyDescent="0.25">
      <c r="C1043" s="112"/>
      <c r="D1043" s="112"/>
      <c r="E1043" s="113"/>
      <c r="F1043" s="113"/>
      <c r="G1043" s="112"/>
      <c r="H1043" s="112"/>
      <c r="Z1043" s="112"/>
      <c r="AA1043" s="112"/>
    </row>
    <row r="1044" spans="3:27" x14ac:dyDescent="0.25">
      <c r="C1044" s="112"/>
      <c r="D1044" s="112"/>
      <c r="E1044" s="113"/>
      <c r="F1044" s="113"/>
      <c r="G1044" s="112"/>
      <c r="H1044" s="112"/>
      <c r="Z1044" s="112"/>
      <c r="AA1044" s="112"/>
    </row>
    <row r="1045" spans="3:27" x14ac:dyDescent="0.25">
      <c r="C1045" s="112"/>
      <c r="D1045" s="112"/>
      <c r="E1045" s="113"/>
      <c r="F1045" s="113"/>
      <c r="G1045" s="112"/>
      <c r="H1045" s="112"/>
      <c r="Z1045" s="112"/>
      <c r="AA1045" s="112"/>
    </row>
    <row r="1046" spans="3:27" x14ac:dyDescent="0.25">
      <c r="C1046" s="112"/>
      <c r="D1046" s="112"/>
      <c r="E1046" s="113"/>
      <c r="F1046" s="113"/>
      <c r="G1046" s="112"/>
      <c r="H1046" s="112"/>
      <c r="Z1046" s="112"/>
      <c r="AA1046" s="112"/>
    </row>
    <row r="1047" spans="3:27" x14ac:dyDescent="0.25">
      <c r="C1047" s="112"/>
      <c r="D1047" s="112"/>
      <c r="E1047" s="113"/>
      <c r="F1047" s="113"/>
      <c r="G1047" s="112"/>
      <c r="H1047" s="112"/>
      <c r="Z1047" s="112"/>
      <c r="AA1047" s="112"/>
    </row>
    <row r="1048" spans="3:27" x14ac:dyDescent="0.25">
      <c r="C1048" s="112"/>
      <c r="D1048" s="112"/>
      <c r="E1048" s="113"/>
      <c r="F1048" s="113"/>
      <c r="G1048" s="112"/>
      <c r="H1048" s="112"/>
      <c r="Z1048" s="112"/>
      <c r="AA1048" s="112"/>
    </row>
    <row r="1049" spans="3:27" x14ac:dyDescent="0.25">
      <c r="C1049" s="112"/>
      <c r="D1049" s="112"/>
      <c r="E1049" s="113"/>
      <c r="F1049" s="113"/>
      <c r="G1049" s="112"/>
      <c r="H1049" s="112"/>
      <c r="Z1049" s="112"/>
      <c r="AA1049" s="112"/>
    </row>
    <row r="1050" spans="3:27" x14ac:dyDescent="0.25">
      <c r="C1050" s="112"/>
      <c r="D1050" s="112"/>
      <c r="E1050" s="113"/>
      <c r="F1050" s="113"/>
      <c r="G1050" s="112"/>
      <c r="H1050" s="112"/>
      <c r="Z1050" s="112"/>
      <c r="AA1050" s="112"/>
    </row>
    <row r="1051" spans="3:27" x14ac:dyDescent="0.25">
      <c r="C1051" s="112"/>
      <c r="D1051" s="112"/>
      <c r="E1051" s="113"/>
      <c r="F1051" s="113"/>
      <c r="G1051" s="112"/>
      <c r="H1051" s="112"/>
      <c r="Z1051" s="112"/>
      <c r="AA1051" s="112"/>
    </row>
    <row r="1052" spans="3:27" x14ac:dyDescent="0.25">
      <c r="C1052" s="112"/>
      <c r="D1052" s="112"/>
      <c r="E1052" s="113"/>
      <c r="F1052" s="113"/>
      <c r="G1052" s="112"/>
      <c r="H1052" s="112"/>
      <c r="Z1052" s="112"/>
      <c r="AA1052" s="112"/>
    </row>
    <row r="1053" spans="3:27" x14ac:dyDescent="0.25">
      <c r="C1053" s="112"/>
      <c r="D1053" s="112"/>
      <c r="E1053" s="113"/>
      <c r="F1053" s="113"/>
      <c r="G1053" s="112"/>
      <c r="H1053" s="112"/>
      <c r="Z1053" s="112"/>
      <c r="AA1053" s="112"/>
    </row>
    <row r="1054" spans="3:27" x14ac:dyDescent="0.25">
      <c r="C1054" s="112"/>
      <c r="D1054" s="112"/>
      <c r="E1054" s="113"/>
      <c r="F1054" s="113"/>
      <c r="G1054" s="112"/>
      <c r="H1054" s="112"/>
      <c r="Z1054" s="112"/>
      <c r="AA1054" s="112"/>
    </row>
    <row r="1055" spans="3:27" x14ac:dyDescent="0.25">
      <c r="C1055" s="112"/>
      <c r="D1055" s="112"/>
      <c r="E1055" s="113"/>
      <c r="F1055" s="113"/>
      <c r="G1055" s="112"/>
      <c r="H1055" s="112"/>
      <c r="Z1055" s="112"/>
      <c r="AA1055" s="112"/>
    </row>
    <row r="1056" spans="3:27" x14ac:dyDescent="0.25">
      <c r="C1056" s="112"/>
      <c r="D1056" s="112"/>
      <c r="E1056" s="113"/>
      <c r="F1056" s="113"/>
      <c r="G1056" s="112"/>
      <c r="H1056" s="112"/>
      <c r="Z1056" s="112"/>
      <c r="AA1056" s="112"/>
    </row>
    <row r="1057" spans="3:27" x14ac:dyDescent="0.25">
      <c r="C1057" s="112"/>
      <c r="D1057" s="112"/>
      <c r="E1057" s="113"/>
      <c r="F1057" s="113"/>
      <c r="G1057" s="112"/>
      <c r="H1057" s="112"/>
      <c r="Z1057" s="112"/>
      <c r="AA1057" s="112"/>
    </row>
    <row r="1058" spans="3:27" x14ac:dyDescent="0.25">
      <c r="C1058" s="112"/>
      <c r="D1058" s="112"/>
      <c r="E1058" s="113"/>
      <c r="F1058" s="113"/>
      <c r="G1058" s="112"/>
      <c r="H1058" s="112"/>
      <c r="Z1058" s="112"/>
      <c r="AA1058" s="112"/>
    </row>
    <row r="1059" spans="3:27" x14ac:dyDescent="0.25">
      <c r="C1059" s="112"/>
      <c r="D1059" s="112"/>
      <c r="E1059" s="113"/>
      <c r="F1059" s="113"/>
      <c r="G1059" s="112"/>
      <c r="H1059" s="112"/>
      <c r="Z1059" s="112"/>
      <c r="AA1059" s="112"/>
    </row>
    <row r="1060" spans="3:27" x14ac:dyDescent="0.25">
      <c r="C1060" s="112"/>
      <c r="D1060" s="112"/>
      <c r="E1060" s="113"/>
      <c r="F1060" s="113"/>
      <c r="G1060" s="112"/>
      <c r="H1060" s="112"/>
      <c r="Z1060" s="112"/>
      <c r="AA1060" s="112"/>
    </row>
    <row r="1061" spans="3:27" x14ac:dyDescent="0.25">
      <c r="C1061" s="112"/>
      <c r="D1061" s="112"/>
      <c r="E1061" s="113"/>
      <c r="F1061" s="113"/>
      <c r="G1061" s="112"/>
      <c r="H1061" s="112"/>
      <c r="Z1061" s="112"/>
      <c r="AA1061" s="112"/>
    </row>
    <row r="1062" spans="3:27" x14ac:dyDescent="0.25">
      <c r="C1062" s="112"/>
      <c r="D1062" s="112"/>
      <c r="E1062" s="113"/>
      <c r="F1062" s="113"/>
      <c r="G1062" s="112"/>
      <c r="H1062" s="112"/>
      <c r="Z1062" s="112"/>
      <c r="AA1062" s="112"/>
    </row>
    <row r="1063" spans="3:27" x14ac:dyDescent="0.25">
      <c r="C1063" s="112"/>
      <c r="D1063" s="112"/>
      <c r="E1063" s="113"/>
      <c r="F1063" s="113"/>
      <c r="G1063" s="112"/>
      <c r="H1063" s="112"/>
      <c r="Z1063" s="112"/>
      <c r="AA1063" s="112"/>
    </row>
    <row r="1064" spans="3:27" x14ac:dyDescent="0.25">
      <c r="C1064" s="112"/>
      <c r="D1064" s="112"/>
      <c r="E1064" s="113"/>
      <c r="F1064" s="113"/>
      <c r="G1064" s="112"/>
      <c r="H1064" s="112"/>
      <c r="Z1064" s="112"/>
      <c r="AA1064" s="112"/>
    </row>
    <row r="1065" spans="3:27" x14ac:dyDescent="0.25">
      <c r="C1065" s="112"/>
      <c r="D1065" s="112"/>
      <c r="E1065" s="113"/>
      <c r="F1065" s="113"/>
      <c r="G1065" s="112"/>
      <c r="H1065" s="112"/>
      <c r="Z1065" s="112"/>
      <c r="AA1065" s="112"/>
    </row>
    <row r="1066" spans="3:27" x14ac:dyDescent="0.25">
      <c r="C1066" s="112"/>
      <c r="D1066" s="112"/>
      <c r="E1066" s="113"/>
      <c r="F1066" s="113"/>
      <c r="G1066" s="112"/>
      <c r="H1066" s="112"/>
      <c r="Z1066" s="112"/>
      <c r="AA1066" s="112"/>
    </row>
    <row r="1067" spans="3:27" x14ac:dyDescent="0.25">
      <c r="C1067" s="112"/>
      <c r="D1067" s="112"/>
      <c r="E1067" s="113"/>
      <c r="F1067" s="113"/>
      <c r="G1067" s="112"/>
      <c r="H1067" s="112"/>
      <c r="Z1067" s="112"/>
      <c r="AA1067" s="112"/>
    </row>
    <row r="1068" spans="3:27" x14ac:dyDescent="0.25">
      <c r="C1068" s="112"/>
      <c r="D1068" s="112"/>
      <c r="E1068" s="113"/>
      <c r="F1068" s="113"/>
      <c r="G1068" s="112"/>
      <c r="H1068" s="112"/>
      <c r="Z1068" s="112"/>
      <c r="AA1068" s="112"/>
    </row>
    <row r="1069" spans="3:27" x14ac:dyDescent="0.25">
      <c r="C1069" s="112"/>
      <c r="D1069" s="112"/>
      <c r="E1069" s="113"/>
      <c r="F1069" s="113"/>
      <c r="G1069" s="112"/>
      <c r="H1069" s="112"/>
      <c r="Z1069" s="112"/>
      <c r="AA1069" s="112"/>
    </row>
    <row r="1070" spans="3:27" x14ac:dyDescent="0.25">
      <c r="C1070" s="112"/>
      <c r="D1070" s="112"/>
      <c r="E1070" s="113"/>
      <c r="F1070" s="113"/>
      <c r="G1070" s="112"/>
      <c r="H1070" s="112"/>
      <c r="Z1070" s="112"/>
      <c r="AA1070" s="112"/>
    </row>
    <row r="1071" spans="3:27" x14ac:dyDescent="0.25">
      <c r="C1071" s="112"/>
      <c r="D1071" s="112"/>
      <c r="E1071" s="113"/>
      <c r="F1071" s="113"/>
      <c r="G1071" s="112"/>
      <c r="H1071" s="112"/>
      <c r="Z1071" s="112"/>
      <c r="AA1071" s="112"/>
    </row>
    <row r="1072" spans="3:27" x14ac:dyDescent="0.25">
      <c r="C1072" s="112"/>
      <c r="D1072" s="112"/>
      <c r="E1072" s="113"/>
      <c r="F1072" s="113"/>
      <c r="G1072" s="112"/>
      <c r="H1072" s="112"/>
      <c r="Z1072" s="112"/>
      <c r="AA1072" s="112"/>
    </row>
    <row r="1073" spans="3:27" x14ac:dyDescent="0.25">
      <c r="C1073" s="112"/>
      <c r="D1073" s="112"/>
      <c r="E1073" s="113"/>
      <c r="F1073" s="113"/>
      <c r="G1073" s="112"/>
      <c r="H1073" s="112"/>
      <c r="Z1073" s="112"/>
      <c r="AA1073" s="112"/>
    </row>
    <row r="1074" spans="3:27" x14ac:dyDescent="0.25">
      <c r="C1074" s="112"/>
      <c r="D1074" s="112"/>
      <c r="E1074" s="113"/>
      <c r="F1074" s="113"/>
      <c r="G1074" s="112"/>
      <c r="H1074" s="112"/>
      <c r="Z1074" s="112"/>
      <c r="AA1074" s="112"/>
    </row>
    <row r="1075" spans="3:27" x14ac:dyDescent="0.25">
      <c r="C1075" s="112"/>
      <c r="D1075" s="112"/>
      <c r="E1075" s="113"/>
      <c r="F1075" s="113"/>
      <c r="G1075" s="112"/>
      <c r="H1075" s="112"/>
      <c r="Z1075" s="112"/>
      <c r="AA1075" s="112"/>
    </row>
    <row r="1076" spans="3:27" x14ac:dyDescent="0.25">
      <c r="C1076" s="112"/>
      <c r="D1076" s="112"/>
      <c r="E1076" s="113"/>
      <c r="F1076" s="113"/>
      <c r="G1076" s="112"/>
      <c r="H1076" s="112"/>
      <c r="Z1076" s="112"/>
      <c r="AA1076" s="112"/>
    </row>
    <row r="1077" spans="3:27" x14ac:dyDescent="0.25">
      <c r="C1077" s="112"/>
      <c r="D1077" s="112"/>
      <c r="E1077" s="113"/>
      <c r="F1077" s="113"/>
      <c r="G1077" s="112"/>
      <c r="H1077" s="112"/>
      <c r="Z1077" s="112"/>
      <c r="AA1077" s="112"/>
    </row>
    <row r="1078" spans="3:27" x14ac:dyDescent="0.25">
      <c r="C1078" s="112"/>
      <c r="D1078" s="112"/>
      <c r="E1078" s="113"/>
      <c r="F1078" s="113"/>
      <c r="G1078" s="112"/>
      <c r="H1078" s="112"/>
      <c r="Z1078" s="112"/>
      <c r="AA1078" s="112"/>
    </row>
    <row r="1079" spans="3:27" x14ac:dyDescent="0.25">
      <c r="C1079" s="112"/>
      <c r="D1079" s="112"/>
      <c r="E1079" s="113"/>
      <c r="F1079" s="113"/>
      <c r="G1079" s="112"/>
      <c r="H1079" s="112"/>
      <c r="Z1079" s="112"/>
      <c r="AA1079" s="112"/>
    </row>
    <row r="1080" spans="3:27" x14ac:dyDescent="0.25">
      <c r="C1080" s="112"/>
      <c r="D1080" s="112"/>
      <c r="E1080" s="113"/>
      <c r="F1080" s="113"/>
      <c r="G1080" s="112"/>
      <c r="H1080" s="112"/>
      <c r="Z1080" s="112"/>
      <c r="AA1080" s="112"/>
    </row>
    <row r="1081" spans="3:27" x14ac:dyDescent="0.25">
      <c r="C1081" s="112"/>
      <c r="D1081" s="112"/>
      <c r="E1081" s="113"/>
      <c r="F1081" s="113"/>
      <c r="G1081" s="112"/>
      <c r="H1081" s="112"/>
      <c r="Z1081" s="112"/>
      <c r="AA1081" s="112"/>
    </row>
    <row r="1082" spans="3:27" x14ac:dyDescent="0.25">
      <c r="C1082" s="112"/>
      <c r="D1082" s="112"/>
      <c r="E1082" s="113"/>
      <c r="F1082" s="113"/>
      <c r="G1082" s="112"/>
      <c r="H1082" s="112"/>
      <c r="Z1082" s="112"/>
      <c r="AA1082" s="112"/>
    </row>
    <row r="1083" spans="3:27" x14ac:dyDescent="0.25">
      <c r="C1083" s="112"/>
      <c r="D1083" s="112"/>
      <c r="E1083" s="113"/>
      <c r="F1083" s="113"/>
      <c r="G1083" s="112"/>
      <c r="H1083" s="112"/>
      <c r="Z1083" s="112"/>
      <c r="AA1083" s="112"/>
    </row>
    <row r="1084" spans="3:27" x14ac:dyDescent="0.25">
      <c r="C1084" s="112"/>
      <c r="D1084" s="112"/>
      <c r="E1084" s="113"/>
      <c r="F1084" s="113"/>
      <c r="G1084" s="112"/>
      <c r="H1084" s="112"/>
      <c r="Z1084" s="112"/>
      <c r="AA1084" s="112"/>
    </row>
    <row r="1085" spans="3:27" x14ac:dyDescent="0.25">
      <c r="C1085" s="112"/>
      <c r="D1085" s="112"/>
      <c r="E1085" s="113"/>
      <c r="F1085" s="113"/>
      <c r="G1085" s="112"/>
      <c r="H1085" s="112"/>
      <c r="Z1085" s="112"/>
      <c r="AA1085" s="112"/>
    </row>
    <row r="1086" spans="3:27" x14ac:dyDescent="0.25">
      <c r="C1086" s="112"/>
      <c r="D1086" s="112"/>
      <c r="E1086" s="113"/>
      <c r="F1086" s="113"/>
      <c r="G1086" s="112"/>
      <c r="H1086" s="112"/>
      <c r="Z1086" s="112"/>
      <c r="AA1086" s="112"/>
    </row>
    <row r="1087" spans="3:27" x14ac:dyDescent="0.25">
      <c r="C1087" s="112"/>
      <c r="D1087" s="112"/>
      <c r="E1087" s="113"/>
      <c r="F1087" s="113"/>
      <c r="G1087" s="112"/>
      <c r="H1087" s="112"/>
      <c r="Z1087" s="112"/>
      <c r="AA1087" s="112"/>
    </row>
    <row r="1088" spans="3:27" x14ac:dyDescent="0.25">
      <c r="C1088" s="112"/>
      <c r="D1088" s="112"/>
      <c r="E1088" s="113"/>
      <c r="F1088" s="113"/>
      <c r="G1088" s="112"/>
      <c r="H1088" s="112"/>
      <c r="Z1088" s="112"/>
      <c r="AA1088" s="112"/>
    </row>
    <row r="1089" spans="3:27" x14ac:dyDescent="0.25">
      <c r="C1089" s="112"/>
      <c r="D1089" s="112"/>
      <c r="E1089" s="113"/>
      <c r="F1089" s="113"/>
      <c r="G1089" s="112"/>
      <c r="H1089" s="112"/>
      <c r="Z1089" s="112"/>
      <c r="AA1089" s="112"/>
    </row>
    <row r="1090" spans="3:27" x14ac:dyDescent="0.25">
      <c r="C1090" s="112"/>
      <c r="D1090" s="112"/>
      <c r="E1090" s="113"/>
      <c r="F1090" s="113"/>
      <c r="G1090" s="112"/>
      <c r="H1090" s="112"/>
      <c r="Z1090" s="112"/>
      <c r="AA1090" s="112"/>
    </row>
    <row r="1091" spans="3:27" x14ac:dyDescent="0.25">
      <c r="C1091" s="112"/>
      <c r="D1091" s="112"/>
      <c r="E1091" s="113"/>
      <c r="F1091" s="113"/>
      <c r="G1091" s="112"/>
      <c r="H1091" s="112"/>
      <c r="Z1091" s="112"/>
      <c r="AA1091" s="112"/>
    </row>
    <row r="1092" spans="3:27" x14ac:dyDescent="0.25">
      <c r="C1092" s="112"/>
      <c r="D1092" s="112"/>
      <c r="E1092" s="113"/>
      <c r="F1092" s="113"/>
      <c r="G1092" s="112"/>
      <c r="H1092" s="112"/>
      <c r="Z1092" s="112"/>
      <c r="AA1092" s="112"/>
    </row>
    <row r="1093" spans="3:27" x14ac:dyDescent="0.25">
      <c r="C1093" s="112"/>
      <c r="D1093" s="112"/>
      <c r="E1093" s="113"/>
      <c r="F1093" s="113"/>
      <c r="G1093" s="112"/>
      <c r="H1093" s="112"/>
      <c r="Z1093" s="112"/>
      <c r="AA1093" s="112"/>
    </row>
    <row r="1094" spans="3:27" x14ac:dyDescent="0.25">
      <c r="C1094" s="112"/>
      <c r="D1094" s="112"/>
      <c r="E1094" s="113"/>
      <c r="F1094" s="113"/>
      <c r="G1094" s="112"/>
      <c r="H1094" s="112"/>
      <c r="Z1094" s="112"/>
      <c r="AA1094" s="112"/>
    </row>
    <row r="1095" spans="3:27" x14ac:dyDescent="0.25">
      <c r="C1095" s="112"/>
      <c r="D1095" s="112"/>
      <c r="E1095" s="113"/>
      <c r="F1095" s="113"/>
      <c r="G1095" s="112"/>
      <c r="H1095" s="112"/>
      <c r="Z1095" s="112"/>
      <c r="AA1095" s="112"/>
    </row>
    <row r="1096" spans="3:27" x14ac:dyDescent="0.25">
      <c r="C1096" s="112"/>
      <c r="D1096" s="112"/>
      <c r="E1096" s="113"/>
      <c r="F1096" s="113"/>
      <c r="G1096" s="112"/>
      <c r="H1096" s="112"/>
      <c r="Z1096" s="112"/>
      <c r="AA1096" s="112"/>
    </row>
    <row r="1097" spans="3:27" x14ac:dyDescent="0.25">
      <c r="C1097" s="112"/>
      <c r="D1097" s="112"/>
      <c r="E1097" s="113"/>
      <c r="F1097" s="113"/>
      <c r="G1097" s="112"/>
      <c r="H1097" s="112"/>
      <c r="Z1097" s="112"/>
      <c r="AA1097" s="112"/>
    </row>
    <row r="1098" spans="3:27" x14ac:dyDescent="0.25">
      <c r="C1098" s="112"/>
      <c r="D1098" s="112"/>
      <c r="E1098" s="113"/>
      <c r="F1098" s="113"/>
      <c r="G1098" s="112"/>
      <c r="H1098" s="112"/>
      <c r="Z1098" s="112"/>
      <c r="AA1098" s="112"/>
    </row>
    <row r="1099" spans="3:27" x14ac:dyDescent="0.25">
      <c r="C1099" s="112"/>
      <c r="D1099" s="112"/>
      <c r="E1099" s="113"/>
      <c r="F1099" s="113"/>
      <c r="G1099" s="112"/>
      <c r="H1099" s="112"/>
      <c r="Z1099" s="112"/>
      <c r="AA1099" s="112"/>
    </row>
    <row r="1100" spans="3:27" x14ac:dyDescent="0.25">
      <c r="C1100" s="112"/>
      <c r="D1100" s="112"/>
      <c r="E1100" s="113"/>
      <c r="F1100" s="113"/>
      <c r="G1100" s="112"/>
      <c r="H1100" s="112"/>
      <c r="Z1100" s="112"/>
      <c r="AA1100" s="112"/>
    </row>
    <row r="1101" spans="3:27" x14ac:dyDescent="0.25">
      <c r="C1101" s="112"/>
      <c r="D1101" s="112"/>
      <c r="E1101" s="113"/>
      <c r="F1101" s="113"/>
      <c r="G1101" s="112"/>
      <c r="H1101" s="112"/>
      <c r="Z1101" s="112"/>
      <c r="AA1101" s="112"/>
    </row>
    <row r="1102" spans="3:27" x14ac:dyDescent="0.25">
      <c r="C1102" s="112"/>
      <c r="D1102" s="112"/>
      <c r="E1102" s="113"/>
      <c r="F1102" s="113"/>
      <c r="G1102" s="112"/>
      <c r="H1102" s="112"/>
      <c r="Z1102" s="112"/>
      <c r="AA1102" s="112"/>
    </row>
    <row r="1103" spans="3:27" x14ac:dyDescent="0.25">
      <c r="C1103" s="112"/>
      <c r="D1103" s="112"/>
      <c r="E1103" s="113"/>
      <c r="F1103" s="113"/>
      <c r="G1103" s="112"/>
      <c r="H1103" s="112"/>
      <c r="Z1103" s="112"/>
      <c r="AA1103" s="112"/>
    </row>
    <row r="1104" spans="3:27" x14ac:dyDescent="0.25">
      <c r="C1104" s="112"/>
      <c r="D1104" s="112"/>
      <c r="E1104" s="113"/>
      <c r="F1104" s="113"/>
      <c r="G1104" s="112"/>
      <c r="H1104" s="112"/>
      <c r="Z1104" s="112"/>
      <c r="AA1104" s="112"/>
    </row>
    <row r="1105" spans="3:27" x14ac:dyDescent="0.25">
      <c r="C1105" s="112"/>
      <c r="D1105" s="112"/>
      <c r="E1105" s="113"/>
      <c r="F1105" s="113"/>
      <c r="G1105" s="112"/>
      <c r="H1105" s="112"/>
      <c r="Z1105" s="112"/>
      <c r="AA1105" s="112"/>
    </row>
    <row r="1106" spans="3:27" x14ac:dyDescent="0.25">
      <c r="C1106" s="112"/>
      <c r="D1106" s="112"/>
      <c r="E1106" s="113"/>
      <c r="F1106" s="113"/>
      <c r="G1106" s="112"/>
      <c r="H1106" s="112"/>
      <c r="Z1106" s="112"/>
      <c r="AA1106" s="112"/>
    </row>
    <row r="1107" spans="3:27" x14ac:dyDescent="0.25">
      <c r="C1107" s="112"/>
      <c r="D1107" s="112"/>
      <c r="E1107" s="113"/>
      <c r="F1107" s="113"/>
      <c r="G1107" s="112"/>
      <c r="H1107" s="112"/>
      <c r="Z1107" s="112"/>
      <c r="AA1107" s="112"/>
    </row>
    <row r="1108" spans="3:27" x14ac:dyDescent="0.25">
      <c r="C1108" s="112"/>
      <c r="D1108" s="112"/>
      <c r="E1108" s="113"/>
      <c r="F1108" s="113"/>
      <c r="G1108" s="112"/>
      <c r="H1108" s="112"/>
      <c r="Z1108" s="112"/>
      <c r="AA1108" s="112"/>
    </row>
    <row r="1109" spans="3:27" x14ac:dyDescent="0.25">
      <c r="C1109" s="112"/>
      <c r="D1109" s="112"/>
      <c r="E1109" s="113"/>
      <c r="F1109" s="113"/>
      <c r="G1109" s="112"/>
      <c r="H1109" s="112"/>
      <c r="Z1109" s="112"/>
      <c r="AA1109" s="112"/>
    </row>
    <row r="1110" spans="3:27" x14ac:dyDescent="0.25">
      <c r="C1110" s="112"/>
      <c r="D1110" s="112"/>
      <c r="E1110" s="113"/>
      <c r="F1110" s="113"/>
      <c r="G1110" s="112"/>
      <c r="H1110" s="112"/>
      <c r="Z1110" s="112"/>
      <c r="AA1110" s="112"/>
    </row>
    <row r="1111" spans="3:27" x14ac:dyDescent="0.25">
      <c r="C1111" s="112"/>
      <c r="D1111" s="112"/>
      <c r="E1111" s="113"/>
      <c r="F1111" s="113"/>
      <c r="G1111" s="112"/>
      <c r="H1111" s="112"/>
      <c r="Z1111" s="112"/>
      <c r="AA1111" s="112"/>
    </row>
    <row r="1112" spans="3:27" x14ac:dyDescent="0.25">
      <c r="C1112" s="112"/>
      <c r="D1112" s="112"/>
      <c r="E1112" s="113"/>
      <c r="F1112" s="113"/>
      <c r="G1112" s="112"/>
      <c r="H1112" s="112"/>
      <c r="Z1112" s="112"/>
      <c r="AA1112" s="112"/>
    </row>
    <row r="1113" spans="3:27" x14ac:dyDescent="0.25">
      <c r="C1113" s="112"/>
      <c r="D1113" s="112"/>
      <c r="E1113" s="113"/>
      <c r="F1113" s="113"/>
      <c r="G1113" s="112"/>
      <c r="H1113" s="112"/>
      <c r="Z1113" s="112"/>
      <c r="AA1113" s="112"/>
    </row>
    <row r="1114" spans="3:27" x14ac:dyDescent="0.25">
      <c r="C1114" s="112"/>
      <c r="D1114" s="112"/>
      <c r="E1114" s="113"/>
      <c r="F1114" s="113"/>
      <c r="G1114" s="112"/>
      <c r="H1114" s="112"/>
      <c r="Z1114" s="112"/>
      <c r="AA1114" s="112"/>
    </row>
    <row r="1115" spans="3:27" x14ac:dyDescent="0.25">
      <c r="C1115" s="112"/>
      <c r="D1115" s="112"/>
      <c r="E1115" s="113"/>
      <c r="F1115" s="113"/>
      <c r="G1115" s="112"/>
      <c r="H1115" s="112"/>
      <c r="Z1115" s="112"/>
      <c r="AA1115" s="112"/>
    </row>
    <row r="1116" spans="3:27" x14ac:dyDescent="0.25">
      <c r="C1116" s="112"/>
      <c r="D1116" s="112"/>
      <c r="E1116" s="113"/>
      <c r="F1116" s="113"/>
      <c r="G1116" s="112"/>
      <c r="H1116" s="112"/>
      <c r="Z1116" s="112"/>
      <c r="AA1116" s="112"/>
    </row>
    <row r="1117" spans="3:27" x14ac:dyDescent="0.25">
      <c r="C1117" s="112"/>
      <c r="D1117" s="112"/>
      <c r="E1117" s="113"/>
      <c r="F1117" s="113"/>
      <c r="G1117" s="112"/>
      <c r="H1117" s="112"/>
      <c r="Z1117" s="112"/>
      <c r="AA1117" s="112"/>
    </row>
    <row r="1118" spans="3:27" x14ac:dyDescent="0.25">
      <c r="C1118" s="112"/>
      <c r="D1118" s="112"/>
      <c r="E1118" s="113"/>
      <c r="F1118" s="113"/>
      <c r="G1118" s="112"/>
      <c r="H1118" s="112"/>
      <c r="Z1118" s="112"/>
      <c r="AA1118" s="112"/>
    </row>
    <row r="1119" spans="3:27" x14ac:dyDescent="0.25">
      <c r="C1119" s="112"/>
      <c r="D1119" s="112"/>
      <c r="E1119" s="113"/>
      <c r="F1119" s="113"/>
      <c r="G1119" s="112"/>
      <c r="H1119" s="112"/>
      <c r="Z1119" s="112"/>
      <c r="AA1119" s="112"/>
    </row>
    <row r="1120" spans="3:27" x14ac:dyDescent="0.25">
      <c r="C1120" s="112"/>
      <c r="D1120" s="112"/>
      <c r="E1120" s="113"/>
      <c r="F1120" s="113"/>
      <c r="G1120" s="112"/>
      <c r="H1120" s="112"/>
      <c r="Z1120" s="112"/>
      <c r="AA1120" s="112"/>
    </row>
    <row r="1121" spans="3:27" x14ac:dyDescent="0.25">
      <c r="C1121" s="112"/>
      <c r="D1121" s="112"/>
      <c r="E1121" s="113"/>
      <c r="F1121" s="113"/>
      <c r="G1121" s="112"/>
      <c r="H1121" s="112"/>
      <c r="Z1121" s="112"/>
      <c r="AA1121" s="112"/>
    </row>
    <row r="1122" spans="3:27" x14ac:dyDescent="0.25">
      <c r="C1122" s="112"/>
      <c r="D1122" s="112"/>
      <c r="E1122" s="113"/>
      <c r="F1122" s="113"/>
      <c r="G1122" s="112"/>
      <c r="H1122" s="112"/>
      <c r="Z1122" s="112"/>
      <c r="AA1122" s="112"/>
    </row>
    <row r="1123" spans="3:27" x14ac:dyDescent="0.25">
      <c r="C1123" s="112"/>
      <c r="D1123" s="112"/>
      <c r="E1123" s="113"/>
      <c r="F1123" s="113"/>
      <c r="G1123" s="112"/>
      <c r="H1123" s="112"/>
      <c r="Z1123" s="112"/>
      <c r="AA1123" s="112"/>
    </row>
    <row r="1124" spans="3:27" x14ac:dyDescent="0.25">
      <c r="C1124" s="112"/>
      <c r="D1124" s="112"/>
      <c r="E1124" s="113"/>
      <c r="F1124" s="113"/>
      <c r="G1124" s="112"/>
      <c r="H1124" s="112"/>
      <c r="Z1124" s="112"/>
      <c r="AA1124" s="112"/>
    </row>
    <row r="1125" spans="3:27" x14ac:dyDescent="0.25">
      <c r="C1125" s="112"/>
      <c r="D1125" s="112"/>
      <c r="E1125" s="113"/>
      <c r="F1125" s="113"/>
      <c r="G1125" s="112"/>
      <c r="H1125" s="112"/>
      <c r="Z1125" s="112"/>
      <c r="AA1125" s="112"/>
    </row>
    <row r="1126" spans="3:27" x14ac:dyDescent="0.25">
      <c r="C1126" s="112"/>
      <c r="D1126" s="112"/>
      <c r="E1126" s="113"/>
      <c r="F1126" s="113"/>
      <c r="G1126" s="112"/>
      <c r="H1126" s="112"/>
      <c r="Z1126" s="112"/>
      <c r="AA1126" s="112"/>
    </row>
    <row r="1127" spans="3:27" x14ac:dyDescent="0.25">
      <c r="C1127" s="112"/>
      <c r="D1127" s="112"/>
      <c r="E1127" s="113"/>
      <c r="F1127" s="113"/>
      <c r="G1127" s="112"/>
      <c r="H1127" s="112"/>
      <c r="Z1127" s="112"/>
      <c r="AA1127" s="112"/>
    </row>
    <row r="1128" spans="3:27" x14ac:dyDescent="0.25">
      <c r="C1128" s="112"/>
      <c r="D1128" s="112"/>
      <c r="E1128" s="113"/>
      <c r="F1128" s="113"/>
      <c r="G1128" s="112"/>
      <c r="H1128" s="112"/>
      <c r="Z1128" s="112"/>
      <c r="AA1128" s="112"/>
    </row>
    <row r="1129" spans="3:27" x14ac:dyDescent="0.25">
      <c r="C1129" s="112"/>
      <c r="D1129" s="112"/>
      <c r="E1129" s="113"/>
      <c r="F1129" s="113"/>
      <c r="G1129" s="112"/>
      <c r="H1129" s="112"/>
      <c r="Z1129" s="112"/>
      <c r="AA1129" s="112"/>
    </row>
    <row r="1130" spans="3:27" x14ac:dyDescent="0.25">
      <c r="C1130" s="112"/>
      <c r="D1130" s="112"/>
      <c r="E1130" s="113"/>
      <c r="F1130" s="113"/>
      <c r="G1130" s="112"/>
      <c r="H1130" s="112"/>
      <c r="Z1130" s="112"/>
      <c r="AA1130" s="112"/>
    </row>
    <row r="1131" spans="3:27" x14ac:dyDescent="0.25">
      <c r="C1131" s="112"/>
      <c r="D1131" s="112"/>
      <c r="E1131" s="113"/>
      <c r="F1131" s="113"/>
      <c r="G1131" s="112"/>
      <c r="H1131" s="112"/>
      <c r="Z1131" s="112"/>
      <c r="AA1131" s="112"/>
    </row>
    <row r="1132" spans="3:27" x14ac:dyDescent="0.25">
      <c r="C1132" s="112"/>
      <c r="D1132" s="112"/>
      <c r="E1132" s="113"/>
      <c r="F1132" s="113"/>
      <c r="G1132" s="112"/>
      <c r="H1132" s="112"/>
      <c r="Z1132" s="112"/>
      <c r="AA1132" s="112"/>
    </row>
    <row r="1133" spans="3:27" x14ac:dyDescent="0.25">
      <c r="C1133" s="112"/>
      <c r="D1133" s="112"/>
      <c r="E1133" s="113"/>
      <c r="F1133" s="113"/>
      <c r="G1133" s="112"/>
      <c r="H1133" s="112"/>
      <c r="Z1133" s="112"/>
      <c r="AA1133" s="112"/>
    </row>
    <row r="1134" spans="3:27" x14ac:dyDescent="0.25">
      <c r="C1134" s="112"/>
      <c r="D1134" s="112"/>
      <c r="E1134" s="113"/>
      <c r="F1134" s="113"/>
      <c r="G1134" s="112"/>
      <c r="H1134" s="112"/>
      <c r="Z1134" s="112"/>
      <c r="AA1134" s="112"/>
    </row>
    <row r="1135" spans="3:27" x14ac:dyDescent="0.25">
      <c r="C1135" s="112"/>
      <c r="D1135" s="112"/>
      <c r="E1135" s="113"/>
      <c r="F1135" s="113"/>
      <c r="G1135" s="112"/>
      <c r="H1135" s="112"/>
      <c r="Z1135" s="112"/>
      <c r="AA1135" s="112"/>
    </row>
    <row r="1136" spans="3:27" x14ac:dyDescent="0.25">
      <c r="C1136" s="112"/>
      <c r="D1136" s="112"/>
      <c r="E1136" s="113"/>
      <c r="F1136" s="113"/>
      <c r="G1136" s="112"/>
      <c r="H1136" s="112"/>
      <c r="Z1136" s="112"/>
      <c r="AA1136" s="112"/>
    </row>
    <row r="1137" spans="3:27" x14ac:dyDescent="0.25">
      <c r="C1137" s="112"/>
      <c r="D1137" s="112"/>
      <c r="E1137" s="113"/>
      <c r="F1137" s="113"/>
      <c r="G1137" s="112"/>
      <c r="H1137" s="112"/>
      <c r="Z1137" s="112"/>
      <c r="AA1137" s="112"/>
    </row>
    <row r="1138" spans="3:27" x14ac:dyDescent="0.25">
      <c r="C1138" s="112"/>
      <c r="D1138" s="112"/>
      <c r="E1138" s="113"/>
      <c r="F1138" s="113"/>
      <c r="G1138" s="112"/>
      <c r="H1138" s="112"/>
      <c r="Z1138" s="112"/>
      <c r="AA1138" s="112"/>
    </row>
    <row r="1139" spans="3:27" x14ac:dyDescent="0.25">
      <c r="C1139" s="112"/>
      <c r="D1139" s="112"/>
      <c r="E1139" s="113"/>
      <c r="F1139" s="113"/>
      <c r="G1139" s="112"/>
      <c r="H1139" s="112"/>
      <c r="Z1139" s="112"/>
      <c r="AA1139" s="112"/>
    </row>
    <row r="1140" spans="3:27" x14ac:dyDescent="0.25">
      <c r="C1140" s="112"/>
      <c r="D1140" s="112"/>
      <c r="E1140" s="113"/>
      <c r="F1140" s="113"/>
      <c r="G1140" s="112"/>
      <c r="H1140" s="112"/>
      <c r="Z1140" s="112"/>
      <c r="AA1140" s="112"/>
    </row>
    <row r="1141" spans="3:27" x14ac:dyDescent="0.25">
      <c r="C1141" s="112"/>
      <c r="D1141" s="112"/>
      <c r="E1141" s="113"/>
      <c r="F1141" s="113"/>
      <c r="G1141" s="112"/>
      <c r="H1141" s="112"/>
      <c r="Z1141" s="112"/>
      <c r="AA1141" s="112"/>
    </row>
    <row r="1142" spans="3:27" x14ac:dyDescent="0.25">
      <c r="C1142" s="112"/>
      <c r="D1142" s="112"/>
      <c r="E1142" s="113"/>
      <c r="F1142" s="113"/>
      <c r="G1142" s="112"/>
      <c r="H1142" s="112"/>
      <c r="Z1142" s="112"/>
      <c r="AA1142" s="112"/>
    </row>
    <row r="1143" spans="3:27" x14ac:dyDescent="0.25">
      <c r="C1143" s="112"/>
      <c r="D1143" s="112"/>
      <c r="E1143" s="113"/>
      <c r="F1143" s="113"/>
      <c r="G1143" s="112"/>
      <c r="H1143" s="112"/>
      <c r="Z1143" s="112"/>
      <c r="AA1143" s="112"/>
    </row>
    <row r="1144" spans="3:27" x14ac:dyDescent="0.25">
      <c r="C1144" s="112"/>
      <c r="D1144" s="112"/>
      <c r="E1144" s="113"/>
      <c r="F1144" s="113"/>
      <c r="G1144" s="112"/>
      <c r="H1144" s="112"/>
      <c r="Z1144" s="112"/>
      <c r="AA1144" s="112"/>
    </row>
    <row r="1145" spans="3:27" x14ac:dyDescent="0.25">
      <c r="C1145" s="112"/>
      <c r="D1145" s="112"/>
      <c r="E1145" s="113"/>
      <c r="F1145" s="113"/>
      <c r="G1145" s="112"/>
      <c r="H1145" s="112"/>
      <c r="Z1145" s="112"/>
      <c r="AA1145" s="112"/>
    </row>
    <row r="1146" spans="3:27" x14ac:dyDescent="0.25">
      <c r="C1146" s="112"/>
      <c r="D1146" s="112"/>
      <c r="E1146" s="113"/>
      <c r="F1146" s="113"/>
      <c r="G1146" s="112"/>
      <c r="H1146" s="112"/>
      <c r="Z1146" s="112"/>
      <c r="AA1146" s="112"/>
    </row>
    <row r="1147" spans="3:27" x14ac:dyDescent="0.25">
      <c r="C1147" s="112"/>
      <c r="D1147" s="112"/>
      <c r="E1147" s="113"/>
      <c r="F1147" s="113"/>
      <c r="G1147" s="112"/>
      <c r="H1147" s="112"/>
      <c r="Z1147" s="112"/>
      <c r="AA1147" s="112"/>
    </row>
    <row r="1148" spans="3:27" x14ac:dyDescent="0.25">
      <c r="C1148" s="112"/>
      <c r="D1148" s="112"/>
      <c r="E1148" s="113"/>
      <c r="F1148" s="113"/>
      <c r="G1148" s="112"/>
      <c r="H1148" s="112"/>
      <c r="Z1148" s="112"/>
      <c r="AA1148" s="112"/>
    </row>
    <row r="1149" spans="3:27" x14ac:dyDescent="0.25">
      <c r="C1149" s="112"/>
      <c r="D1149" s="112"/>
      <c r="E1149" s="113"/>
      <c r="F1149" s="113"/>
      <c r="G1149" s="112"/>
      <c r="H1149" s="112"/>
      <c r="Z1149" s="112"/>
      <c r="AA1149" s="112"/>
    </row>
    <row r="1150" spans="3:27" x14ac:dyDescent="0.25">
      <c r="C1150" s="112"/>
      <c r="D1150" s="112"/>
      <c r="E1150" s="113"/>
      <c r="F1150" s="113"/>
      <c r="G1150" s="112"/>
      <c r="H1150" s="112"/>
      <c r="Z1150" s="112"/>
      <c r="AA1150" s="112"/>
    </row>
    <row r="1151" spans="3:27" x14ac:dyDescent="0.25">
      <c r="C1151" s="112"/>
      <c r="D1151" s="112"/>
      <c r="E1151" s="113"/>
      <c r="F1151" s="113"/>
      <c r="G1151" s="112"/>
      <c r="H1151" s="112"/>
      <c r="Z1151" s="112"/>
      <c r="AA1151" s="112"/>
    </row>
    <row r="1152" spans="3:27" x14ac:dyDescent="0.25">
      <c r="C1152" s="112"/>
      <c r="D1152" s="112"/>
      <c r="E1152" s="113"/>
      <c r="F1152" s="113"/>
      <c r="G1152" s="112"/>
      <c r="H1152" s="112"/>
      <c r="Z1152" s="112"/>
      <c r="AA1152" s="112"/>
    </row>
    <row r="1153" spans="3:27" x14ac:dyDescent="0.25">
      <c r="C1153" s="112"/>
      <c r="D1153" s="112"/>
      <c r="E1153" s="113"/>
      <c r="F1153" s="113"/>
      <c r="G1153" s="112"/>
      <c r="H1153" s="112"/>
      <c r="Z1153" s="112"/>
      <c r="AA1153" s="112"/>
    </row>
    <row r="1154" spans="3:27" x14ac:dyDescent="0.25">
      <c r="C1154" s="112"/>
      <c r="D1154" s="112"/>
      <c r="E1154" s="113"/>
      <c r="F1154" s="113"/>
      <c r="G1154" s="112"/>
      <c r="H1154" s="112"/>
      <c r="Z1154" s="112"/>
      <c r="AA1154" s="112"/>
    </row>
    <row r="1155" spans="3:27" x14ac:dyDescent="0.25">
      <c r="C1155" s="112"/>
      <c r="D1155" s="112"/>
      <c r="E1155" s="113"/>
      <c r="F1155" s="113"/>
      <c r="G1155" s="112"/>
      <c r="H1155" s="112"/>
      <c r="Z1155" s="112"/>
      <c r="AA1155" s="112"/>
    </row>
    <row r="1156" spans="3:27" x14ac:dyDescent="0.25">
      <c r="C1156" s="112"/>
      <c r="D1156" s="112"/>
      <c r="E1156" s="113"/>
      <c r="F1156" s="113"/>
      <c r="G1156" s="112"/>
      <c r="H1156" s="112"/>
      <c r="Z1156" s="112"/>
      <c r="AA1156" s="112"/>
    </row>
    <row r="1157" spans="3:27" x14ac:dyDescent="0.25">
      <c r="C1157" s="112"/>
      <c r="D1157" s="112"/>
      <c r="E1157" s="113"/>
      <c r="F1157" s="113"/>
      <c r="G1157" s="112"/>
      <c r="H1157" s="112"/>
      <c r="Z1157" s="112"/>
      <c r="AA1157" s="112"/>
    </row>
    <row r="1158" spans="3:27" x14ac:dyDescent="0.25">
      <c r="C1158" s="112"/>
      <c r="D1158" s="112"/>
      <c r="E1158" s="113"/>
      <c r="F1158" s="113"/>
      <c r="G1158" s="112"/>
      <c r="H1158" s="112"/>
      <c r="Z1158" s="112"/>
      <c r="AA1158" s="112"/>
    </row>
    <row r="1159" spans="3:27" x14ac:dyDescent="0.25">
      <c r="C1159" s="112"/>
      <c r="D1159" s="112"/>
      <c r="E1159" s="113"/>
      <c r="F1159" s="113"/>
      <c r="G1159" s="112"/>
      <c r="H1159" s="112"/>
      <c r="Z1159" s="112"/>
      <c r="AA1159" s="112"/>
    </row>
    <row r="1160" spans="3:27" x14ac:dyDescent="0.25">
      <c r="C1160" s="112"/>
      <c r="D1160" s="112"/>
      <c r="E1160" s="113"/>
      <c r="F1160" s="113"/>
      <c r="G1160" s="112"/>
      <c r="H1160" s="112"/>
      <c r="Z1160" s="112"/>
      <c r="AA1160" s="112"/>
    </row>
    <row r="1161" spans="3:27" x14ac:dyDescent="0.25">
      <c r="C1161" s="112"/>
      <c r="D1161" s="112"/>
      <c r="E1161" s="113"/>
      <c r="F1161" s="113"/>
      <c r="G1161" s="112"/>
      <c r="H1161" s="112"/>
      <c r="Z1161" s="112"/>
      <c r="AA1161" s="112"/>
    </row>
    <row r="1162" spans="3:27" x14ac:dyDescent="0.25">
      <c r="C1162" s="112"/>
      <c r="D1162" s="112"/>
      <c r="E1162" s="113"/>
      <c r="F1162" s="113"/>
      <c r="G1162" s="112"/>
      <c r="H1162" s="112"/>
      <c r="Z1162" s="112"/>
      <c r="AA1162" s="112"/>
    </row>
    <row r="1163" spans="3:27" x14ac:dyDescent="0.25">
      <c r="C1163" s="112"/>
      <c r="D1163" s="112"/>
      <c r="E1163" s="113"/>
      <c r="F1163" s="113"/>
      <c r="G1163" s="112"/>
      <c r="H1163" s="112"/>
      <c r="Z1163" s="112"/>
      <c r="AA1163" s="112"/>
    </row>
    <row r="1164" spans="3:27" x14ac:dyDescent="0.25">
      <c r="C1164" s="112"/>
      <c r="D1164" s="112"/>
      <c r="E1164" s="113"/>
      <c r="F1164" s="113"/>
      <c r="G1164" s="112"/>
      <c r="H1164" s="112"/>
      <c r="Z1164" s="112"/>
      <c r="AA1164" s="112"/>
    </row>
    <row r="1165" spans="3:27" x14ac:dyDescent="0.25">
      <c r="C1165" s="112"/>
      <c r="D1165" s="112"/>
      <c r="E1165" s="113"/>
      <c r="F1165" s="113"/>
      <c r="G1165" s="112"/>
      <c r="H1165" s="112"/>
      <c r="Z1165" s="112"/>
      <c r="AA1165" s="112"/>
    </row>
    <row r="1166" spans="3:27" x14ac:dyDescent="0.25">
      <c r="C1166" s="112"/>
      <c r="D1166" s="112"/>
      <c r="E1166" s="113"/>
      <c r="F1166" s="113"/>
      <c r="G1166" s="112"/>
      <c r="H1166" s="112"/>
      <c r="Z1166" s="112"/>
      <c r="AA1166" s="112"/>
    </row>
    <row r="1167" spans="3:27" x14ac:dyDescent="0.25">
      <c r="C1167" s="112"/>
      <c r="D1167" s="112"/>
      <c r="E1167" s="113"/>
      <c r="F1167" s="113"/>
      <c r="G1167" s="112"/>
      <c r="H1167" s="112"/>
      <c r="Z1167" s="112"/>
      <c r="AA1167" s="112"/>
    </row>
    <row r="1168" spans="3:27" x14ac:dyDescent="0.25">
      <c r="C1168" s="112"/>
      <c r="D1168" s="112"/>
      <c r="E1168" s="113"/>
      <c r="F1168" s="113"/>
      <c r="G1168" s="112"/>
      <c r="H1168" s="112"/>
      <c r="Z1168" s="112"/>
      <c r="AA1168" s="112"/>
    </row>
    <row r="1169" spans="3:27" x14ac:dyDescent="0.25">
      <c r="C1169" s="112"/>
      <c r="D1169" s="112"/>
      <c r="E1169" s="113"/>
      <c r="F1169" s="113"/>
      <c r="G1169" s="112"/>
      <c r="H1169" s="112"/>
      <c r="Z1169" s="112"/>
      <c r="AA1169" s="112"/>
    </row>
    <row r="1170" spans="3:27" x14ac:dyDescent="0.25">
      <c r="C1170" s="112"/>
      <c r="D1170" s="112"/>
      <c r="E1170" s="113"/>
      <c r="F1170" s="113"/>
      <c r="G1170" s="112"/>
      <c r="H1170" s="112"/>
      <c r="Z1170" s="112"/>
      <c r="AA1170" s="112"/>
    </row>
    <row r="1171" spans="3:27" x14ac:dyDescent="0.25">
      <c r="C1171" s="112"/>
      <c r="D1171" s="112"/>
      <c r="E1171" s="113"/>
      <c r="F1171" s="113"/>
      <c r="G1171" s="112"/>
      <c r="H1171" s="112"/>
      <c r="Z1171" s="112"/>
      <c r="AA1171" s="112"/>
    </row>
    <row r="1172" spans="3:27" x14ac:dyDescent="0.25">
      <c r="C1172" s="112"/>
      <c r="D1172" s="112"/>
      <c r="E1172" s="113"/>
      <c r="F1172" s="113"/>
      <c r="G1172" s="112"/>
      <c r="H1172" s="112"/>
      <c r="Z1172" s="112"/>
      <c r="AA1172" s="112"/>
    </row>
    <row r="1173" spans="3:27" x14ac:dyDescent="0.25">
      <c r="C1173" s="112"/>
      <c r="D1173" s="112"/>
      <c r="E1173" s="113"/>
      <c r="F1173" s="113"/>
      <c r="G1173" s="112"/>
      <c r="H1173" s="112"/>
      <c r="Z1173" s="112"/>
      <c r="AA1173" s="112"/>
    </row>
    <row r="1174" spans="3:27" x14ac:dyDescent="0.25">
      <c r="C1174" s="112"/>
      <c r="D1174" s="112"/>
      <c r="E1174" s="113"/>
      <c r="F1174" s="113"/>
      <c r="G1174" s="112"/>
      <c r="H1174" s="112"/>
      <c r="Z1174" s="112"/>
      <c r="AA1174" s="112"/>
    </row>
    <row r="1175" spans="3:27" x14ac:dyDescent="0.25">
      <c r="C1175" s="112"/>
      <c r="D1175" s="112"/>
      <c r="E1175" s="113"/>
      <c r="F1175" s="113"/>
      <c r="G1175" s="112"/>
      <c r="H1175" s="112"/>
      <c r="Z1175" s="112"/>
      <c r="AA1175" s="112"/>
    </row>
    <row r="1176" spans="3:27" x14ac:dyDescent="0.25">
      <c r="C1176" s="112"/>
      <c r="D1176" s="112"/>
      <c r="E1176" s="113"/>
      <c r="F1176" s="113"/>
      <c r="G1176" s="112"/>
      <c r="H1176" s="112"/>
      <c r="Z1176" s="112"/>
      <c r="AA1176" s="112"/>
    </row>
    <row r="1177" spans="3:27" x14ac:dyDescent="0.25">
      <c r="C1177" s="112"/>
      <c r="D1177" s="112"/>
      <c r="E1177" s="113"/>
      <c r="F1177" s="113"/>
      <c r="G1177" s="112"/>
      <c r="H1177" s="112"/>
      <c r="Z1177" s="112"/>
      <c r="AA1177" s="112"/>
    </row>
    <row r="1178" spans="3:27" x14ac:dyDescent="0.25">
      <c r="C1178" s="112"/>
      <c r="D1178" s="112"/>
      <c r="E1178" s="113"/>
      <c r="F1178" s="113"/>
      <c r="G1178" s="112"/>
      <c r="H1178" s="112"/>
      <c r="Z1178" s="112"/>
      <c r="AA1178" s="112"/>
    </row>
    <row r="1179" spans="3:27" x14ac:dyDescent="0.25">
      <c r="C1179" s="112"/>
      <c r="D1179" s="112"/>
      <c r="E1179" s="113"/>
      <c r="F1179" s="113"/>
      <c r="G1179" s="112"/>
      <c r="H1179" s="112"/>
      <c r="Z1179" s="112"/>
      <c r="AA1179" s="112"/>
    </row>
    <row r="1180" spans="3:27" x14ac:dyDescent="0.25">
      <c r="C1180" s="112"/>
      <c r="D1180" s="112"/>
      <c r="E1180" s="113"/>
      <c r="F1180" s="113"/>
      <c r="G1180" s="112"/>
      <c r="H1180" s="112"/>
      <c r="Z1180" s="112"/>
      <c r="AA1180" s="112"/>
    </row>
    <row r="1181" spans="3:27" x14ac:dyDescent="0.25">
      <c r="C1181" s="112"/>
      <c r="D1181" s="112"/>
      <c r="E1181" s="113"/>
      <c r="F1181" s="113"/>
      <c r="G1181" s="112"/>
      <c r="H1181" s="112"/>
      <c r="Z1181" s="112"/>
      <c r="AA1181" s="112"/>
    </row>
    <row r="1182" spans="3:27" x14ac:dyDescent="0.25">
      <c r="C1182" s="112"/>
      <c r="D1182" s="112"/>
      <c r="E1182" s="113"/>
      <c r="F1182" s="113"/>
      <c r="G1182" s="112"/>
      <c r="H1182" s="112"/>
      <c r="Z1182" s="112"/>
      <c r="AA1182" s="112"/>
    </row>
    <row r="1183" spans="3:27" x14ac:dyDescent="0.25">
      <c r="C1183" s="112"/>
      <c r="D1183" s="112"/>
      <c r="E1183" s="113"/>
      <c r="F1183" s="113"/>
      <c r="G1183" s="112"/>
      <c r="H1183" s="112"/>
      <c r="Z1183" s="112"/>
      <c r="AA1183" s="112"/>
    </row>
    <row r="1184" spans="3:27" x14ac:dyDescent="0.25">
      <c r="C1184" s="112"/>
      <c r="D1184" s="112"/>
      <c r="E1184" s="113"/>
      <c r="F1184" s="113"/>
      <c r="G1184" s="112"/>
      <c r="H1184" s="112"/>
      <c r="Z1184" s="112"/>
      <c r="AA1184" s="112"/>
    </row>
    <row r="1185" spans="3:27" x14ac:dyDescent="0.25">
      <c r="C1185" s="112"/>
      <c r="D1185" s="112"/>
      <c r="E1185" s="113"/>
      <c r="F1185" s="113"/>
      <c r="G1185" s="112"/>
      <c r="H1185" s="112"/>
      <c r="Z1185" s="112"/>
      <c r="AA1185" s="112"/>
    </row>
    <row r="1186" spans="3:27" x14ac:dyDescent="0.25">
      <c r="C1186" s="112"/>
      <c r="D1186" s="112"/>
      <c r="E1186" s="113"/>
      <c r="F1186" s="113"/>
      <c r="G1186" s="112"/>
      <c r="H1186" s="112"/>
      <c r="Z1186" s="112"/>
      <c r="AA1186" s="112"/>
    </row>
    <row r="1187" spans="3:27" x14ac:dyDescent="0.25">
      <c r="C1187" s="112"/>
      <c r="D1187" s="112"/>
      <c r="E1187" s="113"/>
      <c r="F1187" s="113"/>
      <c r="G1187" s="112"/>
      <c r="H1187" s="112"/>
      <c r="Z1187" s="112"/>
      <c r="AA1187" s="112"/>
    </row>
    <row r="1188" spans="3:27" x14ac:dyDescent="0.25">
      <c r="C1188" s="112"/>
      <c r="D1188" s="112"/>
      <c r="E1188" s="113"/>
      <c r="F1188" s="113"/>
      <c r="G1188" s="112"/>
      <c r="H1188" s="112"/>
      <c r="Z1188" s="112"/>
      <c r="AA1188" s="112"/>
    </row>
    <row r="1189" spans="3:27" x14ac:dyDescent="0.25">
      <c r="C1189" s="112"/>
      <c r="D1189" s="112"/>
      <c r="E1189" s="113"/>
      <c r="F1189" s="113"/>
      <c r="G1189" s="112"/>
      <c r="H1189" s="112"/>
      <c r="Z1189" s="112"/>
      <c r="AA1189" s="112"/>
    </row>
    <row r="1190" spans="3:27" x14ac:dyDescent="0.25">
      <c r="C1190" s="112"/>
      <c r="D1190" s="112"/>
      <c r="E1190" s="113"/>
      <c r="F1190" s="113"/>
      <c r="G1190" s="112"/>
      <c r="H1190" s="112"/>
      <c r="Z1190" s="112"/>
      <c r="AA1190" s="112"/>
    </row>
    <row r="1191" spans="3:27" x14ac:dyDescent="0.25">
      <c r="C1191" s="112"/>
      <c r="D1191" s="112"/>
      <c r="E1191" s="113"/>
      <c r="F1191" s="113"/>
      <c r="G1191" s="112"/>
      <c r="H1191" s="112"/>
      <c r="Z1191" s="112"/>
      <c r="AA1191" s="112"/>
    </row>
    <row r="1192" spans="3:27" x14ac:dyDescent="0.25">
      <c r="C1192" s="112"/>
      <c r="D1192" s="112"/>
      <c r="E1192" s="113"/>
      <c r="F1192" s="113"/>
      <c r="G1192" s="112"/>
      <c r="H1192" s="112"/>
      <c r="Z1192" s="112"/>
      <c r="AA1192" s="112"/>
    </row>
    <row r="1193" spans="3:27" x14ac:dyDescent="0.25">
      <c r="C1193" s="112"/>
      <c r="D1193" s="112"/>
      <c r="E1193" s="113"/>
      <c r="F1193" s="113"/>
      <c r="G1193" s="112"/>
      <c r="H1193" s="112"/>
      <c r="Z1193" s="112"/>
      <c r="AA1193" s="112"/>
    </row>
    <row r="1194" spans="3:27" x14ac:dyDescent="0.25">
      <c r="C1194" s="112"/>
      <c r="D1194" s="112"/>
      <c r="E1194" s="113"/>
      <c r="F1194" s="113"/>
      <c r="G1194" s="112"/>
      <c r="H1194" s="112"/>
      <c r="Z1194" s="112"/>
      <c r="AA1194" s="112"/>
    </row>
    <row r="1195" spans="3:27" x14ac:dyDescent="0.25">
      <c r="C1195" s="112"/>
      <c r="D1195" s="112"/>
      <c r="E1195" s="113"/>
      <c r="F1195" s="113"/>
      <c r="G1195" s="112"/>
      <c r="H1195" s="112"/>
      <c r="Z1195" s="112"/>
      <c r="AA1195" s="112"/>
    </row>
    <row r="1196" spans="3:27" x14ac:dyDescent="0.25">
      <c r="C1196" s="112"/>
      <c r="D1196" s="112"/>
      <c r="E1196" s="113"/>
      <c r="F1196" s="113"/>
      <c r="G1196" s="112"/>
      <c r="H1196" s="112"/>
      <c r="Z1196" s="112"/>
      <c r="AA1196" s="112"/>
    </row>
    <row r="1197" spans="3:27" x14ac:dyDescent="0.25">
      <c r="C1197" s="112"/>
      <c r="D1197" s="112"/>
      <c r="E1197" s="113"/>
      <c r="F1197" s="113"/>
      <c r="G1197" s="112"/>
      <c r="H1197" s="112"/>
      <c r="Z1197" s="112"/>
      <c r="AA1197" s="112"/>
    </row>
    <row r="1198" spans="3:27" x14ac:dyDescent="0.25">
      <c r="C1198" s="112"/>
      <c r="D1198" s="112"/>
      <c r="E1198" s="113"/>
      <c r="F1198" s="113"/>
      <c r="G1198" s="112"/>
      <c r="H1198" s="112"/>
      <c r="Z1198" s="112"/>
      <c r="AA1198" s="112"/>
    </row>
    <row r="1199" spans="3:27" x14ac:dyDescent="0.25">
      <c r="C1199" s="112"/>
      <c r="D1199" s="112"/>
      <c r="E1199" s="113"/>
      <c r="F1199" s="113"/>
      <c r="G1199" s="112"/>
      <c r="H1199" s="112"/>
      <c r="Z1199" s="112"/>
      <c r="AA1199" s="112"/>
    </row>
    <row r="1200" spans="3:27" x14ac:dyDescent="0.25">
      <c r="C1200" s="112"/>
      <c r="D1200" s="112"/>
      <c r="E1200" s="113"/>
      <c r="F1200" s="113"/>
      <c r="G1200" s="112"/>
      <c r="H1200" s="112"/>
      <c r="Z1200" s="112"/>
      <c r="AA1200" s="112"/>
    </row>
    <row r="1201" spans="3:27" x14ac:dyDescent="0.25">
      <c r="C1201" s="112"/>
      <c r="D1201" s="112"/>
      <c r="E1201" s="113"/>
      <c r="F1201" s="113"/>
      <c r="G1201" s="112"/>
      <c r="H1201" s="112"/>
      <c r="Z1201" s="112"/>
      <c r="AA1201" s="112"/>
    </row>
    <row r="1202" spans="3:27" x14ac:dyDescent="0.25">
      <c r="C1202" s="112"/>
      <c r="D1202" s="112"/>
      <c r="E1202" s="113"/>
      <c r="F1202" s="113"/>
      <c r="G1202" s="112"/>
      <c r="H1202" s="112"/>
      <c r="Z1202" s="112"/>
      <c r="AA1202" s="112"/>
    </row>
    <row r="1203" spans="3:27" x14ac:dyDescent="0.25">
      <c r="C1203" s="112"/>
      <c r="D1203" s="112"/>
      <c r="E1203" s="113"/>
      <c r="F1203" s="113"/>
      <c r="G1203" s="112"/>
      <c r="H1203" s="112"/>
      <c r="Z1203" s="112"/>
      <c r="AA1203" s="112"/>
    </row>
    <row r="1204" spans="3:27" x14ac:dyDescent="0.25">
      <c r="C1204" s="112"/>
      <c r="D1204" s="112"/>
      <c r="E1204" s="113"/>
      <c r="F1204" s="113"/>
      <c r="G1204" s="112"/>
      <c r="H1204" s="112"/>
      <c r="Z1204" s="112"/>
      <c r="AA1204" s="112"/>
    </row>
    <row r="1205" spans="3:27" x14ac:dyDescent="0.25">
      <c r="C1205" s="112"/>
      <c r="D1205" s="112"/>
      <c r="E1205" s="113"/>
      <c r="F1205" s="113"/>
      <c r="G1205" s="112"/>
      <c r="H1205" s="112"/>
      <c r="Z1205" s="112"/>
      <c r="AA1205" s="112"/>
    </row>
    <row r="1206" spans="3:27" x14ac:dyDescent="0.25">
      <c r="C1206" s="112"/>
      <c r="D1206" s="112"/>
      <c r="E1206" s="113"/>
      <c r="F1206" s="113"/>
      <c r="G1206" s="112"/>
      <c r="H1206" s="112"/>
      <c r="Z1206" s="112"/>
      <c r="AA1206" s="112"/>
    </row>
    <row r="1207" spans="3:27" x14ac:dyDescent="0.25">
      <c r="C1207" s="112"/>
      <c r="D1207" s="112"/>
      <c r="E1207" s="113"/>
      <c r="F1207" s="113"/>
      <c r="G1207" s="112"/>
      <c r="H1207" s="112"/>
      <c r="Z1207" s="112"/>
      <c r="AA1207" s="112"/>
    </row>
    <row r="1208" spans="3:27" x14ac:dyDescent="0.25">
      <c r="C1208" s="112"/>
      <c r="D1208" s="112"/>
      <c r="E1208" s="113"/>
      <c r="F1208" s="113"/>
      <c r="G1208" s="112"/>
      <c r="H1208" s="112"/>
      <c r="Z1208" s="112"/>
      <c r="AA1208" s="112"/>
    </row>
    <row r="1209" spans="3:27" x14ac:dyDescent="0.25">
      <c r="C1209" s="112"/>
      <c r="D1209" s="112"/>
      <c r="E1209" s="113"/>
      <c r="F1209" s="113"/>
      <c r="G1209" s="112"/>
      <c r="H1209" s="112"/>
      <c r="Z1209" s="112"/>
      <c r="AA1209" s="112"/>
    </row>
    <row r="1210" spans="3:27" x14ac:dyDescent="0.25">
      <c r="C1210" s="112"/>
      <c r="D1210" s="112"/>
      <c r="E1210" s="113"/>
      <c r="F1210" s="113"/>
      <c r="G1210" s="112"/>
      <c r="H1210" s="112"/>
      <c r="Z1210" s="112"/>
      <c r="AA1210" s="112"/>
    </row>
    <row r="1211" spans="3:27" x14ac:dyDescent="0.25">
      <c r="C1211" s="112"/>
      <c r="D1211" s="112"/>
      <c r="E1211" s="113"/>
      <c r="F1211" s="113"/>
      <c r="G1211" s="112"/>
      <c r="H1211" s="112"/>
      <c r="Z1211" s="112"/>
      <c r="AA1211" s="112"/>
    </row>
    <row r="1212" spans="3:27" x14ac:dyDescent="0.25">
      <c r="C1212" s="112"/>
      <c r="D1212" s="112"/>
      <c r="E1212" s="113"/>
      <c r="F1212" s="113"/>
      <c r="G1212" s="112"/>
      <c r="H1212" s="112"/>
      <c r="Z1212" s="112"/>
      <c r="AA1212" s="112"/>
    </row>
    <row r="1213" spans="3:27" x14ac:dyDescent="0.25">
      <c r="C1213" s="112"/>
      <c r="D1213" s="112"/>
      <c r="E1213" s="113"/>
      <c r="F1213" s="113"/>
      <c r="G1213" s="112"/>
      <c r="H1213" s="112"/>
      <c r="Z1213" s="112"/>
      <c r="AA1213" s="112"/>
    </row>
    <row r="1214" spans="3:27" x14ac:dyDescent="0.25">
      <c r="C1214" s="112"/>
      <c r="D1214" s="112"/>
      <c r="E1214" s="113"/>
      <c r="F1214" s="113"/>
      <c r="G1214" s="112"/>
      <c r="H1214" s="112"/>
      <c r="Z1214" s="112"/>
      <c r="AA1214" s="112"/>
    </row>
    <row r="1215" spans="3:27" x14ac:dyDescent="0.25">
      <c r="C1215" s="112"/>
      <c r="D1215" s="112"/>
      <c r="E1215" s="113"/>
      <c r="F1215" s="113"/>
      <c r="G1215" s="112"/>
      <c r="H1215" s="112"/>
      <c r="Z1215" s="112"/>
      <c r="AA1215" s="112"/>
    </row>
    <row r="1216" spans="3:27" x14ac:dyDescent="0.25">
      <c r="C1216" s="112"/>
      <c r="D1216" s="112"/>
      <c r="E1216" s="113"/>
      <c r="F1216" s="113"/>
      <c r="G1216" s="112"/>
      <c r="H1216" s="112"/>
      <c r="Z1216" s="112"/>
      <c r="AA1216" s="112"/>
    </row>
    <row r="1217" spans="3:27" x14ac:dyDescent="0.25">
      <c r="C1217" s="112"/>
      <c r="D1217" s="112"/>
      <c r="E1217" s="113"/>
      <c r="F1217" s="113"/>
      <c r="G1217" s="112"/>
      <c r="H1217" s="112"/>
      <c r="Z1217" s="112"/>
      <c r="AA1217" s="112"/>
    </row>
    <row r="1218" spans="3:27" x14ac:dyDescent="0.25">
      <c r="C1218" s="112"/>
      <c r="D1218" s="112"/>
      <c r="E1218" s="113"/>
      <c r="F1218" s="113"/>
      <c r="G1218" s="112"/>
      <c r="H1218" s="112"/>
      <c r="Z1218" s="112"/>
      <c r="AA1218" s="112"/>
    </row>
    <row r="1219" spans="3:27" x14ac:dyDescent="0.25">
      <c r="C1219" s="112"/>
      <c r="D1219" s="112"/>
      <c r="E1219" s="113"/>
      <c r="F1219" s="113"/>
      <c r="G1219" s="112"/>
      <c r="H1219" s="112"/>
      <c r="Z1219" s="112"/>
      <c r="AA1219" s="112"/>
    </row>
    <row r="1220" spans="3:27" x14ac:dyDescent="0.25">
      <c r="C1220" s="112"/>
      <c r="D1220" s="112"/>
      <c r="E1220" s="113"/>
      <c r="F1220" s="113"/>
      <c r="G1220" s="112"/>
      <c r="H1220" s="112"/>
      <c r="Z1220" s="112"/>
      <c r="AA1220" s="112"/>
    </row>
    <row r="1221" spans="3:27" x14ac:dyDescent="0.25">
      <c r="C1221" s="112"/>
      <c r="D1221" s="112"/>
      <c r="E1221" s="113"/>
      <c r="F1221" s="113"/>
      <c r="G1221" s="112"/>
      <c r="H1221" s="112"/>
      <c r="Z1221" s="112"/>
      <c r="AA1221" s="112"/>
    </row>
    <row r="1222" spans="3:27" x14ac:dyDescent="0.25">
      <c r="C1222" s="112"/>
      <c r="D1222" s="112"/>
      <c r="E1222" s="113"/>
      <c r="F1222" s="113"/>
      <c r="G1222" s="112"/>
      <c r="H1222" s="112"/>
      <c r="Z1222" s="112"/>
      <c r="AA1222" s="112"/>
    </row>
    <row r="1223" spans="3:27" x14ac:dyDescent="0.25">
      <c r="C1223" s="112"/>
      <c r="D1223" s="112"/>
      <c r="E1223" s="113"/>
      <c r="F1223" s="113"/>
      <c r="G1223" s="112"/>
      <c r="H1223" s="112"/>
      <c r="Z1223" s="112"/>
      <c r="AA1223" s="112"/>
    </row>
    <row r="1224" spans="3:27" x14ac:dyDescent="0.25">
      <c r="C1224" s="112"/>
      <c r="D1224" s="112"/>
      <c r="E1224" s="113"/>
      <c r="F1224" s="113"/>
      <c r="G1224" s="112"/>
      <c r="H1224" s="112"/>
      <c r="Z1224" s="112"/>
      <c r="AA1224" s="112"/>
    </row>
    <row r="1225" spans="3:27" x14ac:dyDescent="0.25">
      <c r="C1225" s="112"/>
      <c r="D1225" s="112"/>
      <c r="E1225" s="113"/>
      <c r="F1225" s="113"/>
      <c r="G1225" s="112"/>
      <c r="H1225" s="112"/>
      <c r="Z1225" s="112"/>
      <c r="AA1225" s="112"/>
    </row>
    <row r="1226" spans="3:27" x14ac:dyDescent="0.25">
      <c r="C1226" s="112"/>
      <c r="D1226" s="112"/>
      <c r="E1226" s="113"/>
      <c r="F1226" s="113"/>
      <c r="G1226" s="112"/>
      <c r="H1226" s="112"/>
      <c r="Z1226" s="112"/>
      <c r="AA1226" s="112"/>
    </row>
    <row r="1227" spans="3:27" x14ac:dyDescent="0.25">
      <c r="C1227" s="112"/>
      <c r="D1227" s="112"/>
      <c r="E1227" s="113"/>
      <c r="F1227" s="113"/>
      <c r="G1227" s="112"/>
      <c r="H1227" s="112"/>
      <c r="Z1227" s="112"/>
      <c r="AA1227" s="112"/>
    </row>
    <row r="1228" spans="3:27" x14ac:dyDescent="0.25">
      <c r="C1228" s="112"/>
      <c r="D1228" s="112"/>
      <c r="E1228" s="113"/>
      <c r="F1228" s="113"/>
      <c r="G1228" s="112"/>
      <c r="H1228" s="112"/>
      <c r="Z1228" s="112"/>
      <c r="AA1228" s="112"/>
    </row>
    <row r="1229" spans="3:27" x14ac:dyDescent="0.25">
      <c r="C1229" s="112"/>
      <c r="D1229" s="112"/>
      <c r="E1229" s="113"/>
      <c r="F1229" s="113"/>
      <c r="G1229" s="112"/>
      <c r="H1229" s="112"/>
      <c r="Z1229" s="112"/>
      <c r="AA1229" s="112"/>
    </row>
    <row r="1230" spans="3:27" x14ac:dyDescent="0.25">
      <c r="C1230" s="112"/>
      <c r="D1230" s="112"/>
      <c r="E1230" s="113"/>
      <c r="F1230" s="113"/>
      <c r="G1230" s="112"/>
      <c r="H1230" s="112"/>
      <c r="Z1230" s="112"/>
      <c r="AA1230" s="112"/>
    </row>
    <row r="1231" spans="3:27" x14ac:dyDescent="0.25">
      <c r="C1231" s="112"/>
      <c r="D1231" s="112"/>
      <c r="E1231" s="113"/>
      <c r="F1231" s="113"/>
      <c r="G1231" s="112"/>
      <c r="H1231" s="112"/>
      <c r="Z1231" s="112"/>
      <c r="AA1231" s="112"/>
    </row>
    <row r="1232" spans="3:27" x14ac:dyDescent="0.25">
      <c r="C1232" s="112"/>
      <c r="D1232" s="112"/>
      <c r="E1232" s="113"/>
      <c r="F1232" s="113"/>
      <c r="G1232" s="112"/>
      <c r="H1232" s="112"/>
      <c r="Z1232" s="112"/>
      <c r="AA1232" s="112"/>
    </row>
    <row r="1233" spans="3:27" x14ac:dyDescent="0.25">
      <c r="C1233" s="112"/>
      <c r="D1233" s="112"/>
      <c r="E1233" s="113"/>
      <c r="F1233" s="113"/>
      <c r="G1233" s="112"/>
      <c r="H1233" s="112"/>
      <c r="Z1233" s="112"/>
      <c r="AA1233" s="112"/>
    </row>
    <row r="1234" spans="3:27" x14ac:dyDescent="0.25">
      <c r="C1234" s="112"/>
      <c r="D1234" s="112"/>
      <c r="E1234" s="113"/>
      <c r="F1234" s="113"/>
      <c r="G1234" s="112"/>
      <c r="H1234" s="112"/>
      <c r="Z1234" s="112"/>
      <c r="AA1234" s="112"/>
    </row>
    <row r="1235" spans="3:27" x14ac:dyDescent="0.25">
      <c r="C1235" s="112"/>
      <c r="D1235" s="112"/>
      <c r="E1235" s="113"/>
      <c r="F1235" s="113"/>
      <c r="G1235" s="112"/>
      <c r="H1235" s="112"/>
      <c r="Z1235" s="112"/>
      <c r="AA1235" s="112"/>
    </row>
    <row r="1236" spans="3:27" x14ac:dyDescent="0.25">
      <c r="C1236" s="112"/>
      <c r="D1236" s="112"/>
      <c r="E1236" s="113"/>
      <c r="F1236" s="113"/>
      <c r="G1236" s="112"/>
      <c r="H1236" s="112"/>
      <c r="Z1236" s="112"/>
      <c r="AA1236" s="112"/>
    </row>
    <row r="1237" spans="3:27" x14ac:dyDescent="0.25">
      <c r="C1237" s="112"/>
      <c r="D1237" s="112"/>
      <c r="E1237" s="113"/>
      <c r="F1237" s="113"/>
      <c r="G1237" s="112"/>
      <c r="H1237" s="112"/>
      <c r="Z1237" s="112"/>
      <c r="AA1237" s="112"/>
    </row>
    <row r="1238" spans="3:27" x14ac:dyDescent="0.25">
      <c r="C1238" s="112"/>
      <c r="D1238" s="112"/>
      <c r="E1238" s="113"/>
      <c r="F1238" s="113"/>
      <c r="G1238" s="112"/>
      <c r="H1238" s="112"/>
      <c r="Z1238" s="112"/>
      <c r="AA1238" s="112"/>
    </row>
    <row r="1239" spans="3:27" x14ac:dyDescent="0.25">
      <c r="C1239" s="112"/>
      <c r="D1239" s="112"/>
      <c r="E1239" s="113"/>
      <c r="F1239" s="113"/>
      <c r="G1239" s="112"/>
      <c r="H1239" s="112"/>
      <c r="Z1239" s="112"/>
      <c r="AA1239" s="112"/>
    </row>
    <row r="1240" spans="3:27" x14ac:dyDescent="0.25">
      <c r="C1240" s="112"/>
      <c r="D1240" s="112"/>
      <c r="E1240" s="113"/>
      <c r="F1240" s="113"/>
      <c r="G1240" s="112"/>
      <c r="H1240" s="112"/>
      <c r="Z1240" s="112"/>
      <c r="AA1240" s="112"/>
    </row>
    <row r="1241" spans="3:27" x14ac:dyDescent="0.25">
      <c r="C1241" s="112"/>
      <c r="D1241" s="112"/>
      <c r="E1241" s="113"/>
      <c r="F1241" s="113"/>
      <c r="G1241" s="112"/>
      <c r="H1241" s="112"/>
      <c r="Z1241" s="112"/>
      <c r="AA1241" s="112"/>
    </row>
    <row r="1242" spans="3:27" x14ac:dyDescent="0.25">
      <c r="C1242" s="112"/>
      <c r="D1242" s="112"/>
      <c r="E1242" s="113"/>
      <c r="F1242" s="113"/>
      <c r="G1242" s="112"/>
      <c r="H1242" s="112"/>
      <c r="Z1242" s="112"/>
      <c r="AA1242" s="112"/>
    </row>
    <row r="1243" spans="3:27" x14ac:dyDescent="0.25">
      <c r="C1243" s="112"/>
      <c r="D1243" s="112"/>
      <c r="E1243" s="113"/>
      <c r="F1243" s="113"/>
      <c r="G1243" s="112"/>
      <c r="H1243" s="112"/>
      <c r="Z1243" s="112"/>
      <c r="AA1243" s="112"/>
    </row>
    <row r="1244" spans="3:27" x14ac:dyDescent="0.25">
      <c r="C1244" s="112"/>
      <c r="D1244" s="112"/>
      <c r="E1244" s="113"/>
      <c r="F1244" s="113"/>
      <c r="G1244" s="112"/>
      <c r="H1244" s="112"/>
      <c r="Z1244" s="112"/>
      <c r="AA1244" s="112"/>
    </row>
    <row r="1245" spans="3:27" x14ac:dyDescent="0.25">
      <c r="C1245" s="112"/>
      <c r="D1245" s="112"/>
      <c r="E1245" s="113"/>
      <c r="F1245" s="113"/>
      <c r="G1245" s="112"/>
      <c r="H1245" s="112"/>
      <c r="Z1245" s="112"/>
      <c r="AA1245" s="112"/>
    </row>
    <row r="1246" spans="3:27" x14ac:dyDescent="0.25">
      <c r="C1246" s="112"/>
      <c r="D1246" s="112"/>
      <c r="E1246" s="113"/>
      <c r="F1246" s="113"/>
      <c r="G1246" s="112"/>
      <c r="H1246" s="112"/>
      <c r="Z1246" s="112"/>
      <c r="AA1246" s="112"/>
    </row>
    <row r="1247" spans="3:27" x14ac:dyDescent="0.25">
      <c r="C1247" s="112"/>
      <c r="D1247" s="112"/>
      <c r="E1247" s="113"/>
      <c r="F1247" s="113"/>
      <c r="G1247" s="112"/>
      <c r="H1247" s="112"/>
      <c r="Z1247" s="112"/>
      <c r="AA1247" s="112"/>
    </row>
    <row r="1248" spans="3:27" x14ac:dyDescent="0.25">
      <c r="C1248" s="112"/>
      <c r="D1248" s="112"/>
      <c r="E1248" s="113"/>
      <c r="F1248" s="113"/>
      <c r="G1248" s="112"/>
      <c r="H1248" s="112"/>
      <c r="Z1248" s="112"/>
      <c r="AA1248" s="112"/>
    </row>
    <row r="1249" spans="3:27" x14ac:dyDescent="0.25">
      <c r="C1249" s="112"/>
      <c r="D1249" s="112"/>
      <c r="E1249" s="113"/>
      <c r="F1249" s="113"/>
      <c r="G1249" s="112"/>
      <c r="H1249" s="112"/>
      <c r="Z1249" s="112"/>
      <c r="AA1249" s="112"/>
    </row>
    <row r="1250" spans="3:27" x14ac:dyDescent="0.25">
      <c r="C1250" s="112"/>
      <c r="D1250" s="112"/>
      <c r="E1250" s="113"/>
      <c r="F1250" s="113"/>
      <c r="G1250" s="112"/>
      <c r="H1250" s="112"/>
      <c r="Z1250" s="112"/>
      <c r="AA1250" s="112"/>
    </row>
    <row r="1251" spans="3:27" x14ac:dyDescent="0.25">
      <c r="C1251" s="112"/>
      <c r="D1251" s="112"/>
      <c r="E1251" s="113"/>
      <c r="F1251" s="113"/>
      <c r="G1251" s="112"/>
      <c r="H1251" s="112"/>
      <c r="Z1251" s="112"/>
      <c r="AA1251" s="112"/>
    </row>
    <row r="1252" spans="3:27" x14ac:dyDescent="0.25">
      <c r="C1252" s="112"/>
      <c r="D1252" s="112"/>
      <c r="E1252" s="113"/>
      <c r="F1252" s="113"/>
      <c r="G1252" s="112"/>
      <c r="H1252" s="112"/>
      <c r="Z1252" s="112"/>
      <c r="AA1252" s="112"/>
    </row>
    <row r="1253" spans="3:27" x14ac:dyDescent="0.25">
      <c r="C1253" s="112"/>
      <c r="D1253" s="112"/>
      <c r="E1253" s="113"/>
      <c r="F1253" s="113"/>
      <c r="G1253" s="112"/>
      <c r="H1253" s="112"/>
      <c r="Z1253" s="112"/>
      <c r="AA1253" s="112"/>
    </row>
    <row r="1254" spans="3:27" x14ac:dyDescent="0.25">
      <c r="C1254" s="112"/>
      <c r="D1254" s="112"/>
      <c r="E1254" s="113"/>
      <c r="F1254" s="113"/>
      <c r="G1254" s="112"/>
      <c r="H1254" s="112"/>
      <c r="Z1254" s="112"/>
      <c r="AA1254" s="112"/>
    </row>
    <row r="1255" spans="3:27" x14ac:dyDescent="0.25">
      <c r="C1255" s="112"/>
      <c r="D1255" s="112"/>
      <c r="E1255" s="113"/>
      <c r="F1255" s="113"/>
      <c r="G1255" s="112"/>
      <c r="H1255" s="112"/>
      <c r="Z1255" s="112"/>
      <c r="AA1255" s="112"/>
    </row>
    <row r="1256" spans="3:27" x14ac:dyDescent="0.25">
      <c r="C1256" s="112"/>
      <c r="D1256" s="112"/>
      <c r="E1256" s="113"/>
      <c r="F1256" s="113"/>
      <c r="G1256" s="112"/>
      <c r="H1256" s="112"/>
      <c r="Z1256" s="112"/>
      <c r="AA1256" s="112"/>
    </row>
    <row r="1257" spans="3:27" x14ac:dyDescent="0.25">
      <c r="C1257" s="112"/>
      <c r="D1257" s="112"/>
      <c r="E1257" s="113"/>
      <c r="F1257" s="113"/>
      <c r="G1257" s="112"/>
      <c r="H1257" s="112"/>
      <c r="Z1257" s="112"/>
      <c r="AA1257" s="112"/>
    </row>
    <row r="1258" spans="3:27" x14ac:dyDescent="0.25">
      <c r="C1258" s="112"/>
      <c r="D1258" s="112"/>
      <c r="E1258" s="113"/>
      <c r="F1258" s="113"/>
      <c r="G1258" s="112"/>
      <c r="H1258" s="112"/>
      <c r="Z1258" s="112"/>
      <c r="AA1258" s="112"/>
    </row>
    <row r="1259" spans="3:27" x14ac:dyDescent="0.25">
      <c r="C1259" s="112"/>
      <c r="D1259" s="112"/>
      <c r="E1259" s="113"/>
      <c r="F1259" s="113"/>
      <c r="G1259" s="112"/>
      <c r="H1259" s="112"/>
      <c r="Z1259" s="112"/>
      <c r="AA1259" s="112"/>
    </row>
    <row r="1260" spans="3:27" x14ac:dyDescent="0.25">
      <c r="C1260" s="112"/>
      <c r="D1260" s="112"/>
      <c r="E1260" s="113"/>
      <c r="F1260" s="113"/>
      <c r="G1260" s="112"/>
      <c r="H1260" s="112"/>
      <c r="Z1260" s="112"/>
      <c r="AA1260" s="112"/>
    </row>
    <row r="1261" spans="3:27" x14ac:dyDescent="0.25">
      <c r="C1261" s="112"/>
      <c r="D1261" s="112"/>
      <c r="E1261" s="113"/>
      <c r="F1261" s="113"/>
      <c r="G1261" s="112"/>
      <c r="H1261" s="112"/>
      <c r="Z1261" s="112"/>
      <c r="AA1261" s="112"/>
    </row>
    <row r="1262" spans="3:27" x14ac:dyDescent="0.25">
      <c r="C1262" s="112"/>
      <c r="D1262" s="112"/>
      <c r="E1262" s="113"/>
      <c r="F1262" s="113"/>
      <c r="G1262" s="112"/>
      <c r="H1262" s="112"/>
      <c r="Z1262" s="112"/>
      <c r="AA1262" s="112"/>
    </row>
    <row r="1263" spans="3:27" x14ac:dyDescent="0.25">
      <c r="C1263" s="112"/>
      <c r="D1263" s="112"/>
      <c r="E1263" s="113"/>
      <c r="F1263" s="113"/>
      <c r="G1263" s="112"/>
      <c r="H1263" s="112"/>
      <c r="Z1263" s="112"/>
      <c r="AA1263" s="112"/>
    </row>
    <row r="1264" spans="3:27" x14ac:dyDescent="0.25">
      <c r="C1264" s="112"/>
      <c r="D1264" s="112"/>
      <c r="E1264" s="113"/>
      <c r="F1264" s="113"/>
      <c r="G1264" s="112"/>
      <c r="H1264" s="112"/>
      <c r="Z1264" s="112"/>
      <c r="AA1264" s="112"/>
    </row>
    <row r="1265" spans="3:27" x14ac:dyDescent="0.25">
      <c r="C1265" s="112"/>
      <c r="D1265" s="112"/>
      <c r="E1265" s="113"/>
      <c r="F1265" s="113"/>
      <c r="G1265" s="112"/>
      <c r="H1265" s="112"/>
      <c r="Z1265" s="112"/>
      <c r="AA1265" s="112"/>
    </row>
    <row r="1266" spans="3:27" x14ac:dyDescent="0.25">
      <c r="C1266" s="112"/>
      <c r="D1266" s="112"/>
      <c r="E1266" s="113"/>
      <c r="F1266" s="113"/>
      <c r="G1266" s="112"/>
      <c r="H1266" s="112"/>
      <c r="Z1266" s="112"/>
      <c r="AA1266" s="112"/>
    </row>
    <row r="1267" spans="3:27" x14ac:dyDescent="0.25">
      <c r="C1267" s="112"/>
      <c r="D1267" s="112"/>
      <c r="E1267" s="113"/>
      <c r="F1267" s="113"/>
      <c r="G1267" s="112"/>
      <c r="H1267" s="112"/>
      <c r="Z1267" s="112"/>
      <c r="AA1267" s="112"/>
    </row>
    <row r="1268" spans="3:27" x14ac:dyDescent="0.25">
      <c r="C1268" s="112"/>
      <c r="D1268" s="112"/>
      <c r="E1268" s="113"/>
      <c r="F1268" s="113"/>
      <c r="G1268" s="112"/>
      <c r="H1268" s="112"/>
      <c r="Z1268" s="112"/>
      <c r="AA1268" s="112"/>
    </row>
    <row r="1269" spans="3:27" x14ac:dyDescent="0.25">
      <c r="C1269" s="112"/>
      <c r="D1269" s="112"/>
      <c r="E1269" s="113"/>
      <c r="F1269" s="113"/>
      <c r="G1269" s="112"/>
      <c r="H1269" s="112"/>
      <c r="Z1269" s="112"/>
      <c r="AA1269" s="112"/>
    </row>
    <row r="1270" spans="3:27" x14ac:dyDescent="0.25">
      <c r="C1270" s="112"/>
      <c r="D1270" s="112"/>
      <c r="E1270" s="113"/>
      <c r="F1270" s="113"/>
      <c r="G1270" s="112"/>
      <c r="H1270" s="112"/>
      <c r="Z1270" s="112"/>
      <c r="AA1270" s="112"/>
    </row>
    <row r="1271" spans="3:27" x14ac:dyDescent="0.25">
      <c r="C1271" s="112"/>
      <c r="D1271" s="112"/>
      <c r="E1271" s="113"/>
      <c r="F1271" s="113"/>
      <c r="G1271" s="112"/>
      <c r="H1271" s="112"/>
      <c r="Z1271" s="112"/>
      <c r="AA1271" s="112"/>
    </row>
    <row r="1272" spans="3:27" x14ac:dyDescent="0.25">
      <c r="C1272" s="112"/>
      <c r="D1272" s="112"/>
      <c r="E1272" s="113"/>
      <c r="F1272" s="113"/>
      <c r="G1272" s="112"/>
      <c r="H1272" s="112"/>
      <c r="Z1272" s="112"/>
      <c r="AA1272" s="112"/>
    </row>
    <row r="1273" spans="3:27" x14ac:dyDescent="0.25">
      <c r="C1273" s="112"/>
      <c r="D1273" s="112"/>
      <c r="E1273" s="113"/>
      <c r="F1273" s="113"/>
      <c r="G1273" s="112"/>
      <c r="H1273" s="112"/>
      <c r="Z1273" s="112"/>
      <c r="AA1273" s="112"/>
    </row>
    <row r="1274" spans="3:27" x14ac:dyDescent="0.25">
      <c r="C1274" s="112"/>
      <c r="D1274" s="112"/>
      <c r="E1274" s="113"/>
      <c r="F1274" s="113"/>
      <c r="G1274" s="112"/>
      <c r="H1274" s="112"/>
      <c r="Z1274" s="112"/>
      <c r="AA1274" s="112"/>
    </row>
    <row r="1275" spans="3:27" x14ac:dyDescent="0.25">
      <c r="C1275" s="112"/>
      <c r="D1275" s="112"/>
      <c r="E1275" s="113"/>
      <c r="F1275" s="113"/>
      <c r="G1275" s="112"/>
      <c r="H1275" s="112"/>
      <c r="Z1275" s="112"/>
      <c r="AA1275" s="112"/>
    </row>
    <row r="1276" spans="3:27" x14ac:dyDescent="0.25">
      <c r="C1276" s="112"/>
      <c r="D1276" s="112"/>
      <c r="E1276" s="113"/>
      <c r="F1276" s="113"/>
      <c r="G1276" s="112"/>
      <c r="H1276" s="112"/>
      <c r="Z1276" s="112"/>
      <c r="AA1276" s="112"/>
    </row>
    <row r="1277" spans="3:27" x14ac:dyDescent="0.25">
      <c r="C1277" s="112"/>
      <c r="D1277" s="112"/>
      <c r="E1277" s="113"/>
      <c r="F1277" s="113"/>
      <c r="G1277" s="112"/>
      <c r="H1277" s="112"/>
      <c r="Z1277" s="112"/>
      <c r="AA1277" s="112"/>
    </row>
    <row r="1278" spans="3:27" x14ac:dyDescent="0.25">
      <c r="C1278" s="112"/>
      <c r="D1278" s="112"/>
      <c r="E1278" s="113"/>
      <c r="F1278" s="113"/>
      <c r="G1278" s="112"/>
      <c r="H1278" s="112"/>
      <c r="Z1278" s="112"/>
      <c r="AA1278" s="112"/>
    </row>
    <row r="1279" spans="3:27" x14ac:dyDescent="0.25">
      <c r="C1279" s="112"/>
      <c r="D1279" s="112"/>
      <c r="E1279" s="113"/>
      <c r="F1279" s="113"/>
      <c r="G1279" s="112"/>
      <c r="H1279" s="112"/>
      <c r="Z1279" s="112"/>
      <c r="AA1279" s="112"/>
    </row>
    <row r="1280" spans="3:27" x14ac:dyDescent="0.25">
      <c r="C1280" s="112"/>
      <c r="D1280" s="112"/>
      <c r="E1280" s="113"/>
      <c r="F1280" s="113"/>
      <c r="G1280" s="112"/>
      <c r="H1280" s="112"/>
      <c r="Z1280" s="112"/>
      <c r="AA1280" s="112"/>
    </row>
    <row r="1281" spans="3:27" x14ac:dyDescent="0.25">
      <c r="C1281" s="112"/>
      <c r="D1281" s="112"/>
      <c r="E1281" s="113"/>
      <c r="F1281" s="113"/>
      <c r="G1281" s="112"/>
      <c r="H1281" s="112"/>
      <c r="Z1281" s="112"/>
      <c r="AA1281" s="112"/>
    </row>
    <row r="1282" spans="3:27" x14ac:dyDescent="0.25">
      <c r="C1282" s="112"/>
      <c r="D1282" s="112"/>
      <c r="E1282" s="113"/>
      <c r="F1282" s="113"/>
      <c r="G1282" s="112"/>
      <c r="H1282" s="112"/>
      <c r="Z1282" s="112"/>
      <c r="AA1282" s="112"/>
    </row>
    <row r="1283" spans="3:27" x14ac:dyDescent="0.25">
      <c r="C1283" s="112"/>
      <c r="D1283" s="112"/>
      <c r="E1283" s="113"/>
      <c r="F1283" s="113"/>
      <c r="G1283" s="112"/>
      <c r="H1283" s="112"/>
      <c r="Z1283" s="112"/>
      <c r="AA1283" s="112"/>
    </row>
    <row r="1284" spans="3:27" x14ac:dyDescent="0.25">
      <c r="C1284" s="112"/>
      <c r="D1284" s="112"/>
      <c r="E1284" s="113"/>
      <c r="F1284" s="113"/>
      <c r="G1284" s="112"/>
      <c r="H1284" s="112"/>
      <c r="Z1284" s="112"/>
      <c r="AA1284" s="112"/>
    </row>
    <row r="1285" spans="3:27" x14ac:dyDescent="0.25">
      <c r="C1285" s="112"/>
      <c r="D1285" s="112"/>
      <c r="E1285" s="113"/>
      <c r="F1285" s="113"/>
      <c r="G1285" s="112"/>
      <c r="H1285" s="112"/>
      <c r="Z1285" s="112"/>
      <c r="AA1285" s="112"/>
    </row>
    <row r="1286" spans="3:27" x14ac:dyDescent="0.25">
      <c r="C1286" s="112"/>
      <c r="D1286" s="112"/>
      <c r="E1286" s="113"/>
      <c r="F1286" s="113"/>
      <c r="G1286" s="112"/>
      <c r="H1286" s="112"/>
      <c r="Z1286" s="112"/>
      <c r="AA1286" s="112"/>
    </row>
    <row r="1287" spans="3:27" x14ac:dyDescent="0.25">
      <c r="C1287" s="112"/>
      <c r="D1287" s="112"/>
      <c r="E1287" s="113"/>
      <c r="F1287" s="113"/>
      <c r="G1287" s="112"/>
      <c r="H1287" s="112"/>
      <c r="Z1287" s="112"/>
      <c r="AA1287" s="112"/>
    </row>
    <row r="1288" spans="3:27" x14ac:dyDescent="0.25">
      <c r="C1288" s="112"/>
      <c r="D1288" s="112"/>
      <c r="E1288" s="113"/>
      <c r="F1288" s="113"/>
      <c r="G1288" s="112"/>
      <c r="H1288" s="112"/>
      <c r="Z1288" s="112"/>
      <c r="AA1288" s="112"/>
    </row>
    <row r="1289" spans="3:27" x14ac:dyDescent="0.25">
      <c r="C1289" s="112"/>
      <c r="D1289" s="112"/>
      <c r="E1289" s="113"/>
      <c r="F1289" s="113"/>
      <c r="G1289" s="112"/>
      <c r="H1289" s="112"/>
      <c r="Z1289" s="112"/>
      <c r="AA1289" s="112"/>
    </row>
    <row r="1290" spans="3:27" x14ac:dyDescent="0.25">
      <c r="C1290" s="112"/>
      <c r="D1290" s="112"/>
      <c r="E1290" s="113"/>
      <c r="F1290" s="113"/>
      <c r="G1290" s="112"/>
      <c r="H1290" s="112"/>
      <c r="Z1290" s="112"/>
      <c r="AA1290" s="112"/>
    </row>
    <row r="1291" spans="3:27" x14ac:dyDescent="0.25">
      <c r="C1291" s="112"/>
      <c r="D1291" s="112"/>
      <c r="E1291" s="113"/>
      <c r="F1291" s="113"/>
      <c r="G1291" s="112"/>
      <c r="H1291" s="112"/>
      <c r="Z1291" s="112"/>
      <c r="AA1291" s="112"/>
    </row>
    <row r="1292" spans="3:27" x14ac:dyDescent="0.25">
      <c r="C1292" s="112"/>
      <c r="D1292" s="112"/>
      <c r="E1292" s="113"/>
      <c r="F1292" s="113"/>
      <c r="G1292" s="112"/>
      <c r="H1292" s="112"/>
      <c r="Z1292" s="112"/>
      <c r="AA1292" s="112"/>
    </row>
    <row r="1293" spans="3:27" x14ac:dyDescent="0.25">
      <c r="C1293" s="112"/>
      <c r="D1293" s="112"/>
      <c r="E1293" s="113"/>
      <c r="F1293" s="113"/>
      <c r="G1293" s="112"/>
      <c r="H1293" s="112"/>
      <c r="Z1293" s="112"/>
      <c r="AA1293" s="112"/>
    </row>
    <row r="1294" spans="3:27" x14ac:dyDescent="0.25">
      <c r="C1294" s="112"/>
      <c r="D1294" s="112"/>
      <c r="E1294" s="113"/>
      <c r="F1294" s="113"/>
      <c r="G1294" s="112"/>
      <c r="H1294" s="112"/>
      <c r="Z1294" s="112"/>
      <c r="AA1294" s="112"/>
    </row>
    <row r="1295" spans="3:27" x14ac:dyDescent="0.25">
      <c r="C1295" s="112"/>
      <c r="D1295" s="112"/>
      <c r="E1295" s="113"/>
      <c r="F1295" s="113"/>
      <c r="G1295" s="112"/>
      <c r="H1295" s="112"/>
      <c r="Z1295" s="112"/>
      <c r="AA1295" s="112"/>
    </row>
    <row r="1296" spans="3:27" x14ac:dyDescent="0.25">
      <c r="C1296" s="112"/>
      <c r="D1296" s="112"/>
      <c r="E1296" s="113"/>
      <c r="F1296" s="113"/>
      <c r="G1296" s="112"/>
      <c r="H1296" s="112"/>
      <c r="Z1296" s="112"/>
      <c r="AA1296" s="112"/>
    </row>
    <row r="1297" spans="3:27" x14ac:dyDescent="0.25">
      <c r="C1297" s="112"/>
      <c r="D1297" s="112"/>
      <c r="E1297" s="113"/>
      <c r="F1297" s="113"/>
      <c r="G1297" s="112"/>
      <c r="H1297" s="112"/>
      <c r="Z1297" s="112"/>
      <c r="AA1297" s="112"/>
    </row>
    <row r="1298" spans="3:27" x14ac:dyDescent="0.25">
      <c r="C1298" s="112"/>
      <c r="D1298" s="112"/>
      <c r="E1298" s="113"/>
      <c r="F1298" s="113"/>
      <c r="G1298" s="112"/>
      <c r="H1298" s="112"/>
      <c r="Z1298" s="112"/>
      <c r="AA1298" s="112"/>
    </row>
    <row r="1299" spans="3:27" x14ac:dyDescent="0.25">
      <c r="C1299" s="112"/>
      <c r="D1299" s="112"/>
      <c r="E1299" s="113"/>
      <c r="F1299" s="113"/>
      <c r="G1299" s="112"/>
      <c r="H1299" s="112"/>
      <c r="Z1299" s="112"/>
      <c r="AA1299" s="112"/>
    </row>
    <row r="1300" spans="3:27" x14ac:dyDescent="0.25">
      <c r="C1300" s="112"/>
      <c r="D1300" s="112"/>
      <c r="E1300" s="113"/>
      <c r="F1300" s="113"/>
      <c r="G1300" s="112"/>
      <c r="H1300" s="112"/>
      <c r="Z1300" s="112"/>
      <c r="AA1300" s="112"/>
    </row>
    <row r="1301" spans="3:27" x14ac:dyDescent="0.25">
      <c r="C1301" s="112"/>
      <c r="D1301" s="112"/>
      <c r="E1301" s="113"/>
      <c r="F1301" s="113"/>
      <c r="G1301" s="112"/>
      <c r="H1301" s="112"/>
      <c r="Z1301" s="112"/>
      <c r="AA1301" s="112"/>
    </row>
    <row r="1302" spans="3:27" x14ac:dyDescent="0.25">
      <c r="C1302" s="112"/>
      <c r="D1302" s="112"/>
      <c r="E1302" s="113"/>
      <c r="F1302" s="113"/>
      <c r="G1302" s="112"/>
      <c r="H1302" s="112"/>
      <c r="Z1302" s="112"/>
      <c r="AA1302" s="112"/>
    </row>
    <row r="1303" spans="3:27" x14ac:dyDescent="0.25">
      <c r="C1303" s="112"/>
      <c r="D1303" s="112"/>
      <c r="E1303" s="113"/>
      <c r="F1303" s="113"/>
      <c r="G1303" s="112"/>
      <c r="H1303" s="112"/>
      <c r="Z1303" s="112"/>
      <c r="AA1303" s="112"/>
    </row>
    <row r="1304" spans="3:27" x14ac:dyDescent="0.25">
      <c r="C1304" s="112"/>
      <c r="D1304" s="112"/>
      <c r="E1304" s="113"/>
      <c r="F1304" s="113"/>
      <c r="G1304" s="112"/>
      <c r="H1304" s="112"/>
      <c r="Z1304" s="112"/>
      <c r="AA1304" s="112"/>
    </row>
    <row r="1305" spans="3:27" x14ac:dyDescent="0.25">
      <c r="C1305" s="112"/>
      <c r="D1305" s="112"/>
      <c r="E1305" s="113"/>
      <c r="F1305" s="113"/>
      <c r="G1305" s="112"/>
      <c r="H1305" s="112"/>
      <c r="Z1305" s="112"/>
      <c r="AA1305" s="112"/>
    </row>
    <row r="1306" spans="3:27" x14ac:dyDescent="0.25">
      <c r="C1306" s="112"/>
      <c r="D1306" s="112"/>
      <c r="E1306" s="113"/>
      <c r="F1306" s="113"/>
      <c r="G1306" s="112"/>
      <c r="H1306" s="112"/>
      <c r="Z1306" s="112"/>
      <c r="AA1306" s="112"/>
    </row>
    <row r="1307" spans="3:27" x14ac:dyDescent="0.25">
      <c r="C1307" s="112"/>
      <c r="D1307" s="112"/>
      <c r="E1307" s="113"/>
      <c r="F1307" s="113"/>
      <c r="G1307" s="112"/>
      <c r="H1307" s="112"/>
      <c r="Z1307" s="112"/>
      <c r="AA1307" s="112"/>
    </row>
    <row r="1308" spans="3:27" x14ac:dyDescent="0.25">
      <c r="C1308" s="112"/>
      <c r="D1308" s="112"/>
      <c r="E1308" s="113"/>
      <c r="F1308" s="113"/>
      <c r="G1308" s="112"/>
      <c r="H1308" s="112"/>
      <c r="Z1308" s="112"/>
      <c r="AA1308" s="112"/>
    </row>
    <row r="1309" spans="3:27" x14ac:dyDescent="0.25">
      <c r="C1309" s="112"/>
      <c r="D1309" s="112"/>
      <c r="E1309" s="113"/>
      <c r="F1309" s="113"/>
      <c r="G1309" s="112"/>
      <c r="H1309" s="112"/>
      <c r="Z1309" s="112"/>
      <c r="AA1309" s="112"/>
    </row>
    <row r="1310" spans="3:27" x14ac:dyDescent="0.25">
      <c r="C1310" s="112"/>
      <c r="D1310" s="112"/>
      <c r="E1310" s="113"/>
      <c r="F1310" s="113"/>
      <c r="G1310" s="112"/>
      <c r="H1310" s="112"/>
      <c r="Z1310" s="112"/>
      <c r="AA1310" s="112"/>
    </row>
    <row r="1311" spans="3:27" x14ac:dyDescent="0.25">
      <c r="C1311" s="112"/>
      <c r="D1311" s="112"/>
      <c r="E1311" s="113"/>
      <c r="F1311" s="113"/>
      <c r="G1311" s="112"/>
      <c r="H1311" s="112"/>
      <c r="Z1311" s="112"/>
      <c r="AA1311" s="112"/>
    </row>
    <row r="1312" spans="3:27" x14ac:dyDescent="0.25">
      <c r="C1312" s="112"/>
      <c r="D1312" s="112"/>
      <c r="E1312" s="113"/>
      <c r="F1312" s="113"/>
      <c r="G1312" s="112"/>
      <c r="H1312" s="112"/>
      <c r="Z1312" s="112"/>
      <c r="AA1312" s="112"/>
    </row>
    <row r="1313" spans="3:27" x14ac:dyDescent="0.25">
      <c r="C1313" s="112"/>
      <c r="D1313" s="112"/>
      <c r="E1313" s="113"/>
      <c r="F1313" s="113"/>
      <c r="G1313" s="112"/>
      <c r="H1313" s="112"/>
      <c r="Z1313" s="112"/>
      <c r="AA1313" s="112"/>
    </row>
    <row r="1314" spans="3:27" x14ac:dyDescent="0.25">
      <c r="C1314" s="112"/>
      <c r="D1314" s="112"/>
      <c r="E1314" s="113"/>
      <c r="F1314" s="113"/>
      <c r="G1314" s="112"/>
      <c r="H1314" s="112"/>
      <c r="Z1314" s="112"/>
      <c r="AA1314" s="112"/>
    </row>
    <row r="1315" spans="3:27" x14ac:dyDescent="0.25">
      <c r="C1315" s="112"/>
      <c r="D1315" s="112"/>
      <c r="E1315" s="113"/>
      <c r="F1315" s="113"/>
      <c r="G1315" s="112"/>
      <c r="H1315" s="112"/>
      <c r="Z1315" s="112"/>
      <c r="AA1315" s="112"/>
    </row>
    <row r="1316" spans="3:27" x14ac:dyDescent="0.25">
      <c r="C1316" s="112"/>
      <c r="D1316" s="112"/>
      <c r="E1316" s="113"/>
      <c r="F1316" s="113"/>
      <c r="G1316" s="112"/>
      <c r="H1316" s="112"/>
      <c r="Z1316" s="112"/>
      <c r="AA1316" s="112"/>
    </row>
    <row r="1317" spans="3:27" x14ac:dyDescent="0.25">
      <c r="C1317" s="112"/>
      <c r="D1317" s="112"/>
      <c r="E1317" s="113"/>
      <c r="F1317" s="113"/>
      <c r="G1317" s="112"/>
      <c r="H1317" s="112"/>
      <c r="Z1317" s="112"/>
      <c r="AA1317" s="112"/>
    </row>
    <row r="1318" spans="3:27" x14ac:dyDescent="0.25">
      <c r="C1318" s="112"/>
      <c r="D1318" s="112"/>
      <c r="E1318" s="113"/>
      <c r="F1318" s="113"/>
      <c r="G1318" s="112"/>
      <c r="H1318" s="112"/>
      <c r="Z1318" s="112"/>
      <c r="AA1318" s="112"/>
    </row>
    <row r="1319" spans="3:27" x14ac:dyDescent="0.25">
      <c r="C1319" s="112"/>
      <c r="D1319" s="112"/>
      <c r="E1319" s="113"/>
      <c r="F1319" s="113"/>
      <c r="G1319" s="112"/>
      <c r="H1319" s="112"/>
      <c r="Z1319" s="112"/>
      <c r="AA1319" s="112"/>
    </row>
    <row r="1320" spans="3:27" x14ac:dyDescent="0.25">
      <c r="C1320" s="112"/>
      <c r="D1320" s="112"/>
      <c r="E1320" s="113"/>
      <c r="F1320" s="113"/>
      <c r="G1320" s="112"/>
      <c r="H1320" s="112"/>
      <c r="Z1320" s="112"/>
      <c r="AA1320" s="112"/>
    </row>
    <row r="1321" spans="3:27" x14ac:dyDescent="0.25">
      <c r="C1321" s="112"/>
      <c r="D1321" s="112"/>
      <c r="E1321" s="113"/>
      <c r="F1321" s="113"/>
      <c r="G1321" s="112"/>
      <c r="H1321" s="112"/>
      <c r="Z1321" s="112"/>
      <c r="AA1321" s="112"/>
    </row>
    <row r="1322" spans="3:27" x14ac:dyDescent="0.25">
      <c r="C1322" s="112"/>
      <c r="D1322" s="112"/>
      <c r="E1322" s="113"/>
      <c r="F1322" s="113"/>
      <c r="G1322" s="112"/>
      <c r="H1322" s="112"/>
      <c r="Z1322" s="112"/>
      <c r="AA1322" s="112"/>
    </row>
    <row r="1323" spans="3:27" x14ac:dyDescent="0.25">
      <c r="C1323" s="112"/>
      <c r="D1323" s="112"/>
      <c r="E1323" s="113"/>
      <c r="F1323" s="113"/>
      <c r="G1323" s="112"/>
      <c r="H1323" s="112"/>
      <c r="Z1323" s="112"/>
      <c r="AA1323" s="112"/>
    </row>
    <row r="1324" spans="3:27" x14ac:dyDescent="0.25">
      <c r="C1324" s="112"/>
      <c r="D1324" s="112"/>
      <c r="E1324" s="113"/>
      <c r="F1324" s="113"/>
      <c r="G1324" s="112"/>
      <c r="H1324" s="112"/>
      <c r="Z1324" s="112"/>
      <c r="AA1324" s="112"/>
    </row>
    <row r="1325" spans="3:27" x14ac:dyDescent="0.25">
      <c r="C1325" s="112"/>
      <c r="D1325" s="112"/>
      <c r="E1325" s="113"/>
      <c r="F1325" s="113"/>
      <c r="G1325" s="112"/>
      <c r="H1325" s="112"/>
      <c r="Z1325" s="112"/>
      <c r="AA1325" s="112"/>
    </row>
    <row r="1326" spans="3:27" x14ac:dyDescent="0.25">
      <c r="C1326" s="112"/>
      <c r="D1326" s="112"/>
      <c r="E1326" s="113"/>
      <c r="F1326" s="113"/>
      <c r="G1326" s="112"/>
      <c r="H1326" s="112"/>
      <c r="Z1326" s="112"/>
      <c r="AA1326" s="112"/>
    </row>
    <row r="1327" spans="3:27" x14ac:dyDescent="0.25">
      <c r="C1327" s="112"/>
      <c r="D1327" s="112"/>
      <c r="E1327" s="113"/>
      <c r="F1327" s="113"/>
      <c r="G1327" s="112"/>
      <c r="H1327" s="112"/>
      <c r="Z1327" s="112"/>
      <c r="AA1327" s="112"/>
    </row>
    <row r="1328" spans="3:27" x14ac:dyDescent="0.25">
      <c r="C1328" s="112"/>
      <c r="D1328" s="112"/>
      <c r="E1328" s="113"/>
      <c r="F1328" s="113"/>
      <c r="G1328" s="112"/>
      <c r="H1328" s="112"/>
      <c r="Z1328" s="112"/>
      <c r="AA1328" s="112"/>
    </row>
    <row r="1329" spans="3:27" x14ac:dyDescent="0.25">
      <c r="C1329" s="112"/>
      <c r="D1329" s="112"/>
      <c r="E1329" s="113"/>
      <c r="F1329" s="113"/>
      <c r="G1329" s="112"/>
      <c r="H1329" s="112"/>
      <c r="Z1329" s="112"/>
      <c r="AA1329" s="112"/>
    </row>
    <row r="1330" spans="3:27" x14ac:dyDescent="0.25">
      <c r="C1330" s="112"/>
      <c r="D1330" s="112"/>
      <c r="E1330" s="113"/>
      <c r="F1330" s="113"/>
      <c r="G1330" s="112"/>
      <c r="H1330" s="112"/>
      <c r="Z1330" s="112"/>
      <c r="AA1330" s="112"/>
    </row>
    <row r="1331" spans="3:27" x14ac:dyDescent="0.25">
      <c r="C1331" s="112"/>
      <c r="D1331" s="112"/>
      <c r="E1331" s="113"/>
      <c r="F1331" s="113"/>
      <c r="G1331" s="112"/>
      <c r="H1331" s="112"/>
      <c r="Z1331" s="112"/>
      <c r="AA1331" s="112"/>
    </row>
    <row r="1332" spans="3:27" x14ac:dyDescent="0.25">
      <c r="C1332" s="112"/>
      <c r="D1332" s="112"/>
      <c r="E1332" s="113"/>
      <c r="F1332" s="113"/>
      <c r="G1332" s="112"/>
      <c r="H1332" s="112"/>
      <c r="Z1332" s="112"/>
      <c r="AA1332" s="112"/>
    </row>
    <row r="1333" spans="3:27" x14ac:dyDescent="0.25">
      <c r="C1333" s="112"/>
      <c r="D1333" s="112"/>
      <c r="E1333" s="113"/>
      <c r="F1333" s="113"/>
      <c r="G1333" s="112"/>
      <c r="H1333" s="112"/>
      <c r="Z1333" s="112"/>
      <c r="AA1333" s="112"/>
    </row>
    <row r="1334" spans="3:27" x14ac:dyDescent="0.25">
      <c r="C1334" s="112"/>
      <c r="D1334" s="112"/>
      <c r="E1334" s="113"/>
      <c r="F1334" s="113"/>
      <c r="G1334" s="112"/>
      <c r="H1334" s="112"/>
      <c r="Z1334" s="112"/>
      <c r="AA1334" s="112"/>
    </row>
    <row r="1335" spans="3:27" x14ac:dyDescent="0.25">
      <c r="C1335" s="112"/>
      <c r="D1335" s="112"/>
      <c r="E1335" s="113"/>
      <c r="F1335" s="113"/>
      <c r="G1335" s="112"/>
      <c r="H1335" s="112"/>
      <c r="Z1335" s="112"/>
      <c r="AA1335" s="112"/>
    </row>
    <row r="1336" spans="3:27" x14ac:dyDescent="0.25">
      <c r="C1336" s="112"/>
      <c r="D1336" s="112"/>
      <c r="E1336" s="113"/>
      <c r="F1336" s="113"/>
      <c r="G1336" s="112"/>
      <c r="H1336" s="112"/>
      <c r="Z1336" s="112"/>
      <c r="AA1336" s="112"/>
    </row>
    <row r="1337" spans="3:27" x14ac:dyDescent="0.25">
      <c r="C1337" s="112"/>
      <c r="D1337" s="112"/>
      <c r="E1337" s="113"/>
      <c r="F1337" s="113"/>
      <c r="G1337" s="112"/>
      <c r="H1337" s="112"/>
      <c r="Z1337" s="112"/>
      <c r="AA1337" s="112"/>
    </row>
    <row r="1338" spans="3:27" x14ac:dyDescent="0.25">
      <c r="C1338" s="112"/>
      <c r="D1338" s="112"/>
      <c r="E1338" s="113"/>
      <c r="F1338" s="113"/>
      <c r="G1338" s="112"/>
      <c r="H1338" s="112"/>
      <c r="Z1338" s="112"/>
      <c r="AA1338" s="112"/>
    </row>
    <row r="1339" spans="3:27" x14ac:dyDescent="0.25">
      <c r="C1339" s="112"/>
      <c r="D1339" s="112"/>
      <c r="E1339" s="113"/>
      <c r="F1339" s="113"/>
      <c r="G1339" s="112"/>
      <c r="H1339" s="112"/>
      <c r="Z1339" s="112"/>
      <c r="AA1339" s="112"/>
    </row>
    <row r="1340" spans="3:27" x14ac:dyDescent="0.25">
      <c r="C1340" s="112"/>
      <c r="D1340" s="112"/>
      <c r="E1340" s="113"/>
      <c r="F1340" s="113"/>
      <c r="G1340" s="112"/>
      <c r="H1340" s="112"/>
      <c r="Z1340" s="112"/>
      <c r="AA1340" s="112"/>
    </row>
    <row r="1341" spans="3:27" x14ac:dyDescent="0.25">
      <c r="C1341" s="112"/>
      <c r="D1341" s="112"/>
      <c r="E1341" s="113"/>
      <c r="F1341" s="113"/>
      <c r="G1341" s="112"/>
      <c r="H1341" s="112"/>
      <c r="Z1341" s="112"/>
      <c r="AA1341" s="112"/>
    </row>
    <row r="1342" spans="3:27" x14ac:dyDescent="0.25">
      <c r="C1342" s="112"/>
      <c r="D1342" s="112"/>
      <c r="E1342" s="113"/>
      <c r="F1342" s="113"/>
      <c r="G1342" s="112"/>
      <c r="H1342" s="112"/>
      <c r="Z1342" s="112"/>
      <c r="AA1342" s="112"/>
    </row>
    <row r="1343" spans="3:27" x14ac:dyDescent="0.25">
      <c r="C1343" s="112"/>
      <c r="D1343" s="112"/>
      <c r="E1343" s="113"/>
      <c r="F1343" s="113"/>
      <c r="G1343" s="112"/>
      <c r="H1343" s="112"/>
      <c r="Z1343" s="112"/>
      <c r="AA1343" s="112"/>
    </row>
    <row r="1344" spans="3:27" x14ac:dyDescent="0.25">
      <c r="C1344" s="112"/>
      <c r="D1344" s="112"/>
      <c r="E1344" s="113"/>
      <c r="F1344" s="113"/>
      <c r="G1344" s="112"/>
      <c r="H1344" s="112"/>
      <c r="Z1344" s="112"/>
      <c r="AA1344" s="112"/>
    </row>
    <row r="1345" spans="3:27" x14ac:dyDescent="0.25">
      <c r="C1345" s="112"/>
      <c r="D1345" s="112"/>
      <c r="E1345" s="113"/>
      <c r="F1345" s="113"/>
      <c r="G1345" s="112"/>
      <c r="H1345" s="112"/>
      <c r="Z1345" s="112"/>
      <c r="AA1345" s="112"/>
    </row>
    <row r="1346" spans="3:27" x14ac:dyDescent="0.25">
      <c r="C1346" s="112"/>
      <c r="D1346" s="112"/>
      <c r="E1346" s="113"/>
      <c r="F1346" s="113"/>
      <c r="G1346" s="112"/>
      <c r="H1346" s="112"/>
      <c r="Z1346" s="112"/>
      <c r="AA1346" s="112"/>
    </row>
    <row r="1347" spans="3:27" x14ac:dyDescent="0.25">
      <c r="C1347" s="112"/>
      <c r="D1347" s="112"/>
      <c r="E1347" s="113"/>
      <c r="F1347" s="113"/>
      <c r="G1347" s="112"/>
      <c r="H1347" s="112"/>
      <c r="Z1347" s="112"/>
      <c r="AA1347" s="112"/>
    </row>
    <row r="1348" spans="3:27" x14ac:dyDescent="0.25">
      <c r="C1348" s="112"/>
      <c r="D1348" s="112"/>
      <c r="E1348" s="113"/>
      <c r="F1348" s="113"/>
      <c r="G1348" s="112"/>
      <c r="H1348" s="112"/>
      <c r="Z1348" s="112"/>
      <c r="AA1348" s="112"/>
    </row>
    <row r="1349" spans="3:27" x14ac:dyDescent="0.25">
      <c r="C1349" s="112"/>
      <c r="D1349" s="112"/>
      <c r="E1349" s="113"/>
      <c r="F1349" s="113"/>
      <c r="G1349" s="112"/>
      <c r="H1349" s="112"/>
      <c r="Z1349" s="112"/>
      <c r="AA1349" s="112"/>
    </row>
    <row r="1350" spans="3:27" x14ac:dyDescent="0.25">
      <c r="C1350" s="112"/>
      <c r="D1350" s="112"/>
      <c r="E1350" s="113"/>
      <c r="F1350" s="113"/>
      <c r="G1350" s="112"/>
      <c r="H1350" s="112"/>
      <c r="Z1350" s="112"/>
      <c r="AA1350" s="112"/>
    </row>
    <row r="1351" spans="3:27" x14ac:dyDescent="0.25">
      <c r="C1351" s="112"/>
      <c r="D1351" s="112"/>
      <c r="E1351" s="113"/>
      <c r="F1351" s="113"/>
      <c r="G1351" s="112"/>
      <c r="H1351" s="112"/>
      <c r="Z1351" s="112"/>
      <c r="AA1351" s="112"/>
    </row>
    <row r="1352" spans="3:27" x14ac:dyDescent="0.25">
      <c r="C1352" s="112"/>
      <c r="D1352" s="112"/>
      <c r="E1352" s="113"/>
      <c r="F1352" s="113"/>
      <c r="G1352" s="112"/>
      <c r="H1352" s="112"/>
      <c r="Z1352" s="112"/>
      <c r="AA1352" s="112"/>
    </row>
    <row r="1353" spans="3:27" x14ac:dyDescent="0.25">
      <c r="C1353" s="112"/>
      <c r="D1353" s="112"/>
      <c r="E1353" s="113"/>
      <c r="F1353" s="113"/>
      <c r="G1353" s="112"/>
      <c r="H1353" s="112"/>
      <c r="Z1353" s="112"/>
      <c r="AA1353" s="112"/>
    </row>
    <row r="1354" spans="3:27" x14ac:dyDescent="0.25">
      <c r="C1354" s="112"/>
      <c r="D1354" s="112"/>
      <c r="E1354" s="113"/>
      <c r="F1354" s="113"/>
      <c r="G1354" s="112"/>
      <c r="H1354" s="112"/>
      <c r="Z1354" s="112"/>
      <c r="AA1354" s="112"/>
    </row>
    <row r="1355" spans="3:27" x14ac:dyDescent="0.25">
      <c r="C1355" s="112"/>
      <c r="D1355" s="112"/>
      <c r="E1355" s="113"/>
      <c r="F1355" s="113"/>
      <c r="G1355" s="112"/>
      <c r="H1355" s="112"/>
      <c r="Z1355" s="112"/>
      <c r="AA1355" s="112"/>
    </row>
    <row r="1356" spans="3:27" x14ac:dyDescent="0.25">
      <c r="C1356" s="112"/>
      <c r="D1356" s="112"/>
      <c r="E1356" s="113"/>
      <c r="F1356" s="113"/>
      <c r="G1356" s="112"/>
      <c r="H1356" s="112"/>
      <c r="Z1356" s="112"/>
      <c r="AA1356" s="112"/>
    </row>
    <row r="1357" spans="3:27" x14ac:dyDescent="0.25">
      <c r="C1357" s="112"/>
      <c r="D1357" s="112"/>
      <c r="E1357" s="113"/>
      <c r="F1357" s="113"/>
      <c r="G1357" s="112"/>
      <c r="H1357" s="112"/>
      <c r="Z1357" s="112"/>
      <c r="AA1357" s="112"/>
    </row>
    <row r="1358" spans="3:27" x14ac:dyDescent="0.25">
      <c r="C1358" s="112"/>
      <c r="D1358" s="112"/>
      <c r="E1358" s="113"/>
      <c r="F1358" s="113"/>
      <c r="G1358" s="112"/>
      <c r="H1358" s="112"/>
      <c r="Z1358" s="112"/>
      <c r="AA1358" s="112"/>
    </row>
    <row r="1359" spans="3:27" x14ac:dyDescent="0.25">
      <c r="C1359" s="112"/>
      <c r="D1359" s="112"/>
      <c r="E1359" s="113"/>
      <c r="F1359" s="113"/>
      <c r="G1359" s="112"/>
      <c r="H1359" s="112"/>
      <c r="Z1359" s="112"/>
      <c r="AA1359" s="112"/>
    </row>
    <row r="1360" spans="3:27" x14ac:dyDescent="0.25">
      <c r="C1360" s="112"/>
      <c r="D1360" s="112"/>
      <c r="E1360" s="113"/>
      <c r="F1360" s="113"/>
      <c r="G1360" s="112"/>
      <c r="H1360" s="112"/>
      <c r="Z1360" s="112"/>
      <c r="AA1360" s="112"/>
    </row>
    <row r="1361" spans="3:27" x14ac:dyDescent="0.25">
      <c r="C1361" s="112"/>
      <c r="D1361" s="112"/>
      <c r="E1361" s="113"/>
      <c r="F1361" s="113"/>
      <c r="G1361" s="112"/>
      <c r="H1361" s="112"/>
      <c r="Z1361" s="112"/>
      <c r="AA1361" s="112"/>
    </row>
    <row r="1362" spans="3:27" x14ac:dyDescent="0.25">
      <c r="C1362" s="112"/>
      <c r="D1362" s="112"/>
      <c r="E1362" s="113"/>
      <c r="F1362" s="113"/>
      <c r="G1362" s="112"/>
      <c r="H1362" s="112"/>
      <c r="Z1362" s="112"/>
      <c r="AA1362" s="112"/>
    </row>
    <row r="1363" spans="3:27" x14ac:dyDescent="0.25">
      <c r="C1363" s="112"/>
      <c r="D1363" s="112"/>
      <c r="E1363" s="113"/>
      <c r="F1363" s="113"/>
      <c r="G1363" s="112"/>
      <c r="H1363" s="112"/>
      <c r="Z1363" s="112"/>
      <c r="AA1363" s="112"/>
    </row>
    <row r="1364" spans="3:27" x14ac:dyDescent="0.25">
      <c r="C1364" s="112"/>
      <c r="D1364" s="112"/>
      <c r="E1364" s="113"/>
      <c r="F1364" s="113"/>
      <c r="G1364" s="112"/>
      <c r="H1364" s="112"/>
      <c r="Z1364" s="112"/>
      <c r="AA1364" s="112"/>
    </row>
    <row r="1365" spans="3:27" x14ac:dyDescent="0.25">
      <c r="C1365" s="112"/>
      <c r="D1365" s="112"/>
      <c r="E1365" s="113"/>
      <c r="F1365" s="113"/>
      <c r="G1365" s="112"/>
      <c r="H1365" s="112"/>
      <c r="Z1365" s="112"/>
      <c r="AA1365" s="112"/>
    </row>
    <row r="1366" spans="3:27" x14ac:dyDescent="0.25">
      <c r="C1366" s="112"/>
      <c r="D1366" s="112"/>
      <c r="E1366" s="113"/>
      <c r="F1366" s="113"/>
      <c r="G1366" s="112"/>
      <c r="H1366" s="112"/>
      <c r="Z1366" s="112"/>
      <c r="AA1366" s="112"/>
    </row>
    <row r="1367" spans="3:27" x14ac:dyDescent="0.25">
      <c r="C1367" s="112"/>
      <c r="D1367" s="112"/>
      <c r="E1367" s="113"/>
      <c r="F1367" s="113"/>
      <c r="G1367" s="112"/>
      <c r="H1367" s="112"/>
      <c r="Z1367" s="112"/>
      <c r="AA1367" s="112"/>
    </row>
    <row r="1368" spans="3:27" x14ac:dyDescent="0.25">
      <c r="C1368" s="112"/>
      <c r="D1368" s="112"/>
      <c r="E1368" s="113"/>
      <c r="F1368" s="113"/>
      <c r="G1368" s="112"/>
      <c r="H1368" s="112"/>
      <c r="Z1368" s="112"/>
      <c r="AA1368" s="112"/>
    </row>
    <row r="1369" spans="3:27" x14ac:dyDescent="0.25">
      <c r="C1369" s="112"/>
      <c r="D1369" s="112"/>
      <c r="E1369" s="113"/>
      <c r="F1369" s="113"/>
      <c r="G1369" s="112"/>
      <c r="H1369" s="112"/>
      <c r="Z1369" s="112"/>
      <c r="AA1369" s="112"/>
    </row>
    <row r="1370" spans="3:27" x14ac:dyDescent="0.25">
      <c r="C1370" s="112"/>
      <c r="D1370" s="112"/>
      <c r="E1370" s="113"/>
      <c r="F1370" s="113"/>
      <c r="G1370" s="112"/>
      <c r="H1370" s="112"/>
      <c r="Z1370" s="112"/>
      <c r="AA1370" s="112"/>
    </row>
    <row r="1371" spans="3:27" x14ac:dyDescent="0.25">
      <c r="C1371" s="112"/>
      <c r="D1371" s="112"/>
      <c r="E1371" s="113"/>
      <c r="F1371" s="113"/>
      <c r="G1371" s="112"/>
      <c r="H1371" s="112"/>
      <c r="Z1371" s="112"/>
      <c r="AA1371" s="112"/>
    </row>
    <row r="1372" spans="3:27" x14ac:dyDescent="0.25">
      <c r="C1372" s="112"/>
      <c r="D1372" s="112"/>
      <c r="E1372" s="113"/>
      <c r="F1372" s="113"/>
      <c r="G1372" s="112"/>
      <c r="H1372" s="112"/>
      <c r="Z1372" s="112"/>
      <c r="AA1372" s="112"/>
    </row>
    <row r="1373" spans="3:27" x14ac:dyDescent="0.25">
      <c r="C1373" s="112"/>
      <c r="D1373" s="112"/>
      <c r="E1373" s="113"/>
      <c r="F1373" s="113"/>
      <c r="G1373" s="112"/>
      <c r="H1373" s="112"/>
      <c r="Z1373" s="112"/>
      <c r="AA1373" s="112"/>
    </row>
    <row r="1374" spans="3:27" x14ac:dyDescent="0.25">
      <c r="C1374" s="112"/>
      <c r="D1374" s="112"/>
      <c r="E1374" s="113"/>
      <c r="F1374" s="113"/>
      <c r="G1374" s="112"/>
      <c r="H1374" s="112"/>
      <c r="Z1374" s="112"/>
      <c r="AA1374" s="112"/>
    </row>
    <row r="1375" spans="3:27" x14ac:dyDescent="0.25">
      <c r="C1375" s="112"/>
      <c r="D1375" s="112"/>
      <c r="E1375" s="113"/>
      <c r="F1375" s="113"/>
      <c r="G1375" s="112"/>
      <c r="H1375" s="112"/>
      <c r="Z1375" s="112"/>
      <c r="AA1375" s="112"/>
    </row>
    <row r="1376" spans="3:27" x14ac:dyDescent="0.25">
      <c r="C1376" s="112"/>
      <c r="D1376" s="112"/>
      <c r="E1376" s="113"/>
      <c r="F1376" s="113"/>
      <c r="G1376" s="112"/>
      <c r="H1376" s="112"/>
      <c r="Z1376" s="112"/>
      <c r="AA1376" s="112"/>
    </row>
    <row r="1377" spans="3:27" x14ac:dyDescent="0.25">
      <c r="C1377" s="112"/>
      <c r="D1377" s="112"/>
      <c r="E1377" s="113"/>
      <c r="F1377" s="113"/>
      <c r="G1377" s="112"/>
      <c r="H1377" s="112"/>
      <c r="Z1377" s="112"/>
      <c r="AA1377" s="112"/>
    </row>
    <row r="1378" spans="3:27" x14ac:dyDescent="0.25">
      <c r="C1378" s="112"/>
      <c r="D1378" s="112"/>
      <c r="E1378" s="113"/>
      <c r="F1378" s="113"/>
      <c r="G1378" s="112"/>
      <c r="H1378" s="112"/>
      <c r="Z1378" s="112"/>
      <c r="AA1378" s="112"/>
    </row>
    <row r="1379" spans="3:27" x14ac:dyDescent="0.25">
      <c r="C1379" s="112"/>
      <c r="D1379" s="112"/>
      <c r="E1379" s="113"/>
      <c r="F1379" s="113"/>
      <c r="G1379" s="112"/>
      <c r="H1379" s="112"/>
      <c r="Z1379" s="112"/>
      <c r="AA1379" s="112"/>
    </row>
    <row r="1380" spans="3:27" x14ac:dyDescent="0.25">
      <c r="C1380" s="112"/>
      <c r="D1380" s="112"/>
      <c r="E1380" s="113"/>
      <c r="F1380" s="113"/>
      <c r="G1380" s="112"/>
      <c r="H1380" s="112"/>
      <c r="Z1380" s="112"/>
      <c r="AA1380" s="112"/>
    </row>
    <row r="1381" spans="3:27" x14ac:dyDescent="0.25">
      <c r="C1381" s="112"/>
      <c r="D1381" s="112"/>
      <c r="E1381" s="113"/>
      <c r="F1381" s="113"/>
      <c r="G1381" s="112"/>
      <c r="H1381" s="112"/>
      <c r="Z1381" s="112"/>
      <c r="AA1381" s="112"/>
    </row>
    <row r="1382" spans="3:27" x14ac:dyDescent="0.25">
      <c r="C1382" s="112"/>
      <c r="D1382" s="112"/>
      <c r="E1382" s="113"/>
      <c r="F1382" s="113"/>
      <c r="G1382" s="112"/>
      <c r="H1382" s="112"/>
      <c r="Z1382" s="112"/>
      <c r="AA1382" s="112"/>
    </row>
    <row r="1383" spans="3:27" x14ac:dyDescent="0.25">
      <c r="C1383" s="112"/>
      <c r="D1383" s="112"/>
      <c r="E1383" s="113"/>
      <c r="F1383" s="113"/>
      <c r="G1383" s="112"/>
      <c r="H1383" s="112"/>
      <c r="Z1383" s="112"/>
      <c r="AA1383" s="112"/>
    </row>
    <row r="1384" spans="3:27" x14ac:dyDescent="0.25">
      <c r="C1384" s="112"/>
      <c r="D1384" s="112"/>
      <c r="E1384" s="113"/>
      <c r="F1384" s="113"/>
      <c r="G1384" s="112"/>
      <c r="H1384" s="112"/>
      <c r="Z1384" s="112"/>
      <c r="AA1384" s="112"/>
    </row>
    <row r="1385" spans="3:27" x14ac:dyDescent="0.25">
      <c r="C1385" s="112"/>
      <c r="D1385" s="112"/>
      <c r="E1385" s="113"/>
      <c r="F1385" s="113"/>
      <c r="G1385" s="112"/>
      <c r="H1385" s="112"/>
      <c r="Z1385" s="112"/>
      <c r="AA1385" s="112"/>
    </row>
    <row r="1386" spans="3:27" x14ac:dyDescent="0.25">
      <c r="C1386" s="112"/>
      <c r="D1386" s="112"/>
      <c r="E1386" s="113"/>
      <c r="F1386" s="113"/>
      <c r="G1386" s="112"/>
      <c r="H1386" s="112"/>
      <c r="Z1386" s="112"/>
      <c r="AA1386" s="112"/>
    </row>
    <row r="1387" spans="3:27" x14ac:dyDescent="0.25">
      <c r="C1387" s="112"/>
      <c r="D1387" s="112"/>
      <c r="E1387" s="113"/>
      <c r="F1387" s="113"/>
      <c r="G1387" s="112"/>
      <c r="H1387" s="112"/>
      <c r="Z1387" s="112"/>
      <c r="AA1387" s="112"/>
    </row>
    <row r="1388" spans="3:27" x14ac:dyDescent="0.25">
      <c r="C1388" s="112"/>
      <c r="D1388" s="112"/>
      <c r="E1388" s="113"/>
      <c r="F1388" s="113"/>
      <c r="G1388" s="112"/>
      <c r="H1388" s="112"/>
      <c r="Z1388" s="112"/>
      <c r="AA1388" s="112"/>
    </row>
    <row r="1389" spans="3:27" x14ac:dyDescent="0.25">
      <c r="C1389" s="112"/>
      <c r="D1389" s="112"/>
      <c r="E1389" s="113"/>
      <c r="F1389" s="113"/>
      <c r="G1389" s="112"/>
      <c r="H1389" s="112"/>
      <c r="Z1389" s="112"/>
      <c r="AA1389" s="112"/>
    </row>
    <row r="1390" spans="3:27" x14ac:dyDescent="0.25">
      <c r="C1390" s="112"/>
      <c r="D1390" s="112"/>
      <c r="E1390" s="113"/>
      <c r="F1390" s="113"/>
      <c r="G1390" s="112"/>
      <c r="H1390" s="112"/>
      <c r="Z1390" s="112"/>
      <c r="AA1390" s="112"/>
    </row>
    <row r="1391" spans="3:27" x14ac:dyDescent="0.25">
      <c r="C1391" s="112"/>
      <c r="D1391" s="112"/>
      <c r="E1391" s="113"/>
      <c r="F1391" s="113"/>
      <c r="G1391" s="112"/>
      <c r="H1391" s="112"/>
      <c r="Z1391" s="112"/>
      <c r="AA1391" s="112"/>
    </row>
    <row r="1392" spans="3:27" x14ac:dyDescent="0.25">
      <c r="C1392" s="112"/>
      <c r="D1392" s="112"/>
      <c r="E1392" s="113"/>
      <c r="F1392" s="113"/>
      <c r="G1392" s="112"/>
      <c r="H1392" s="112"/>
      <c r="Z1392" s="112"/>
      <c r="AA1392" s="112"/>
    </row>
    <row r="1393" spans="3:27" x14ac:dyDescent="0.25">
      <c r="C1393" s="112"/>
      <c r="D1393" s="112"/>
      <c r="E1393" s="113"/>
      <c r="F1393" s="113"/>
      <c r="G1393" s="112"/>
      <c r="H1393" s="112"/>
      <c r="Z1393" s="112"/>
      <c r="AA1393" s="112"/>
    </row>
    <row r="1394" spans="3:27" x14ac:dyDescent="0.25">
      <c r="C1394" s="112"/>
      <c r="D1394" s="112"/>
      <c r="E1394" s="113"/>
      <c r="F1394" s="113"/>
      <c r="G1394" s="112"/>
      <c r="H1394" s="112"/>
      <c r="Z1394" s="112"/>
      <c r="AA1394" s="112"/>
    </row>
    <row r="1395" spans="3:27" x14ac:dyDescent="0.25">
      <c r="C1395" s="112"/>
      <c r="D1395" s="112"/>
      <c r="E1395" s="113"/>
      <c r="F1395" s="113"/>
      <c r="G1395" s="112"/>
      <c r="H1395" s="112"/>
      <c r="Z1395" s="112"/>
      <c r="AA1395" s="112"/>
    </row>
    <row r="1396" spans="3:27" x14ac:dyDescent="0.25">
      <c r="C1396" s="112"/>
      <c r="D1396" s="112"/>
      <c r="E1396" s="113"/>
      <c r="F1396" s="113"/>
      <c r="G1396" s="112"/>
      <c r="H1396" s="112"/>
      <c r="Z1396" s="112"/>
      <c r="AA1396" s="112"/>
    </row>
    <row r="1397" spans="3:27" x14ac:dyDescent="0.25">
      <c r="C1397" s="112"/>
      <c r="D1397" s="112"/>
      <c r="E1397" s="113"/>
      <c r="F1397" s="113"/>
      <c r="G1397" s="112"/>
      <c r="H1397" s="112"/>
      <c r="Z1397" s="112"/>
      <c r="AA1397" s="112"/>
    </row>
    <row r="1398" spans="3:27" x14ac:dyDescent="0.25">
      <c r="C1398" s="112"/>
      <c r="D1398" s="112"/>
      <c r="E1398" s="113"/>
      <c r="F1398" s="113"/>
      <c r="G1398" s="112"/>
      <c r="H1398" s="112"/>
      <c r="Z1398" s="112"/>
      <c r="AA1398" s="112"/>
    </row>
    <row r="1399" spans="3:27" x14ac:dyDescent="0.25">
      <c r="C1399" s="112"/>
      <c r="D1399" s="112"/>
      <c r="E1399" s="113"/>
      <c r="F1399" s="113"/>
      <c r="G1399" s="112"/>
      <c r="H1399" s="112"/>
      <c r="Z1399" s="112"/>
      <c r="AA1399" s="112"/>
    </row>
    <row r="1400" spans="3:27" x14ac:dyDescent="0.25">
      <c r="C1400" s="112"/>
      <c r="D1400" s="112"/>
      <c r="E1400" s="113"/>
      <c r="F1400" s="113"/>
      <c r="G1400" s="112"/>
      <c r="H1400" s="112"/>
      <c r="Z1400" s="112"/>
      <c r="AA1400" s="112"/>
    </row>
    <row r="1401" spans="3:27" x14ac:dyDescent="0.25">
      <c r="C1401" s="112"/>
      <c r="D1401" s="112"/>
      <c r="E1401" s="113"/>
      <c r="F1401" s="113"/>
      <c r="G1401" s="112"/>
      <c r="H1401" s="112"/>
      <c r="Z1401" s="112"/>
      <c r="AA1401" s="112"/>
    </row>
    <row r="1402" spans="3:27" x14ac:dyDescent="0.25">
      <c r="C1402" s="112"/>
      <c r="D1402" s="112"/>
      <c r="E1402" s="113"/>
      <c r="F1402" s="113"/>
      <c r="G1402" s="112"/>
      <c r="H1402" s="112"/>
      <c r="Z1402" s="112"/>
      <c r="AA1402" s="112"/>
    </row>
    <row r="1403" spans="3:27" x14ac:dyDescent="0.25">
      <c r="C1403" s="112"/>
      <c r="D1403" s="112"/>
      <c r="E1403" s="113"/>
      <c r="F1403" s="113"/>
      <c r="G1403" s="112"/>
      <c r="H1403" s="112"/>
      <c r="Z1403" s="112"/>
      <c r="AA1403" s="112"/>
    </row>
    <row r="1404" spans="3:27" x14ac:dyDescent="0.25">
      <c r="C1404" s="112"/>
      <c r="D1404" s="112"/>
      <c r="E1404" s="113"/>
      <c r="F1404" s="113"/>
      <c r="G1404" s="112"/>
      <c r="H1404" s="112"/>
      <c r="Z1404" s="112"/>
      <c r="AA1404" s="112"/>
    </row>
    <row r="1405" spans="3:27" x14ac:dyDescent="0.25">
      <c r="C1405" s="112"/>
      <c r="D1405" s="112"/>
      <c r="E1405" s="113"/>
      <c r="F1405" s="113"/>
      <c r="G1405" s="112"/>
      <c r="H1405" s="112"/>
      <c r="Z1405" s="112"/>
      <c r="AA1405" s="112"/>
    </row>
    <row r="1406" spans="3:27" x14ac:dyDescent="0.25">
      <c r="C1406" s="112"/>
      <c r="D1406" s="112"/>
      <c r="E1406" s="113"/>
      <c r="F1406" s="113"/>
      <c r="G1406" s="112"/>
      <c r="H1406" s="112"/>
      <c r="Z1406" s="112"/>
      <c r="AA1406" s="112"/>
    </row>
    <row r="1407" spans="3:27" x14ac:dyDescent="0.25">
      <c r="C1407" s="112"/>
      <c r="D1407" s="112"/>
      <c r="E1407" s="113"/>
      <c r="F1407" s="113"/>
      <c r="G1407" s="112"/>
      <c r="H1407" s="112"/>
      <c r="Z1407" s="112"/>
      <c r="AA1407" s="112"/>
    </row>
    <row r="1408" spans="3:27" x14ac:dyDescent="0.25">
      <c r="C1408" s="112"/>
      <c r="D1408" s="112"/>
      <c r="E1408" s="113"/>
      <c r="F1408" s="113"/>
      <c r="G1408" s="112"/>
      <c r="H1408" s="112"/>
      <c r="Z1408" s="112"/>
      <c r="AA1408" s="112"/>
    </row>
    <row r="1409" spans="3:27" x14ac:dyDescent="0.25">
      <c r="C1409" s="112"/>
      <c r="D1409" s="112"/>
      <c r="E1409" s="113"/>
      <c r="F1409" s="113"/>
      <c r="G1409" s="112"/>
      <c r="H1409" s="112"/>
      <c r="Z1409" s="112"/>
      <c r="AA1409" s="112"/>
    </row>
    <row r="1410" spans="3:27" x14ac:dyDescent="0.25">
      <c r="C1410" s="112"/>
      <c r="D1410" s="112"/>
      <c r="E1410" s="113"/>
      <c r="F1410" s="113"/>
      <c r="G1410" s="112"/>
      <c r="H1410" s="112"/>
      <c r="Z1410" s="112"/>
      <c r="AA1410" s="112"/>
    </row>
    <row r="1411" spans="3:27" x14ac:dyDescent="0.25">
      <c r="C1411" s="112"/>
      <c r="D1411" s="112"/>
      <c r="E1411" s="113"/>
      <c r="F1411" s="113"/>
      <c r="G1411" s="112"/>
      <c r="H1411" s="112"/>
      <c r="Z1411" s="112"/>
      <c r="AA1411" s="112"/>
    </row>
    <row r="1412" spans="3:27" x14ac:dyDescent="0.25">
      <c r="C1412" s="112"/>
      <c r="D1412" s="112"/>
      <c r="E1412" s="113"/>
      <c r="F1412" s="113"/>
      <c r="G1412" s="112"/>
      <c r="H1412" s="112"/>
      <c r="Z1412" s="112"/>
      <c r="AA1412" s="112"/>
    </row>
    <row r="1413" spans="3:27" x14ac:dyDescent="0.25">
      <c r="C1413" s="112"/>
      <c r="D1413" s="112"/>
      <c r="E1413" s="113"/>
      <c r="F1413" s="113"/>
      <c r="G1413" s="112"/>
      <c r="H1413" s="112"/>
      <c r="Z1413" s="112"/>
      <c r="AA1413" s="112"/>
    </row>
    <row r="1414" spans="3:27" x14ac:dyDescent="0.25">
      <c r="C1414" s="112"/>
      <c r="D1414" s="112"/>
      <c r="E1414" s="113"/>
      <c r="F1414" s="113"/>
      <c r="G1414" s="112"/>
      <c r="H1414" s="112"/>
      <c r="Z1414" s="112"/>
      <c r="AA1414" s="112"/>
    </row>
    <row r="1415" spans="3:27" x14ac:dyDescent="0.25">
      <c r="C1415" s="112"/>
      <c r="D1415" s="112"/>
      <c r="E1415" s="113"/>
      <c r="F1415" s="113"/>
      <c r="G1415" s="112"/>
      <c r="H1415" s="112"/>
      <c r="Z1415" s="112"/>
      <c r="AA1415" s="112"/>
    </row>
    <row r="1416" spans="3:27" x14ac:dyDescent="0.25">
      <c r="C1416" s="112"/>
      <c r="D1416" s="112"/>
      <c r="E1416" s="113"/>
      <c r="F1416" s="113"/>
      <c r="G1416" s="112"/>
      <c r="H1416" s="112"/>
      <c r="Z1416" s="112"/>
      <c r="AA1416" s="112"/>
    </row>
    <row r="1417" spans="3:27" x14ac:dyDescent="0.25">
      <c r="C1417" s="112"/>
      <c r="D1417" s="112"/>
      <c r="E1417" s="113"/>
      <c r="F1417" s="113"/>
      <c r="G1417" s="112"/>
      <c r="H1417" s="112"/>
      <c r="Z1417" s="112"/>
      <c r="AA1417" s="112"/>
    </row>
    <row r="1418" spans="3:27" x14ac:dyDescent="0.25">
      <c r="C1418" s="112"/>
      <c r="D1418" s="112"/>
      <c r="E1418" s="113"/>
      <c r="F1418" s="113"/>
      <c r="G1418" s="112"/>
      <c r="H1418" s="112"/>
      <c r="Z1418" s="112"/>
      <c r="AA1418" s="112"/>
    </row>
    <row r="1419" spans="3:27" x14ac:dyDescent="0.25">
      <c r="C1419" s="112"/>
      <c r="D1419" s="112"/>
      <c r="E1419" s="113"/>
      <c r="F1419" s="113"/>
      <c r="G1419" s="112"/>
      <c r="H1419" s="112"/>
      <c r="Z1419" s="112"/>
      <c r="AA1419" s="112"/>
    </row>
    <row r="1420" spans="3:27" x14ac:dyDescent="0.25">
      <c r="C1420" s="112"/>
      <c r="D1420" s="112"/>
      <c r="E1420" s="113"/>
      <c r="F1420" s="113"/>
      <c r="G1420" s="112"/>
      <c r="H1420" s="112"/>
      <c r="Z1420" s="112"/>
      <c r="AA1420" s="112"/>
    </row>
    <row r="1421" spans="3:27" x14ac:dyDescent="0.25">
      <c r="C1421" s="112"/>
      <c r="D1421" s="112"/>
      <c r="E1421" s="113"/>
      <c r="F1421" s="113"/>
      <c r="G1421" s="112"/>
      <c r="H1421" s="112"/>
      <c r="Z1421" s="112"/>
      <c r="AA1421" s="112"/>
    </row>
    <row r="1422" spans="3:27" x14ac:dyDescent="0.25">
      <c r="C1422" s="112"/>
      <c r="D1422" s="112"/>
      <c r="E1422" s="113"/>
      <c r="F1422" s="113"/>
      <c r="G1422" s="112"/>
      <c r="H1422" s="112"/>
      <c r="Z1422" s="112"/>
      <c r="AA1422" s="112"/>
    </row>
    <row r="1423" spans="3:27" x14ac:dyDescent="0.25">
      <c r="C1423" s="112"/>
      <c r="D1423" s="112"/>
      <c r="E1423" s="113"/>
      <c r="F1423" s="113"/>
      <c r="G1423" s="112"/>
      <c r="H1423" s="112"/>
      <c r="Z1423" s="112"/>
      <c r="AA1423" s="112"/>
    </row>
    <row r="1424" spans="3:27" x14ac:dyDescent="0.25">
      <c r="C1424" s="112"/>
      <c r="D1424" s="112"/>
      <c r="E1424" s="113"/>
      <c r="F1424" s="113"/>
      <c r="G1424" s="112"/>
      <c r="H1424" s="112"/>
      <c r="Z1424" s="112"/>
      <c r="AA1424" s="112"/>
    </row>
    <row r="1425" spans="3:27" x14ac:dyDescent="0.25">
      <c r="C1425" s="112"/>
      <c r="D1425" s="112"/>
      <c r="E1425" s="113"/>
      <c r="F1425" s="113"/>
      <c r="G1425" s="112"/>
      <c r="H1425" s="112"/>
      <c r="Z1425" s="112"/>
      <c r="AA1425" s="112"/>
    </row>
    <row r="1426" spans="3:27" x14ac:dyDescent="0.25">
      <c r="C1426" s="112"/>
      <c r="D1426" s="112"/>
      <c r="E1426" s="113"/>
      <c r="F1426" s="113"/>
      <c r="G1426" s="112"/>
      <c r="H1426" s="112"/>
      <c r="Z1426" s="112"/>
      <c r="AA1426" s="112"/>
    </row>
    <row r="1427" spans="3:27" x14ac:dyDescent="0.25">
      <c r="C1427" s="112"/>
      <c r="D1427" s="112"/>
      <c r="E1427" s="113"/>
      <c r="F1427" s="113"/>
      <c r="G1427" s="112"/>
      <c r="H1427" s="112"/>
      <c r="Z1427" s="112"/>
      <c r="AA1427" s="112"/>
    </row>
    <row r="1428" spans="3:27" x14ac:dyDescent="0.25">
      <c r="C1428" s="112"/>
      <c r="D1428" s="112"/>
      <c r="E1428" s="113"/>
      <c r="F1428" s="113"/>
      <c r="G1428" s="112"/>
      <c r="H1428" s="112"/>
      <c r="Z1428" s="112"/>
      <c r="AA1428" s="112"/>
    </row>
    <row r="1429" spans="3:27" x14ac:dyDescent="0.25">
      <c r="C1429" s="112"/>
      <c r="D1429" s="112"/>
      <c r="E1429" s="113"/>
      <c r="F1429" s="113"/>
      <c r="G1429" s="112"/>
      <c r="H1429" s="112"/>
      <c r="Z1429" s="112"/>
      <c r="AA1429" s="112"/>
    </row>
    <row r="1430" spans="3:27" x14ac:dyDescent="0.25">
      <c r="C1430" s="112"/>
      <c r="D1430" s="112"/>
      <c r="E1430" s="113"/>
      <c r="F1430" s="113"/>
      <c r="G1430" s="112"/>
      <c r="H1430" s="112"/>
      <c r="Z1430" s="112"/>
      <c r="AA1430" s="112"/>
    </row>
    <row r="1431" spans="3:27" x14ac:dyDescent="0.25">
      <c r="C1431" s="112"/>
      <c r="D1431" s="112"/>
      <c r="E1431" s="113"/>
      <c r="F1431" s="113"/>
      <c r="G1431" s="112"/>
      <c r="H1431" s="112"/>
      <c r="Z1431" s="112"/>
      <c r="AA1431" s="112"/>
    </row>
    <row r="1432" spans="3:27" x14ac:dyDescent="0.25">
      <c r="C1432" s="112"/>
      <c r="D1432" s="112"/>
      <c r="E1432" s="113"/>
      <c r="F1432" s="113"/>
      <c r="G1432" s="112"/>
      <c r="H1432" s="112"/>
      <c r="Z1432" s="112"/>
      <c r="AA1432" s="112"/>
    </row>
    <row r="1433" spans="3:27" x14ac:dyDescent="0.25">
      <c r="C1433" s="112"/>
      <c r="D1433" s="112"/>
      <c r="E1433" s="113"/>
      <c r="F1433" s="113"/>
      <c r="G1433" s="112"/>
      <c r="H1433" s="112"/>
      <c r="Z1433" s="112"/>
      <c r="AA1433" s="112"/>
    </row>
    <row r="1434" spans="3:27" x14ac:dyDescent="0.25">
      <c r="C1434" s="112"/>
      <c r="D1434" s="112"/>
      <c r="E1434" s="113"/>
      <c r="F1434" s="113"/>
      <c r="G1434" s="112"/>
      <c r="H1434" s="112"/>
      <c r="Z1434" s="112"/>
      <c r="AA1434" s="112"/>
    </row>
    <row r="1435" spans="3:27" x14ac:dyDescent="0.25">
      <c r="C1435" s="112"/>
      <c r="D1435" s="112"/>
      <c r="E1435" s="113"/>
      <c r="F1435" s="113"/>
      <c r="G1435" s="112"/>
      <c r="H1435" s="112"/>
      <c r="Z1435" s="112"/>
      <c r="AA1435" s="112"/>
    </row>
    <row r="1436" spans="3:27" x14ac:dyDescent="0.25">
      <c r="C1436" s="112"/>
      <c r="D1436" s="112"/>
      <c r="E1436" s="113"/>
      <c r="F1436" s="113"/>
      <c r="G1436" s="112"/>
      <c r="H1436" s="112"/>
      <c r="Z1436" s="112"/>
      <c r="AA1436" s="112"/>
    </row>
    <row r="1437" spans="3:27" x14ac:dyDescent="0.25">
      <c r="C1437" s="112"/>
      <c r="D1437" s="112"/>
      <c r="E1437" s="113"/>
      <c r="F1437" s="113"/>
      <c r="G1437" s="112"/>
      <c r="H1437" s="112"/>
      <c r="Z1437" s="112"/>
      <c r="AA1437" s="112"/>
    </row>
    <row r="1438" spans="3:27" x14ac:dyDescent="0.25">
      <c r="C1438" s="112"/>
      <c r="D1438" s="112"/>
      <c r="E1438" s="113"/>
      <c r="F1438" s="113"/>
      <c r="G1438" s="112"/>
      <c r="H1438" s="112"/>
      <c r="Z1438" s="112"/>
      <c r="AA1438" s="112"/>
    </row>
    <row r="1439" spans="3:27" x14ac:dyDescent="0.25">
      <c r="C1439" s="112"/>
      <c r="D1439" s="112"/>
      <c r="E1439" s="113"/>
      <c r="F1439" s="113"/>
      <c r="G1439" s="112"/>
      <c r="H1439" s="112"/>
      <c r="Z1439" s="112"/>
      <c r="AA1439" s="112"/>
    </row>
    <row r="1440" spans="3:27" x14ac:dyDescent="0.25">
      <c r="C1440" s="112"/>
      <c r="D1440" s="112"/>
      <c r="E1440" s="113"/>
      <c r="F1440" s="113"/>
      <c r="G1440" s="112"/>
      <c r="H1440" s="112"/>
      <c r="Z1440" s="112"/>
      <c r="AA1440" s="112"/>
    </row>
    <row r="1441" spans="3:27" x14ac:dyDescent="0.25">
      <c r="C1441" s="112"/>
      <c r="D1441" s="112"/>
      <c r="E1441" s="113"/>
      <c r="F1441" s="113"/>
      <c r="G1441" s="112"/>
      <c r="H1441" s="112"/>
      <c r="Z1441" s="112"/>
      <c r="AA1441" s="112"/>
    </row>
    <row r="1442" spans="3:27" x14ac:dyDescent="0.25">
      <c r="C1442" s="112"/>
      <c r="D1442" s="112"/>
      <c r="E1442" s="113"/>
      <c r="F1442" s="113"/>
      <c r="G1442" s="112"/>
      <c r="H1442" s="112"/>
      <c r="Z1442" s="112"/>
      <c r="AA1442" s="112"/>
    </row>
    <row r="1443" spans="3:27" x14ac:dyDescent="0.25">
      <c r="C1443" s="112"/>
      <c r="D1443" s="112"/>
      <c r="E1443" s="113"/>
      <c r="F1443" s="113"/>
      <c r="G1443" s="112"/>
      <c r="H1443" s="112"/>
      <c r="Z1443" s="112"/>
      <c r="AA1443" s="112"/>
    </row>
    <row r="1444" spans="3:27" x14ac:dyDescent="0.25">
      <c r="C1444" s="112"/>
      <c r="D1444" s="112"/>
      <c r="E1444" s="113"/>
      <c r="F1444" s="113"/>
      <c r="G1444" s="112"/>
      <c r="H1444" s="112"/>
      <c r="Z1444" s="112"/>
      <c r="AA1444" s="112"/>
    </row>
    <row r="1445" spans="3:27" x14ac:dyDescent="0.25">
      <c r="C1445" s="112"/>
      <c r="D1445" s="112"/>
      <c r="E1445" s="113"/>
      <c r="F1445" s="113"/>
      <c r="G1445" s="112"/>
      <c r="H1445" s="112"/>
      <c r="Z1445" s="112"/>
      <c r="AA1445" s="112"/>
    </row>
    <row r="1446" spans="3:27" x14ac:dyDescent="0.25">
      <c r="C1446" s="112"/>
      <c r="D1446" s="112"/>
      <c r="E1446" s="113"/>
      <c r="F1446" s="113"/>
      <c r="G1446" s="112"/>
      <c r="H1446" s="112"/>
      <c r="Z1446" s="112"/>
      <c r="AA1446" s="112"/>
    </row>
    <row r="1447" spans="3:27" x14ac:dyDescent="0.25">
      <c r="C1447" s="112"/>
      <c r="D1447" s="112"/>
      <c r="E1447" s="113"/>
      <c r="F1447" s="113"/>
      <c r="G1447" s="112"/>
      <c r="H1447" s="112"/>
      <c r="Z1447" s="112"/>
      <c r="AA1447" s="112"/>
    </row>
    <row r="1448" spans="3:27" x14ac:dyDescent="0.25">
      <c r="C1448" s="112"/>
      <c r="D1448" s="112"/>
      <c r="E1448" s="113"/>
      <c r="F1448" s="113"/>
      <c r="G1448" s="112"/>
      <c r="H1448" s="112"/>
      <c r="Z1448" s="112"/>
      <c r="AA1448" s="112"/>
    </row>
    <row r="1449" spans="3:27" x14ac:dyDescent="0.25">
      <c r="C1449" s="112"/>
      <c r="D1449" s="112"/>
      <c r="E1449" s="113"/>
      <c r="F1449" s="113"/>
      <c r="G1449" s="112"/>
      <c r="H1449" s="112"/>
      <c r="Z1449" s="112"/>
      <c r="AA1449" s="112"/>
    </row>
    <row r="1450" spans="3:27" x14ac:dyDescent="0.25">
      <c r="C1450" s="112"/>
      <c r="D1450" s="112"/>
      <c r="E1450" s="113"/>
      <c r="F1450" s="113"/>
      <c r="G1450" s="112"/>
      <c r="H1450" s="112"/>
      <c r="Z1450" s="112"/>
      <c r="AA1450" s="112"/>
    </row>
    <row r="1451" spans="3:27" x14ac:dyDescent="0.25">
      <c r="C1451" s="112"/>
      <c r="D1451" s="112"/>
      <c r="E1451" s="113"/>
      <c r="F1451" s="113"/>
      <c r="G1451" s="112"/>
      <c r="H1451" s="112"/>
      <c r="Z1451" s="112"/>
      <c r="AA1451" s="112"/>
    </row>
    <row r="1452" spans="3:27" x14ac:dyDescent="0.25">
      <c r="C1452" s="112"/>
      <c r="D1452" s="112"/>
      <c r="E1452" s="113"/>
      <c r="F1452" s="113"/>
      <c r="G1452" s="112"/>
      <c r="H1452" s="112"/>
      <c r="Z1452" s="112"/>
      <c r="AA1452" s="112"/>
    </row>
    <row r="1453" spans="3:27" x14ac:dyDescent="0.25">
      <c r="C1453" s="112"/>
      <c r="D1453" s="112"/>
      <c r="E1453" s="113"/>
      <c r="F1453" s="113"/>
      <c r="G1453" s="112"/>
      <c r="H1453" s="112"/>
      <c r="Z1453" s="112"/>
      <c r="AA1453" s="112"/>
    </row>
    <row r="1454" spans="3:27" x14ac:dyDescent="0.25">
      <c r="C1454" s="112"/>
      <c r="D1454" s="112"/>
      <c r="E1454" s="113"/>
      <c r="F1454" s="113"/>
      <c r="G1454" s="112"/>
      <c r="H1454" s="112"/>
      <c r="Z1454" s="112"/>
      <c r="AA1454" s="112"/>
    </row>
    <row r="1455" spans="3:27" x14ac:dyDescent="0.25">
      <c r="C1455" s="112"/>
      <c r="D1455" s="112"/>
      <c r="E1455" s="113"/>
      <c r="F1455" s="113"/>
      <c r="G1455" s="112"/>
      <c r="H1455" s="112"/>
      <c r="Z1455" s="112"/>
      <c r="AA1455" s="112"/>
    </row>
    <row r="1456" spans="3:27" x14ac:dyDescent="0.25">
      <c r="C1456" s="112"/>
      <c r="D1456" s="112"/>
      <c r="E1456" s="113"/>
      <c r="F1456" s="113"/>
      <c r="G1456" s="112"/>
      <c r="H1456" s="112"/>
      <c r="Z1456" s="112"/>
      <c r="AA1456" s="112"/>
    </row>
    <row r="1457" spans="3:27" x14ac:dyDescent="0.25">
      <c r="C1457" s="112"/>
      <c r="D1457" s="112"/>
      <c r="E1457" s="113"/>
      <c r="F1457" s="113"/>
      <c r="G1457" s="112"/>
      <c r="H1457" s="112"/>
      <c r="Z1457" s="112"/>
      <c r="AA1457" s="112"/>
    </row>
    <row r="1458" spans="3:27" x14ac:dyDescent="0.25">
      <c r="C1458" s="112"/>
      <c r="D1458" s="112"/>
      <c r="E1458" s="113"/>
      <c r="F1458" s="113"/>
      <c r="G1458" s="112"/>
      <c r="H1458" s="112"/>
      <c r="Z1458" s="112"/>
      <c r="AA1458" s="112"/>
    </row>
    <row r="1459" spans="3:27" x14ac:dyDescent="0.25">
      <c r="C1459" s="112"/>
      <c r="D1459" s="112"/>
      <c r="E1459" s="113"/>
      <c r="F1459" s="113"/>
      <c r="G1459" s="112"/>
      <c r="H1459" s="112"/>
      <c r="Z1459" s="112"/>
      <c r="AA1459" s="112"/>
    </row>
    <row r="1460" spans="3:27" x14ac:dyDescent="0.25">
      <c r="C1460" s="112"/>
      <c r="D1460" s="112"/>
      <c r="E1460" s="113"/>
      <c r="F1460" s="113"/>
      <c r="G1460" s="112"/>
      <c r="H1460" s="112"/>
      <c r="Z1460" s="112"/>
      <c r="AA1460" s="112"/>
    </row>
    <row r="1461" spans="3:27" x14ac:dyDescent="0.25">
      <c r="C1461" s="112"/>
      <c r="D1461" s="112"/>
      <c r="E1461" s="113"/>
      <c r="F1461" s="113"/>
      <c r="G1461" s="112"/>
      <c r="H1461" s="112"/>
      <c r="Z1461" s="112"/>
      <c r="AA1461" s="112"/>
    </row>
    <row r="1462" spans="3:27" x14ac:dyDescent="0.25">
      <c r="C1462" s="112"/>
      <c r="D1462" s="112"/>
      <c r="E1462" s="113"/>
      <c r="F1462" s="113"/>
      <c r="G1462" s="112"/>
      <c r="H1462" s="112"/>
      <c r="Z1462" s="112"/>
      <c r="AA1462" s="112"/>
    </row>
    <row r="1463" spans="3:27" x14ac:dyDescent="0.25">
      <c r="C1463" s="112"/>
      <c r="D1463" s="112"/>
      <c r="E1463" s="113"/>
      <c r="F1463" s="113"/>
      <c r="G1463" s="112"/>
      <c r="H1463" s="112"/>
      <c r="Z1463" s="112"/>
      <c r="AA1463" s="112"/>
    </row>
    <row r="1464" spans="3:27" x14ac:dyDescent="0.25">
      <c r="C1464" s="112"/>
      <c r="D1464" s="112"/>
      <c r="E1464" s="113"/>
      <c r="F1464" s="113"/>
      <c r="G1464" s="112"/>
      <c r="H1464" s="112"/>
      <c r="Z1464" s="112"/>
      <c r="AA1464" s="112"/>
    </row>
    <row r="1465" spans="3:27" x14ac:dyDescent="0.25">
      <c r="C1465" s="112"/>
      <c r="D1465" s="112"/>
      <c r="E1465" s="113"/>
      <c r="F1465" s="113"/>
      <c r="G1465" s="112"/>
      <c r="H1465" s="112"/>
      <c r="Z1465" s="112"/>
      <c r="AA1465" s="112"/>
    </row>
    <row r="1466" spans="3:27" x14ac:dyDescent="0.25">
      <c r="C1466" s="112"/>
      <c r="D1466" s="112"/>
      <c r="E1466" s="113"/>
      <c r="F1466" s="113"/>
      <c r="G1466" s="112"/>
      <c r="H1466" s="112"/>
      <c r="Z1466" s="112"/>
      <c r="AA1466" s="112"/>
    </row>
    <row r="1467" spans="3:27" x14ac:dyDescent="0.25">
      <c r="C1467" s="112"/>
      <c r="D1467" s="112"/>
      <c r="E1467" s="113"/>
      <c r="F1467" s="113"/>
      <c r="G1467" s="112"/>
      <c r="H1467" s="112"/>
      <c r="Z1467" s="112"/>
      <c r="AA1467" s="112"/>
    </row>
    <row r="1468" spans="3:27" x14ac:dyDescent="0.25">
      <c r="C1468" s="112"/>
      <c r="D1468" s="112"/>
      <c r="E1468" s="113"/>
      <c r="F1468" s="113"/>
      <c r="G1468" s="112"/>
      <c r="H1468" s="112"/>
      <c r="Z1468" s="112"/>
      <c r="AA1468" s="112"/>
    </row>
    <row r="1469" spans="3:27" x14ac:dyDescent="0.25">
      <c r="C1469" s="112"/>
      <c r="D1469" s="112"/>
      <c r="E1469" s="113"/>
      <c r="F1469" s="113"/>
      <c r="G1469" s="112"/>
      <c r="H1469" s="112"/>
      <c r="Z1469" s="112"/>
      <c r="AA1469" s="112"/>
    </row>
    <row r="1470" spans="3:27" x14ac:dyDescent="0.25">
      <c r="C1470" s="112"/>
      <c r="D1470" s="112"/>
      <c r="E1470" s="113"/>
      <c r="F1470" s="113"/>
      <c r="G1470" s="112"/>
      <c r="H1470" s="112"/>
      <c r="Z1470" s="112"/>
      <c r="AA1470" s="112"/>
    </row>
    <row r="1471" spans="3:27" x14ac:dyDescent="0.25">
      <c r="C1471" s="112"/>
      <c r="D1471" s="112"/>
      <c r="E1471" s="113"/>
      <c r="F1471" s="113"/>
      <c r="G1471" s="112"/>
      <c r="H1471" s="112"/>
      <c r="Z1471" s="112"/>
      <c r="AA1471" s="112"/>
    </row>
    <row r="1472" spans="3:27" x14ac:dyDescent="0.25">
      <c r="C1472" s="112"/>
      <c r="D1472" s="112"/>
      <c r="E1472" s="113"/>
      <c r="F1472" s="113"/>
      <c r="G1472" s="112"/>
      <c r="H1472" s="112"/>
      <c r="Z1472" s="112"/>
      <c r="AA1472" s="112"/>
    </row>
    <row r="1473" spans="3:27" x14ac:dyDescent="0.25">
      <c r="C1473" s="112"/>
      <c r="D1473" s="112"/>
      <c r="E1473" s="113"/>
      <c r="F1473" s="113"/>
      <c r="G1473" s="112"/>
      <c r="H1473" s="112"/>
      <c r="Z1473" s="112"/>
      <c r="AA1473" s="112"/>
    </row>
    <row r="1474" spans="3:27" x14ac:dyDescent="0.25">
      <c r="C1474" s="112"/>
      <c r="D1474" s="112"/>
      <c r="E1474" s="113"/>
      <c r="F1474" s="113"/>
      <c r="G1474" s="112"/>
      <c r="H1474" s="112"/>
      <c r="Z1474" s="112"/>
      <c r="AA1474" s="112"/>
    </row>
    <row r="1475" spans="3:27" x14ac:dyDescent="0.25">
      <c r="C1475" s="112"/>
      <c r="D1475" s="112"/>
      <c r="E1475" s="113"/>
      <c r="F1475" s="113"/>
      <c r="G1475" s="112"/>
      <c r="H1475" s="112"/>
      <c r="Z1475" s="112"/>
      <c r="AA1475" s="112"/>
    </row>
    <row r="1476" spans="3:27" x14ac:dyDescent="0.25">
      <c r="C1476" s="112"/>
      <c r="D1476" s="112"/>
      <c r="E1476" s="113"/>
      <c r="F1476" s="113"/>
      <c r="G1476" s="112"/>
      <c r="H1476" s="112"/>
      <c r="Z1476" s="112"/>
      <c r="AA1476" s="112"/>
    </row>
    <row r="1477" spans="3:27" x14ac:dyDescent="0.25">
      <c r="C1477" s="112"/>
      <c r="D1477" s="112"/>
      <c r="E1477" s="113"/>
      <c r="F1477" s="113"/>
      <c r="G1477" s="112"/>
      <c r="H1477" s="112"/>
      <c r="Z1477" s="112"/>
      <c r="AA1477" s="112"/>
    </row>
    <row r="1478" spans="3:27" x14ac:dyDescent="0.25">
      <c r="C1478" s="112"/>
      <c r="D1478" s="112"/>
      <c r="E1478" s="113"/>
      <c r="F1478" s="113"/>
      <c r="G1478" s="112"/>
      <c r="H1478" s="112"/>
      <c r="Z1478" s="112"/>
      <c r="AA1478" s="112"/>
    </row>
    <row r="1479" spans="3:27" x14ac:dyDescent="0.25">
      <c r="C1479" s="112"/>
      <c r="D1479" s="112"/>
      <c r="E1479" s="113"/>
      <c r="F1479" s="113"/>
      <c r="G1479" s="112"/>
      <c r="H1479" s="112"/>
      <c r="Z1479" s="112"/>
      <c r="AA1479" s="112"/>
    </row>
    <row r="1480" spans="3:27" x14ac:dyDescent="0.25">
      <c r="C1480" s="112"/>
      <c r="D1480" s="112"/>
      <c r="E1480" s="113"/>
      <c r="F1480" s="113"/>
      <c r="G1480" s="112"/>
      <c r="H1480" s="112"/>
      <c r="Z1480" s="112"/>
      <c r="AA1480" s="112"/>
    </row>
    <row r="1481" spans="3:27" x14ac:dyDescent="0.25">
      <c r="C1481" s="112"/>
      <c r="D1481" s="112"/>
      <c r="E1481" s="113"/>
      <c r="F1481" s="113"/>
      <c r="G1481" s="112"/>
      <c r="H1481" s="112"/>
      <c r="Z1481" s="112"/>
      <c r="AA1481" s="112"/>
    </row>
    <row r="1482" spans="3:27" x14ac:dyDescent="0.25">
      <c r="C1482" s="112"/>
      <c r="D1482" s="112"/>
      <c r="E1482" s="113"/>
      <c r="F1482" s="113"/>
      <c r="G1482" s="112"/>
      <c r="H1482" s="112"/>
      <c r="Z1482" s="112"/>
      <c r="AA1482" s="112"/>
    </row>
    <row r="1483" spans="3:27" x14ac:dyDescent="0.25">
      <c r="C1483" s="112"/>
      <c r="D1483" s="112"/>
      <c r="E1483" s="113"/>
      <c r="F1483" s="113"/>
      <c r="G1483" s="112"/>
      <c r="H1483" s="112"/>
      <c r="Z1483" s="112"/>
      <c r="AA1483" s="112"/>
    </row>
    <row r="1484" spans="3:27" x14ac:dyDescent="0.25">
      <c r="C1484" s="112"/>
      <c r="D1484" s="112"/>
      <c r="E1484" s="113"/>
      <c r="F1484" s="113"/>
      <c r="G1484" s="112"/>
      <c r="H1484" s="112"/>
      <c r="Z1484" s="112"/>
      <c r="AA1484" s="112"/>
    </row>
    <row r="1485" spans="3:27" x14ac:dyDescent="0.25">
      <c r="C1485" s="112"/>
      <c r="D1485" s="112"/>
      <c r="E1485" s="113"/>
      <c r="F1485" s="113"/>
      <c r="G1485" s="112"/>
      <c r="H1485" s="112"/>
      <c r="Z1485" s="112"/>
      <c r="AA1485" s="112"/>
    </row>
    <row r="1486" spans="3:27" x14ac:dyDescent="0.25">
      <c r="C1486" s="112"/>
      <c r="D1486" s="112"/>
      <c r="E1486" s="113"/>
      <c r="F1486" s="113"/>
      <c r="G1486" s="112"/>
      <c r="H1486" s="112"/>
      <c r="Z1486" s="112"/>
      <c r="AA1486" s="112"/>
    </row>
    <row r="1487" spans="3:27" x14ac:dyDescent="0.25">
      <c r="C1487" s="112"/>
      <c r="D1487" s="112"/>
      <c r="E1487" s="113"/>
      <c r="F1487" s="113"/>
      <c r="G1487" s="112"/>
      <c r="H1487" s="112"/>
      <c r="Z1487" s="112"/>
      <c r="AA1487" s="112"/>
    </row>
    <row r="1488" spans="3:27" x14ac:dyDescent="0.25">
      <c r="C1488" s="112"/>
      <c r="D1488" s="112"/>
      <c r="E1488" s="113"/>
      <c r="F1488" s="113"/>
      <c r="G1488" s="112"/>
      <c r="H1488" s="112"/>
      <c r="Z1488" s="112"/>
      <c r="AA1488" s="112"/>
    </row>
    <row r="1489" spans="3:27" x14ac:dyDescent="0.25">
      <c r="C1489" s="112"/>
      <c r="D1489" s="112"/>
      <c r="E1489" s="113"/>
      <c r="F1489" s="113"/>
      <c r="G1489" s="112"/>
      <c r="H1489" s="112"/>
      <c r="Z1489" s="112"/>
      <c r="AA1489" s="112"/>
    </row>
    <row r="1490" spans="3:27" x14ac:dyDescent="0.25">
      <c r="C1490" s="112"/>
      <c r="D1490" s="112"/>
      <c r="E1490" s="113"/>
      <c r="F1490" s="113"/>
      <c r="G1490" s="112"/>
      <c r="H1490" s="112"/>
      <c r="Z1490" s="112"/>
      <c r="AA1490" s="112"/>
    </row>
    <row r="1491" spans="3:27" x14ac:dyDescent="0.25">
      <c r="C1491" s="112"/>
      <c r="D1491" s="112"/>
      <c r="E1491" s="113"/>
      <c r="F1491" s="113"/>
      <c r="G1491" s="112"/>
      <c r="H1491" s="112"/>
      <c r="Z1491" s="112"/>
      <c r="AA1491" s="112"/>
    </row>
    <row r="1492" spans="3:27" x14ac:dyDescent="0.25">
      <c r="C1492" s="112"/>
      <c r="D1492" s="112"/>
      <c r="E1492" s="113"/>
      <c r="F1492" s="113"/>
      <c r="G1492" s="112"/>
      <c r="H1492" s="112"/>
      <c r="Z1492" s="112"/>
      <c r="AA1492" s="112"/>
    </row>
    <row r="1493" spans="3:27" x14ac:dyDescent="0.25">
      <c r="C1493" s="112"/>
      <c r="D1493" s="112"/>
      <c r="E1493" s="113"/>
      <c r="F1493" s="113"/>
      <c r="G1493" s="112"/>
      <c r="H1493" s="112"/>
      <c r="Z1493" s="112"/>
      <c r="AA1493" s="112"/>
    </row>
    <row r="1494" spans="3:27" x14ac:dyDescent="0.25">
      <c r="C1494" s="112"/>
      <c r="D1494" s="112"/>
      <c r="E1494" s="113"/>
      <c r="F1494" s="113"/>
      <c r="G1494" s="112"/>
      <c r="H1494" s="112"/>
      <c r="Z1494" s="112"/>
      <c r="AA1494" s="112"/>
    </row>
    <row r="1495" spans="3:27" x14ac:dyDescent="0.25">
      <c r="C1495" s="112"/>
      <c r="D1495" s="112"/>
      <c r="E1495" s="113"/>
      <c r="F1495" s="113"/>
      <c r="G1495" s="112"/>
      <c r="H1495" s="112"/>
      <c r="Z1495" s="112"/>
      <c r="AA1495" s="112"/>
    </row>
    <row r="1496" spans="3:27" x14ac:dyDescent="0.25">
      <c r="C1496" s="112"/>
      <c r="D1496" s="112"/>
      <c r="E1496" s="113"/>
      <c r="F1496" s="113"/>
      <c r="G1496" s="112"/>
      <c r="H1496" s="112"/>
      <c r="Z1496" s="112"/>
      <c r="AA1496" s="112"/>
    </row>
    <row r="1497" spans="3:27" x14ac:dyDescent="0.25">
      <c r="C1497" s="112"/>
      <c r="D1497" s="112"/>
      <c r="E1497" s="113"/>
      <c r="F1497" s="113"/>
      <c r="G1497" s="112"/>
      <c r="H1497" s="112"/>
      <c r="Z1497" s="112"/>
      <c r="AA1497" s="112"/>
    </row>
    <row r="1498" spans="3:27" x14ac:dyDescent="0.25">
      <c r="C1498" s="112"/>
      <c r="D1498" s="112"/>
      <c r="E1498" s="113"/>
      <c r="F1498" s="113"/>
      <c r="G1498" s="112"/>
      <c r="H1498" s="112"/>
      <c r="Z1498" s="112"/>
      <c r="AA1498" s="112"/>
    </row>
    <row r="1499" spans="3:27" x14ac:dyDescent="0.25">
      <c r="C1499" s="112"/>
      <c r="D1499" s="112"/>
      <c r="E1499" s="113"/>
      <c r="F1499" s="113"/>
      <c r="G1499" s="112"/>
      <c r="H1499" s="112"/>
      <c r="Z1499" s="112"/>
      <c r="AA1499" s="112"/>
    </row>
    <row r="1500" spans="3:27" x14ac:dyDescent="0.25">
      <c r="C1500" s="112"/>
      <c r="D1500" s="112"/>
      <c r="E1500" s="113"/>
      <c r="F1500" s="113"/>
      <c r="G1500" s="112"/>
      <c r="H1500" s="112"/>
      <c r="Z1500" s="112"/>
      <c r="AA1500" s="112"/>
    </row>
    <row r="1501" spans="3:27" x14ac:dyDescent="0.25">
      <c r="C1501" s="112"/>
      <c r="D1501" s="112"/>
      <c r="E1501" s="113"/>
      <c r="F1501" s="113"/>
      <c r="G1501" s="112"/>
      <c r="H1501" s="112"/>
      <c r="Z1501" s="112"/>
      <c r="AA1501" s="112"/>
    </row>
    <row r="1502" spans="3:27" x14ac:dyDescent="0.25">
      <c r="C1502" s="112"/>
      <c r="D1502" s="112"/>
      <c r="E1502" s="113"/>
      <c r="F1502" s="113"/>
      <c r="G1502" s="112"/>
      <c r="H1502" s="112"/>
      <c r="Z1502" s="112"/>
      <c r="AA1502" s="112"/>
    </row>
    <row r="1503" spans="3:27" x14ac:dyDescent="0.25">
      <c r="C1503" s="112"/>
      <c r="D1503" s="112"/>
      <c r="E1503" s="113"/>
      <c r="F1503" s="113"/>
      <c r="G1503" s="112"/>
      <c r="H1503" s="112"/>
      <c r="Z1503" s="112"/>
      <c r="AA1503" s="112"/>
    </row>
    <row r="1504" spans="3:27" x14ac:dyDescent="0.25">
      <c r="C1504" s="112"/>
      <c r="D1504" s="112"/>
      <c r="E1504" s="113"/>
      <c r="F1504" s="113"/>
      <c r="G1504" s="112"/>
      <c r="H1504" s="112"/>
      <c r="Z1504" s="112"/>
      <c r="AA1504" s="112"/>
    </row>
    <row r="1505" spans="3:27" x14ac:dyDescent="0.25">
      <c r="C1505" s="112"/>
      <c r="D1505" s="112"/>
      <c r="E1505" s="113"/>
      <c r="F1505" s="113"/>
      <c r="G1505" s="112"/>
      <c r="H1505" s="112"/>
      <c r="Z1505" s="112"/>
      <c r="AA1505" s="112"/>
    </row>
    <row r="1506" spans="3:27" x14ac:dyDescent="0.25">
      <c r="C1506" s="112"/>
      <c r="D1506" s="112"/>
      <c r="E1506" s="113"/>
      <c r="F1506" s="113"/>
      <c r="G1506" s="112"/>
      <c r="H1506" s="112"/>
      <c r="Z1506" s="112"/>
      <c r="AA1506" s="112"/>
    </row>
    <row r="1507" spans="3:27" x14ac:dyDescent="0.25">
      <c r="C1507" s="112"/>
      <c r="D1507" s="112"/>
      <c r="E1507" s="113"/>
      <c r="F1507" s="113"/>
      <c r="G1507" s="112"/>
      <c r="H1507" s="112"/>
      <c r="Z1507" s="112"/>
      <c r="AA1507" s="112"/>
    </row>
    <row r="1508" spans="3:27" x14ac:dyDescent="0.25">
      <c r="C1508" s="112"/>
      <c r="D1508" s="112"/>
      <c r="E1508" s="113"/>
      <c r="F1508" s="113"/>
      <c r="G1508" s="112"/>
      <c r="H1508" s="112"/>
      <c r="Z1508" s="112"/>
      <c r="AA1508" s="112"/>
    </row>
    <row r="1509" spans="3:27" x14ac:dyDescent="0.25">
      <c r="C1509" s="112"/>
      <c r="D1509" s="112"/>
      <c r="E1509" s="113"/>
      <c r="F1509" s="113"/>
      <c r="G1509" s="112"/>
      <c r="H1509" s="112"/>
      <c r="Z1509" s="112"/>
      <c r="AA1509" s="112"/>
    </row>
    <row r="1510" spans="3:27" x14ac:dyDescent="0.25">
      <c r="C1510" s="112"/>
      <c r="D1510" s="112"/>
      <c r="E1510" s="113"/>
      <c r="F1510" s="113"/>
      <c r="G1510" s="112"/>
      <c r="H1510" s="112"/>
      <c r="Z1510" s="112"/>
      <c r="AA1510" s="112"/>
    </row>
    <row r="1511" spans="3:27" x14ac:dyDescent="0.25">
      <c r="C1511" s="112"/>
      <c r="D1511" s="112"/>
      <c r="E1511" s="113"/>
      <c r="F1511" s="113"/>
      <c r="G1511" s="112"/>
      <c r="H1511" s="112"/>
      <c r="Z1511" s="112"/>
      <c r="AA1511" s="112"/>
    </row>
    <row r="1512" spans="3:27" x14ac:dyDescent="0.25">
      <c r="C1512" s="112"/>
      <c r="D1512" s="112"/>
      <c r="E1512" s="113"/>
      <c r="F1512" s="113"/>
      <c r="G1512" s="112"/>
      <c r="H1512" s="112"/>
      <c r="Z1512" s="112"/>
      <c r="AA1512" s="112"/>
    </row>
    <row r="1513" spans="3:27" x14ac:dyDescent="0.25">
      <c r="C1513" s="112"/>
      <c r="D1513" s="112"/>
      <c r="E1513" s="113"/>
      <c r="F1513" s="113"/>
      <c r="G1513" s="112"/>
      <c r="H1513" s="112"/>
      <c r="Z1513" s="112"/>
      <c r="AA1513" s="112"/>
    </row>
    <row r="1514" spans="3:27" x14ac:dyDescent="0.25">
      <c r="C1514" s="112"/>
      <c r="D1514" s="112"/>
      <c r="E1514" s="113"/>
      <c r="F1514" s="113"/>
      <c r="G1514" s="112"/>
      <c r="H1514" s="112"/>
      <c r="Z1514" s="112"/>
      <c r="AA1514" s="112"/>
    </row>
    <row r="1515" spans="3:27" x14ac:dyDescent="0.25">
      <c r="C1515" s="112"/>
      <c r="D1515" s="112"/>
      <c r="E1515" s="113"/>
      <c r="F1515" s="113"/>
      <c r="G1515" s="112"/>
      <c r="H1515" s="112"/>
      <c r="Z1515" s="112"/>
      <c r="AA1515" s="112"/>
    </row>
    <row r="1516" spans="3:27" x14ac:dyDescent="0.25">
      <c r="C1516" s="112"/>
      <c r="D1516" s="112"/>
      <c r="E1516" s="113"/>
      <c r="F1516" s="113"/>
      <c r="G1516" s="112"/>
      <c r="H1516" s="112"/>
      <c r="Z1516" s="112"/>
      <c r="AA1516" s="112"/>
    </row>
    <row r="1517" spans="3:27" x14ac:dyDescent="0.25">
      <c r="C1517" s="112"/>
      <c r="D1517" s="112"/>
      <c r="E1517" s="113"/>
      <c r="F1517" s="113"/>
      <c r="G1517" s="112"/>
      <c r="H1517" s="112"/>
      <c r="Z1517" s="112"/>
      <c r="AA1517" s="112"/>
    </row>
    <row r="1518" spans="3:27" x14ac:dyDescent="0.25">
      <c r="C1518" s="112"/>
      <c r="D1518" s="112"/>
      <c r="E1518" s="113"/>
      <c r="F1518" s="113"/>
      <c r="G1518" s="112"/>
      <c r="H1518" s="112"/>
      <c r="Z1518" s="112"/>
      <c r="AA1518" s="112"/>
    </row>
    <row r="1519" spans="3:27" x14ac:dyDescent="0.25">
      <c r="C1519" s="112"/>
      <c r="D1519" s="112"/>
      <c r="E1519" s="113"/>
      <c r="F1519" s="113"/>
      <c r="G1519" s="112"/>
      <c r="H1519" s="112"/>
      <c r="Z1519" s="112"/>
      <c r="AA1519" s="112"/>
    </row>
    <row r="1520" spans="3:27" x14ac:dyDescent="0.25">
      <c r="C1520" s="112"/>
      <c r="D1520" s="112"/>
      <c r="E1520" s="113"/>
      <c r="F1520" s="113"/>
      <c r="G1520" s="112"/>
      <c r="H1520" s="112"/>
      <c r="Z1520" s="112"/>
      <c r="AA1520" s="112"/>
    </row>
    <row r="1521" spans="3:27" x14ac:dyDescent="0.25">
      <c r="C1521" s="112"/>
      <c r="D1521" s="112"/>
      <c r="E1521" s="113"/>
      <c r="F1521" s="113"/>
      <c r="G1521" s="112"/>
      <c r="H1521" s="112"/>
      <c r="Z1521" s="112"/>
      <c r="AA1521" s="112"/>
    </row>
    <row r="1522" spans="3:27" x14ac:dyDescent="0.25">
      <c r="C1522" s="112"/>
      <c r="D1522" s="112"/>
      <c r="E1522" s="113"/>
      <c r="F1522" s="113"/>
      <c r="G1522" s="112"/>
      <c r="H1522" s="112"/>
      <c r="Z1522" s="112"/>
      <c r="AA1522" s="112"/>
    </row>
    <row r="1523" spans="3:27" x14ac:dyDescent="0.25">
      <c r="C1523" s="112"/>
      <c r="D1523" s="112"/>
      <c r="E1523" s="113"/>
      <c r="F1523" s="113"/>
      <c r="G1523" s="112"/>
      <c r="H1523" s="112"/>
      <c r="Z1523" s="112"/>
      <c r="AA1523" s="112"/>
    </row>
    <row r="1524" spans="3:27" x14ac:dyDescent="0.25">
      <c r="C1524" s="112"/>
      <c r="D1524" s="112"/>
      <c r="E1524" s="113"/>
      <c r="F1524" s="113"/>
      <c r="G1524" s="112"/>
      <c r="H1524" s="112"/>
      <c r="Z1524" s="112"/>
      <c r="AA1524" s="112"/>
    </row>
    <row r="1525" spans="3:27" x14ac:dyDescent="0.25">
      <c r="C1525" s="112"/>
      <c r="D1525" s="112"/>
      <c r="E1525" s="113"/>
      <c r="F1525" s="113"/>
      <c r="G1525" s="112"/>
      <c r="H1525" s="112"/>
      <c r="Z1525" s="112"/>
      <c r="AA1525" s="112"/>
    </row>
    <row r="1526" spans="3:27" x14ac:dyDescent="0.25">
      <c r="C1526" s="112"/>
      <c r="D1526" s="112"/>
      <c r="E1526" s="113"/>
      <c r="F1526" s="113"/>
      <c r="G1526" s="112"/>
      <c r="H1526" s="112"/>
      <c r="Z1526" s="112"/>
      <c r="AA1526" s="112"/>
    </row>
    <row r="1527" spans="3:27" x14ac:dyDescent="0.25">
      <c r="C1527" s="112"/>
      <c r="D1527" s="112"/>
      <c r="E1527" s="113"/>
      <c r="F1527" s="113"/>
      <c r="G1527" s="112"/>
      <c r="H1527" s="112"/>
      <c r="Z1527" s="112"/>
      <c r="AA1527" s="112"/>
    </row>
    <row r="1528" spans="3:27" x14ac:dyDescent="0.25">
      <c r="C1528" s="112"/>
      <c r="D1528" s="112"/>
      <c r="E1528" s="113"/>
      <c r="F1528" s="113"/>
      <c r="G1528" s="112"/>
      <c r="H1528" s="112"/>
      <c r="Z1528" s="112"/>
      <c r="AA1528" s="112"/>
    </row>
    <row r="1529" spans="3:27" x14ac:dyDescent="0.25">
      <c r="C1529" s="112"/>
      <c r="D1529" s="112"/>
      <c r="E1529" s="113"/>
      <c r="F1529" s="113"/>
      <c r="G1529" s="112"/>
      <c r="H1529" s="112"/>
      <c r="Z1529" s="112"/>
      <c r="AA1529" s="112"/>
    </row>
    <row r="1530" spans="3:27" x14ac:dyDescent="0.25">
      <c r="C1530" s="112"/>
      <c r="D1530" s="112"/>
      <c r="E1530" s="113"/>
      <c r="F1530" s="113"/>
      <c r="G1530" s="112"/>
      <c r="H1530" s="112"/>
      <c r="Z1530" s="112"/>
      <c r="AA1530" s="112"/>
    </row>
    <row r="1531" spans="3:27" x14ac:dyDescent="0.25">
      <c r="C1531" s="112"/>
      <c r="D1531" s="112"/>
      <c r="E1531" s="113"/>
      <c r="F1531" s="113"/>
      <c r="G1531" s="112"/>
      <c r="H1531" s="112"/>
      <c r="Z1531" s="112"/>
      <c r="AA1531" s="112"/>
    </row>
    <row r="1532" spans="3:27" x14ac:dyDescent="0.25">
      <c r="C1532" s="112"/>
      <c r="D1532" s="112"/>
      <c r="E1532" s="113"/>
      <c r="F1532" s="113"/>
      <c r="G1532" s="112"/>
      <c r="H1532" s="112"/>
      <c r="Z1532" s="112"/>
      <c r="AA1532" s="112"/>
    </row>
    <row r="1533" spans="3:27" x14ac:dyDescent="0.25">
      <c r="C1533" s="112"/>
      <c r="D1533" s="112"/>
      <c r="E1533" s="113"/>
      <c r="F1533" s="113"/>
      <c r="G1533" s="112"/>
      <c r="H1533" s="112"/>
      <c r="Z1533" s="112"/>
      <c r="AA1533" s="112"/>
    </row>
    <row r="1534" spans="3:27" x14ac:dyDescent="0.25">
      <c r="C1534" s="112"/>
      <c r="D1534" s="112"/>
      <c r="E1534" s="113"/>
      <c r="F1534" s="113"/>
      <c r="G1534" s="112"/>
      <c r="H1534" s="112"/>
      <c r="Z1534" s="112"/>
      <c r="AA1534" s="112"/>
    </row>
    <row r="1535" spans="3:27" x14ac:dyDescent="0.25">
      <c r="C1535" s="112"/>
      <c r="D1535" s="112"/>
      <c r="E1535" s="113"/>
      <c r="F1535" s="113"/>
      <c r="G1535" s="112"/>
      <c r="H1535" s="112"/>
      <c r="Z1535" s="112"/>
      <c r="AA1535" s="112"/>
    </row>
    <row r="1536" spans="3:27" x14ac:dyDescent="0.25">
      <c r="C1536" s="112"/>
      <c r="D1536" s="112"/>
      <c r="E1536" s="113"/>
      <c r="F1536" s="113"/>
      <c r="G1536" s="112"/>
      <c r="H1536" s="112"/>
      <c r="Z1536" s="112"/>
      <c r="AA1536" s="112"/>
    </row>
    <row r="1537" spans="3:27" x14ac:dyDescent="0.25">
      <c r="C1537" s="112"/>
      <c r="D1537" s="112"/>
      <c r="E1537" s="113"/>
      <c r="F1537" s="113"/>
      <c r="G1537" s="112"/>
      <c r="H1537" s="112"/>
      <c r="Z1537" s="112"/>
      <c r="AA1537" s="112"/>
    </row>
    <row r="1538" spans="3:27" x14ac:dyDescent="0.25">
      <c r="C1538" s="112"/>
      <c r="D1538" s="112"/>
      <c r="E1538" s="113"/>
      <c r="F1538" s="113"/>
      <c r="G1538" s="112"/>
      <c r="H1538" s="112"/>
      <c r="Z1538" s="112"/>
      <c r="AA1538" s="112"/>
    </row>
    <row r="1539" spans="3:27" x14ac:dyDescent="0.25">
      <c r="C1539" s="112"/>
      <c r="D1539" s="112"/>
      <c r="E1539" s="113"/>
      <c r="F1539" s="113"/>
      <c r="G1539" s="112"/>
      <c r="H1539" s="112"/>
      <c r="Z1539" s="112"/>
      <c r="AA1539" s="112"/>
    </row>
    <row r="1540" spans="3:27" x14ac:dyDescent="0.25">
      <c r="C1540" s="112"/>
      <c r="D1540" s="112"/>
      <c r="E1540" s="113"/>
      <c r="F1540" s="113"/>
      <c r="G1540" s="112"/>
      <c r="H1540" s="112"/>
      <c r="Z1540" s="112"/>
      <c r="AA1540" s="112"/>
    </row>
    <row r="1541" spans="3:27" x14ac:dyDescent="0.25">
      <c r="C1541" s="112"/>
      <c r="D1541" s="112"/>
      <c r="E1541" s="113"/>
      <c r="F1541" s="113"/>
      <c r="G1541" s="112"/>
      <c r="H1541" s="112"/>
      <c r="Z1541" s="112"/>
      <c r="AA1541" s="112"/>
    </row>
    <row r="1542" spans="3:27" x14ac:dyDescent="0.25">
      <c r="C1542" s="112"/>
      <c r="D1542" s="112"/>
      <c r="E1542" s="113"/>
      <c r="F1542" s="113"/>
      <c r="G1542" s="112"/>
      <c r="H1542" s="112"/>
      <c r="Z1542" s="112"/>
      <c r="AA1542" s="112"/>
    </row>
    <row r="1543" spans="3:27" x14ac:dyDescent="0.25">
      <c r="C1543" s="112"/>
      <c r="D1543" s="112"/>
      <c r="E1543" s="113"/>
      <c r="F1543" s="113"/>
      <c r="G1543" s="112"/>
      <c r="H1543" s="112"/>
      <c r="Z1543" s="112"/>
      <c r="AA1543" s="112"/>
    </row>
    <row r="1544" spans="3:27" x14ac:dyDescent="0.25">
      <c r="C1544" s="112"/>
      <c r="D1544" s="112"/>
      <c r="E1544" s="113"/>
      <c r="F1544" s="113"/>
      <c r="G1544" s="112"/>
      <c r="H1544" s="112"/>
      <c r="Z1544" s="112"/>
      <c r="AA1544" s="112"/>
    </row>
    <row r="1545" spans="3:27" x14ac:dyDescent="0.25">
      <c r="C1545" s="112"/>
      <c r="D1545" s="112"/>
      <c r="E1545" s="113"/>
      <c r="F1545" s="113"/>
      <c r="G1545" s="112"/>
      <c r="H1545" s="112"/>
      <c r="Z1545" s="112"/>
      <c r="AA1545" s="112"/>
    </row>
    <row r="1546" spans="3:27" x14ac:dyDescent="0.25">
      <c r="C1546" s="112"/>
      <c r="D1546" s="112"/>
      <c r="E1546" s="113"/>
      <c r="F1546" s="113"/>
      <c r="G1546" s="112"/>
      <c r="H1546" s="112"/>
      <c r="Z1546" s="112"/>
      <c r="AA1546" s="112"/>
    </row>
    <row r="1547" spans="3:27" x14ac:dyDescent="0.25">
      <c r="C1547" s="112"/>
      <c r="D1547" s="112"/>
      <c r="E1547" s="113"/>
      <c r="F1547" s="113"/>
      <c r="G1547" s="112"/>
      <c r="H1547" s="112"/>
      <c r="Z1547" s="112"/>
      <c r="AA1547" s="112"/>
    </row>
    <row r="1548" spans="3:27" x14ac:dyDescent="0.25">
      <c r="C1548" s="112"/>
      <c r="D1548" s="112"/>
      <c r="E1548" s="113"/>
      <c r="F1548" s="113"/>
      <c r="G1548" s="112"/>
      <c r="H1548" s="112"/>
      <c r="Z1548" s="112"/>
      <c r="AA1548" s="112"/>
    </row>
    <row r="1549" spans="3:27" x14ac:dyDescent="0.25">
      <c r="C1549" s="112"/>
      <c r="D1549" s="112"/>
      <c r="E1549" s="113"/>
      <c r="F1549" s="113"/>
      <c r="G1549" s="112"/>
      <c r="H1549" s="112"/>
      <c r="Z1549" s="112"/>
      <c r="AA1549" s="112"/>
    </row>
    <row r="1550" spans="3:27" x14ac:dyDescent="0.25">
      <c r="C1550" s="112"/>
      <c r="D1550" s="112"/>
      <c r="E1550" s="113"/>
      <c r="F1550" s="113"/>
      <c r="G1550" s="112"/>
      <c r="H1550" s="112"/>
      <c r="Z1550" s="112"/>
      <c r="AA1550" s="112"/>
    </row>
    <row r="1551" spans="3:27" x14ac:dyDescent="0.25">
      <c r="C1551" s="112"/>
      <c r="D1551" s="112"/>
      <c r="E1551" s="113"/>
      <c r="F1551" s="113"/>
      <c r="G1551" s="112"/>
      <c r="H1551" s="112"/>
      <c r="Z1551" s="112"/>
      <c r="AA1551" s="112"/>
    </row>
    <row r="1552" spans="3:27" x14ac:dyDescent="0.25">
      <c r="C1552" s="112"/>
      <c r="D1552" s="112"/>
      <c r="E1552" s="113"/>
      <c r="F1552" s="113"/>
      <c r="G1552" s="112"/>
      <c r="H1552" s="112"/>
      <c r="Z1552" s="112"/>
      <c r="AA1552" s="112"/>
    </row>
    <row r="1553" spans="3:27" x14ac:dyDescent="0.25">
      <c r="C1553" s="112"/>
      <c r="D1553" s="112"/>
      <c r="E1553" s="113"/>
      <c r="F1553" s="113"/>
      <c r="G1553" s="112"/>
      <c r="H1553" s="112"/>
      <c r="Z1553" s="112"/>
      <c r="AA1553" s="112"/>
    </row>
    <row r="1554" spans="3:27" x14ac:dyDescent="0.25">
      <c r="C1554" s="112"/>
      <c r="D1554" s="112"/>
      <c r="E1554" s="113"/>
      <c r="F1554" s="113"/>
      <c r="G1554" s="112"/>
      <c r="H1554" s="112"/>
      <c r="Z1554" s="112"/>
      <c r="AA1554" s="112"/>
    </row>
    <row r="1555" spans="3:27" x14ac:dyDescent="0.25">
      <c r="C1555" s="112"/>
      <c r="D1555" s="112"/>
      <c r="E1555" s="113"/>
      <c r="F1555" s="113"/>
      <c r="G1555" s="112"/>
      <c r="H1555" s="112"/>
      <c r="Z1555" s="112"/>
      <c r="AA1555" s="112"/>
    </row>
    <row r="1556" spans="3:27" x14ac:dyDescent="0.25">
      <c r="C1556" s="112"/>
      <c r="D1556" s="112"/>
      <c r="E1556" s="113"/>
      <c r="F1556" s="113"/>
      <c r="G1556" s="112"/>
      <c r="H1556" s="112"/>
      <c r="Z1556" s="112"/>
      <c r="AA1556" s="112"/>
    </row>
    <row r="1557" spans="3:27" x14ac:dyDescent="0.25">
      <c r="C1557" s="112"/>
      <c r="D1557" s="112"/>
      <c r="E1557" s="113"/>
      <c r="F1557" s="113"/>
      <c r="G1557" s="112"/>
      <c r="H1557" s="112"/>
      <c r="Z1557" s="112"/>
      <c r="AA1557" s="112"/>
    </row>
    <row r="1558" spans="3:27" x14ac:dyDescent="0.25">
      <c r="C1558" s="112"/>
      <c r="D1558" s="112"/>
      <c r="E1558" s="113"/>
      <c r="F1558" s="113"/>
      <c r="G1558" s="112"/>
      <c r="H1558" s="112"/>
      <c r="Z1558" s="112"/>
      <c r="AA1558" s="112"/>
    </row>
    <row r="1559" spans="3:27" x14ac:dyDescent="0.25">
      <c r="C1559" s="112"/>
      <c r="D1559" s="112"/>
      <c r="E1559" s="113"/>
      <c r="F1559" s="113"/>
      <c r="G1559" s="112"/>
      <c r="H1559" s="112"/>
      <c r="Z1559" s="112"/>
      <c r="AA1559" s="112"/>
    </row>
    <row r="1560" spans="3:27" x14ac:dyDescent="0.25">
      <c r="C1560" s="112"/>
      <c r="D1560" s="112"/>
      <c r="E1560" s="113"/>
      <c r="F1560" s="113"/>
      <c r="G1560" s="112"/>
      <c r="H1560" s="112"/>
      <c r="Z1560" s="112"/>
      <c r="AA1560" s="112"/>
    </row>
    <row r="1561" spans="3:27" x14ac:dyDescent="0.25">
      <c r="C1561" s="112"/>
      <c r="D1561" s="112"/>
      <c r="E1561" s="113"/>
      <c r="F1561" s="113"/>
      <c r="G1561" s="112"/>
      <c r="H1561" s="112"/>
      <c r="Z1561" s="112"/>
      <c r="AA1561" s="112"/>
    </row>
    <row r="1562" spans="3:27" x14ac:dyDescent="0.25">
      <c r="C1562" s="112"/>
      <c r="D1562" s="112"/>
      <c r="E1562" s="113"/>
      <c r="F1562" s="113"/>
      <c r="G1562" s="112"/>
      <c r="H1562" s="112"/>
      <c r="Z1562" s="112"/>
      <c r="AA1562" s="112"/>
    </row>
    <row r="1563" spans="3:27" x14ac:dyDescent="0.25">
      <c r="C1563" s="112"/>
      <c r="D1563" s="112"/>
      <c r="E1563" s="113"/>
      <c r="F1563" s="113"/>
      <c r="G1563" s="112"/>
      <c r="H1563" s="112"/>
      <c r="Z1563" s="112"/>
      <c r="AA1563" s="112"/>
    </row>
    <row r="1564" spans="3:27" x14ac:dyDescent="0.25">
      <c r="C1564" s="112"/>
      <c r="D1564" s="112"/>
      <c r="E1564" s="113"/>
      <c r="F1564" s="113"/>
      <c r="G1564" s="112"/>
      <c r="H1564" s="112"/>
      <c r="Z1564" s="112"/>
      <c r="AA1564" s="112"/>
    </row>
    <row r="1565" spans="3:27" x14ac:dyDescent="0.25">
      <c r="C1565" s="112"/>
      <c r="D1565" s="112"/>
      <c r="E1565" s="113"/>
      <c r="F1565" s="113"/>
      <c r="G1565" s="112"/>
      <c r="H1565" s="112"/>
      <c r="Z1565" s="112"/>
      <c r="AA1565" s="112"/>
    </row>
    <row r="1566" spans="3:27" x14ac:dyDescent="0.25">
      <c r="C1566" s="112"/>
      <c r="D1566" s="112"/>
      <c r="E1566" s="113"/>
      <c r="F1566" s="113"/>
      <c r="G1566" s="112"/>
      <c r="H1566" s="112"/>
      <c r="Z1566" s="112"/>
      <c r="AA1566" s="112"/>
    </row>
    <row r="1567" spans="3:27" x14ac:dyDescent="0.25">
      <c r="C1567" s="112"/>
      <c r="D1567" s="112"/>
      <c r="E1567" s="113"/>
      <c r="F1567" s="113"/>
      <c r="G1567" s="112"/>
      <c r="H1567" s="112"/>
      <c r="Z1567" s="112"/>
      <c r="AA1567" s="112"/>
    </row>
    <row r="1568" spans="3:27" x14ac:dyDescent="0.25">
      <c r="C1568" s="112"/>
      <c r="D1568" s="112"/>
      <c r="E1568" s="113"/>
      <c r="F1568" s="113"/>
      <c r="G1568" s="112"/>
      <c r="H1568" s="112"/>
      <c r="Z1568" s="112"/>
      <c r="AA1568" s="112"/>
    </row>
    <row r="1569" spans="3:27" x14ac:dyDescent="0.25">
      <c r="C1569" s="112"/>
      <c r="D1569" s="112"/>
      <c r="E1569" s="113"/>
      <c r="F1569" s="113"/>
      <c r="G1569" s="112"/>
      <c r="H1569" s="112"/>
      <c r="Z1569" s="112"/>
      <c r="AA1569" s="112"/>
    </row>
    <row r="1570" spans="3:27" x14ac:dyDescent="0.25">
      <c r="C1570" s="112"/>
      <c r="D1570" s="112"/>
      <c r="E1570" s="113"/>
      <c r="F1570" s="113"/>
      <c r="G1570" s="112"/>
      <c r="H1570" s="112"/>
      <c r="Z1570" s="112"/>
      <c r="AA1570" s="112"/>
    </row>
    <row r="1571" spans="3:27" x14ac:dyDescent="0.25">
      <c r="C1571" s="112"/>
      <c r="D1571" s="112"/>
      <c r="E1571" s="113"/>
      <c r="F1571" s="113"/>
      <c r="G1571" s="112"/>
      <c r="H1571" s="112"/>
      <c r="Z1571" s="112"/>
      <c r="AA1571" s="112"/>
    </row>
    <row r="1572" spans="3:27" x14ac:dyDescent="0.25">
      <c r="C1572" s="112"/>
      <c r="D1572" s="112"/>
      <c r="E1572" s="113"/>
      <c r="F1572" s="113"/>
      <c r="G1572" s="112"/>
      <c r="H1572" s="112"/>
      <c r="Z1572" s="112"/>
      <c r="AA1572" s="112"/>
    </row>
    <row r="1573" spans="3:27" x14ac:dyDescent="0.25">
      <c r="C1573" s="112"/>
      <c r="D1573" s="112"/>
      <c r="E1573" s="113"/>
      <c r="F1573" s="113"/>
      <c r="G1573" s="112"/>
      <c r="H1573" s="112"/>
      <c r="Z1573" s="112"/>
      <c r="AA1573" s="112"/>
    </row>
    <row r="1574" spans="3:27" x14ac:dyDescent="0.25">
      <c r="C1574" s="112"/>
      <c r="D1574" s="112"/>
      <c r="E1574" s="113"/>
      <c r="F1574" s="113"/>
      <c r="G1574" s="112"/>
      <c r="H1574" s="112"/>
      <c r="Z1574" s="112"/>
      <c r="AA1574" s="112"/>
    </row>
    <row r="1575" spans="3:27" x14ac:dyDescent="0.25">
      <c r="C1575" s="112"/>
      <c r="D1575" s="112"/>
      <c r="E1575" s="113"/>
      <c r="F1575" s="113"/>
      <c r="G1575" s="112"/>
      <c r="H1575" s="112"/>
      <c r="Z1575" s="112"/>
      <c r="AA1575" s="112"/>
    </row>
    <row r="1576" spans="3:27" x14ac:dyDescent="0.25">
      <c r="C1576" s="112"/>
      <c r="D1576" s="112"/>
      <c r="E1576" s="113"/>
      <c r="F1576" s="113"/>
      <c r="G1576" s="112"/>
      <c r="H1576" s="112"/>
      <c r="Z1576" s="112"/>
      <c r="AA1576" s="112"/>
    </row>
    <row r="1577" spans="3:27" x14ac:dyDescent="0.25">
      <c r="C1577" s="112"/>
      <c r="D1577" s="112"/>
      <c r="E1577" s="113"/>
      <c r="F1577" s="113"/>
      <c r="G1577" s="112"/>
      <c r="H1577" s="112"/>
      <c r="Z1577" s="112"/>
      <c r="AA1577" s="112"/>
    </row>
    <row r="1578" spans="3:27" x14ac:dyDescent="0.25">
      <c r="C1578" s="112"/>
      <c r="D1578" s="112"/>
      <c r="E1578" s="113"/>
      <c r="F1578" s="113"/>
      <c r="G1578" s="112"/>
      <c r="H1578" s="112"/>
      <c r="Z1578" s="112"/>
      <c r="AA1578" s="112"/>
    </row>
    <row r="1579" spans="3:27" x14ac:dyDescent="0.25">
      <c r="C1579" s="112"/>
      <c r="D1579" s="112"/>
      <c r="E1579" s="113"/>
      <c r="F1579" s="113"/>
      <c r="G1579" s="112"/>
      <c r="H1579" s="112"/>
      <c r="Z1579" s="112"/>
      <c r="AA1579" s="112"/>
    </row>
    <row r="1580" spans="3:27" x14ac:dyDescent="0.25">
      <c r="C1580" s="112"/>
      <c r="D1580" s="112"/>
      <c r="E1580" s="113"/>
      <c r="F1580" s="113"/>
      <c r="G1580" s="112"/>
      <c r="H1580" s="112"/>
      <c r="Z1580" s="112"/>
      <c r="AA1580" s="112"/>
    </row>
    <row r="1581" spans="3:27" x14ac:dyDescent="0.25">
      <c r="C1581" s="112"/>
      <c r="D1581" s="112"/>
      <c r="E1581" s="113"/>
      <c r="F1581" s="113"/>
      <c r="G1581" s="112"/>
      <c r="H1581" s="112"/>
      <c r="Z1581" s="112"/>
      <c r="AA1581" s="112"/>
    </row>
    <row r="1582" spans="3:27" x14ac:dyDescent="0.25">
      <c r="C1582" s="112"/>
      <c r="D1582" s="112"/>
      <c r="E1582" s="113"/>
      <c r="F1582" s="113"/>
      <c r="G1582" s="112"/>
      <c r="H1582" s="112"/>
      <c r="Z1582" s="112"/>
      <c r="AA1582" s="112"/>
    </row>
    <row r="1583" spans="3:27" x14ac:dyDescent="0.25">
      <c r="C1583" s="112"/>
      <c r="D1583" s="112"/>
      <c r="E1583" s="113"/>
      <c r="F1583" s="113"/>
      <c r="G1583" s="112"/>
      <c r="H1583" s="112"/>
      <c r="Z1583" s="112"/>
      <c r="AA1583" s="112"/>
    </row>
    <row r="1584" spans="3:27" x14ac:dyDescent="0.25">
      <c r="C1584" s="112"/>
      <c r="D1584" s="112"/>
      <c r="E1584" s="113"/>
      <c r="F1584" s="113"/>
      <c r="G1584" s="112"/>
      <c r="H1584" s="112"/>
      <c r="Z1584" s="112"/>
      <c r="AA1584" s="112"/>
    </row>
    <row r="1585" spans="3:27" x14ac:dyDescent="0.25">
      <c r="C1585" s="112"/>
      <c r="D1585" s="112"/>
      <c r="E1585" s="113"/>
      <c r="F1585" s="113"/>
      <c r="G1585" s="112"/>
      <c r="H1585" s="112"/>
      <c r="Z1585" s="112"/>
      <c r="AA1585" s="112"/>
    </row>
    <row r="1586" spans="3:27" x14ac:dyDescent="0.25">
      <c r="C1586" s="112"/>
      <c r="D1586" s="112"/>
      <c r="E1586" s="113"/>
      <c r="F1586" s="113"/>
      <c r="G1586" s="112"/>
      <c r="H1586" s="112"/>
      <c r="Z1586" s="112"/>
      <c r="AA1586" s="112"/>
    </row>
    <row r="1587" spans="3:27" x14ac:dyDescent="0.25">
      <c r="C1587" s="112"/>
      <c r="D1587" s="112"/>
      <c r="E1587" s="113"/>
      <c r="F1587" s="113"/>
      <c r="G1587" s="112"/>
      <c r="H1587" s="112"/>
      <c r="Z1587" s="112"/>
      <c r="AA1587" s="112"/>
    </row>
    <row r="1588" spans="3:27" x14ac:dyDescent="0.25">
      <c r="C1588" s="112"/>
      <c r="D1588" s="112"/>
      <c r="E1588" s="113"/>
      <c r="F1588" s="113"/>
      <c r="G1588" s="112"/>
      <c r="H1588" s="112"/>
      <c r="Z1588" s="112"/>
      <c r="AA1588" s="112"/>
    </row>
    <row r="1589" spans="3:27" x14ac:dyDescent="0.25">
      <c r="C1589" s="112"/>
      <c r="D1589" s="112"/>
      <c r="E1589" s="113"/>
      <c r="F1589" s="113"/>
      <c r="G1589" s="112"/>
      <c r="H1589" s="112"/>
      <c r="Z1589" s="112"/>
      <c r="AA1589" s="112"/>
    </row>
    <row r="1590" spans="3:27" x14ac:dyDescent="0.25">
      <c r="C1590" s="112"/>
      <c r="D1590" s="112"/>
      <c r="E1590" s="113"/>
      <c r="F1590" s="113"/>
      <c r="G1590" s="112"/>
      <c r="H1590" s="112"/>
      <c r="Z1590" s="112"/>
      <c r="AA1590" s="112"/>
    </row>
    <row r="1591" spans="3:27" x14ac:dyDescent="0.25">
      <c r="C1591" s="112"/>
      <c r="D1591" s="112"/>
      <c r="E1591" s="113"/>
      <c r="F1591" s="113"/>
      <c r="G1591" s="112"/>
      <c r="H1591" s="112"/>
      <c r="Z1591" s="112"/>
      <c r="AA1591" s="112"/>
    </row>
    <row r="1592" spans="3:27" x14ac:dyDescent="0.25">
      <c r="C1592" s="112"/>
      <c r="D1592" s="112"/>
      <c r="E1592" s="113"/>
      <c r="F1592" s="113"/>
      <c r="G1592" s="112"/>
      <c r="H1592" s="112"/>
      <c r="Z1592" s="112"/>
      <c r="AA1592" s="112"/>
    </row>
    <row r="1593" spans="3:27" x14ac:dyDescent="0.25">
      <c r="C1593" s="112"/>
      <c r="D1593" s="112"/>
      <c r="E1593" s="113"/>
      <c r="F1593" s="113"/>
      <c r="G1593" s="112"/>
      <c r="H1593" s="112"/>
      <c r="Z1593" s="112"/>
      <c r="AA1593" s="112"/>
    </row>
    <row r="1594" spans="3:27" x14ac:dyDescent="0.25">
      <c r="C1594" s="112"/>
      <c r="D1594" s="112"/>
      <c r="E1594" s="113"/>
      <c r="F1594" s="113"/>
      <c r="G1594" s="112"/>
      <c r="H1594" s="112"/>
      <c r="Z1594" s="112"/>
      <c r="AA1594" s="112"/>
    </row>
    <row r="1595" spans="3:27" x14ac:dyDescent="0.25">
      <c r="C1595" s="112"/>
      <c r="D1595" s="112"/>
      <c r="E1595" s="113"/>
      <c r="F1595" s="113"/>
      <c r="G1595" s="112"/>
      <c r="H1595" s="112"/>
      <c r="Z1595" s="112"/>
      <c r="AA1595" s="112"/>
    </row>
    <row r="1596" spans="3:27" x14ac:dyDescent="0.25">
      <c r="C1596" s="112"/>
      <c r="D1596" s="112"/>
      <c r="E1596" s="113"/>
      <c r="F1596" s="113"/>
      <c r="G1596" s="112"/>
      <c r="H1596" s="112"/>
      <c r="Z1596" s="112"/>
      <c r="AA1596" s="112"/>
    </row>
    <row r="1597" spans="3:27" x14ac:dyDescent="0.25">
      <c r="C1597" s="112"/>
      <c r="D1597" s="112"/>
      <c r="E1597" s="113"/>
      <c r="F1597" s="113"/>
      <c r="G1597" s="112"/>
      <c r="H1597" s="112"/>
      <c r="Z1597" s="112"/>
      <c r="AA1597" s="112"/>
    </row>
    <row r="1598" spans="3:27" x14ac:dyDescent="0.25">
      <c r="C1598" s="112"/>
      <c r="D1598" s="112"/>
      <c r="E1598" s="113"/>
      <c r="F1598" s="113"/>
      <c r="G1598" s="112"/>
      <c r="H1598" s="112"/>
      <c r="Z1598" s="112"/>
      <c r="AA1598" s="112"/>
    </row>
    <row r="1599" spans="3:27" x14ac:dyDescent="0.25">
      <c r="C1599" s="112"/>
      <c r="D1599" s="112"/>
      <c r="E1599" s="113"/>
      <c r="F1599" s="113"/>
      <c r="G1599" s="112"/>
      <c r="H1599" s="112"/>
      <c r="Z1599" s="112"/>
      <c r="AA1599" s="112"/>
    </row>
    <row r="1600" spans="3:27" x14ac:dyDescent="0.25">
      <c r="C1600" s="112"/>
      <c r="D1600" s="112"/>
      <c r="E1600" s="113"/>
      <c r="F1600" s="113"/>
      <c r="G1600" s="112"/>
      <c r="H1600" s="112"/>
      <c r="Z1600" s="112"/>
      <c r="AA1600" s="112"/>
    </row>
    <row r="1601" spans="3:27" x14ac:dyDescent="0.25">
      <c r="C1601" s="112"/>
      <c r="D1601" s="112"/>
      <c r="E1601" s="113"/>
      <c r="F1601" s="113"/>
      <c r="G1601" s="112"/>
      <c r="H1601" s="112"/>
      <c r="Z1601" s="112"/>
      <c r="AA1601" s="112"/>
    </row>
    <row r="1602" spans="3:27" x14ac:dyDescent="0.25">
      <c r="C1602" s="112"/>
      <c r="D1602" s="112"/>
      <c r="E1602" s="113"/>
      <c r="F1602" s="113"/>
      <c r="G1602" s="112"/>
      <c r="H1602" s="112"/>
      <c r="Z1602" s="112"/>
      <c r="AA1602" s="112"/>
    </row>
    <row r="1603" spans="3:27" x14ac:dyDescent="0.25">
      <c r="C1603" s="112"/>
      <c r="D1603" s="112"/>
      <c r="E1603" s="113"/>
      <c r="F1603" s="113"/>
      <c r="G1603" s="112"/>
      <c r="H1603" s="112"/>
      <c r="Z1603" s="112"/>
      <c r="AA1603" s="112"/>
    </row>
    <row r="1604" spans="3:27" x14ac:dyDescent="0.25">
      <c r="C1604" s="112"/>
      <c r="D1604" s="112"/>
      <c r="E1604" s="113"/>
      <c r="F1604" s="113"/>
      <c r="G1604" s="112"/>
      <c r="H1604" s="112"/>
      <c r="Z1604" s="112"/>
      <c r="AA1604" s="112"/>
    </row>
    <row r="1605" spans="3:27" x14ac:dyDescent="0.25">
      <c r="C1605" s="112"/>
      <c r="D1605" s="112"/>
      <c r="E1605" s="113"/>
      <c r="F1605" s="113"/>
      <c r="G1605" s="112"/>
      <c r="H1605" s="112"/>
      <c r="Z1605" s="112"/>
      <c r="AA1605" s="112"/>
    </row>
    <row r="1606" spans="3:27" x14ac:dyDescent="0.25">
      <c r="C1606" s="112"/>
      <c r="D1606" s="112"/>
      <c r="E1606" s="113"/>
      <c r="F1606" s="113"/>
      <c r="G1606" s="112"/>
      <c r="H1606" s="112"/>
      <c r="Z1606" s="112"/>
      <c r="AA1606" s="112"/>
    </row>
    <row r="1607" spans="3:27" x14ac:dyDescent="0.25">
      <c r="C1607" s="112"/>
      <c r="D1607" s="112"/>
      <c r="E1607" s="113"/>
      <c r="F1607" s="113"/>
      <c r="G1607" s="112"/>
      <c r="H1607" s="112"/>
      <c r="Z1607" s="112"/>
      <c r="AA1607" s="112"/>
    </row>
    <row r="1608" spans="3:27" x14ac:dyDescent="0.25">
      <c r="C1608" s="112"/>
      <c r="D1608" s="112"/>
      <c r="E1608" s="113"/>
      <c r="F1608" s="113"/>
      <c r="G1608" s="112"/>
      <c r="H1608" s="112"/>
      <c r="Z1608" s="112"/>
      <c r="AA1608" s="112"/>
    </row>
    <row r="1609" spans="3:27" x14ac:dyDescent="0.25">
      <c r="C1609" s="112"/>
      <c r="D1609" s="112"/>
      <c r="E1609" s="113"/>
      <c r="F1609" s="113"/>
      <c r="G1609" s="112"/>
      <c r="H1609" s="112"/>
      <c r="Z1609" s="112"/>
      <c r="AA1609" s="112"/>
    </row>
    <row r="1610" spans="3:27" x14ac:dyDescent="0.25">
      <c r="C1610" s="112"/>
      <c r="D1610" s="112"/>
      <c r="E1610" s="113"/>
      <c r="F1610" s="113"/>
      <c r="G1610" s="112"/>
      <c r="H1610" s="112"/>
      <c r="Z1610" s="112"/>
      <c r="AA1610" s="112"/>
    </row>
    <row r="1611" spans="3:27" x14ac:dyDescent="0.25">
      <c r="C1611" s="112"/>
      <c r="D1611" s="112"/>
      <c r="E1611" s="113"/>
      <c r="F1611" s="113"/>
      <c r="G1611" s="112"/>
      <c r="H1611" s="112"/>
      <c r="Z1611" s="112"/>
      <c r="AA1611" s="112"/>
    </row>
    <row r="1612" spans="3:27" x14ac:dyDescent="0.25">
      <c r="C1612" s="112"/>
      <c r="D1612" s="112"/>
      <c r="E1612" s="113"/>
      <c r="F1612" s="113"/>
      <c r="G1612" s="112"/>
      <c r="H1612" s="112"/>
      <c r="Z1612" s="112"/>
      <c r="AA1612" s="112"/>
    </row>
    <row r="1613" spans="3:27" x14ac:dyDescent="0.25">
      <c r="C1613" s="112"/>
      <c r="D1613" s="112"/>
      <c r="E1613" s="113"/>
      <c r="F1613" s="113"/>
      <c r="G1613" s="112"/>
      <c r="H1613" s="112"/>
      <c r="Z1613" s="112"/>
      <c r="AA1613" s="112"/>
    </row>
    <row r="1614" spans="3:27" x14ac:dyDescent="0.25">
      <c r="C1614" s="112"/>
      <c r="D1614" s="112"/>
      <c r="E1614" s="113"/>
      <c r="F1614" s="113"/>
      <c r="G1614" s="112"/>
      <c r="H1614" s="112"/>
      <c r="Z1614" s="112"/>
      <c r="AA1614" s="112"/>
    </row>
    <row r="1615" spans="3:27" x14ac:dyDescent="0.25">
      <c r="C1615" s="112"/>
      <c r="D1615" s="112"/>
      <c r="E1615" s="113"/>
      <c r="F1615" s="113"/>
      <c r="G1615" s="112"/>
      <c r="H1615" s="112"/>
      <c r="Z1615" s="112"/>
      <c r="AA1615" s="112"/>
    </row>
    <row r="1616" spans="3:27" x14ac:dyDescent="0.25">
      <c r="C1616" s="112"/>
      <c r="D1616" s="112"/>
      <c r="E1616" s="113"/>
      <c r="F1616" s="113"/>
      <c r="G1616" s="112"/>
      <c r="H1616" s="112"/>
      <c r="Z1616" s="112"/>
      <c r="AA1616" s="112"/>
    </row>
    <row r="1617" spans="3:27" x14ac:dyDescent="0.25">
      <c r="C1617" s="112"/>
      <c r="D1617" s="112"/>
      <c r="E1617" s="113"/>
      <c r="F1617" s="113"/>
      <c r="G1617" s="112"/>
      <c r="H1617" s="112"/>
      <c r="Z1617" s="112"/>
      <c r="AA1617" s="112"/>
    </row>
    <row r="1618" spans="3:27" x14ac:dyDescent="0.25">
      <c r="C1618" s="112"/>
      <c r="D1618" s="112"/>
      <c r="E1618" s="113"/>
      <c r="F1618" s="113"/>
      <c r="G1618" s="112"/>
      <c r="H1618" s="112"/>
      <c r="Z1618" s="112"/>
      <c r="AA1618" s="112"/>
    </row>
    <row r="1619" spans="3:27" x14ac:dyDescent="0.25">
      <c r="C1619" s="112"/>
      <c r="D1619" s="112"/>
      <c r="E1619" s="113"/>
      <c r="F1619" s="113"/>
      <c r="G1619" s="112"/>
      <c r="H1619" s="112"/>
      <c r="Z1619" s="112"/>
      <c r="AA1619" s="112"/>
    </row>
    <row r="1620" spans="3:27" x14ac:dyDescent="0.25">
      <c r="C1620" s="112"/>
      <c r="D1620" s="112"/>
      <c r="E1620" s="113"/>
      <c r="F1620" s="113"/>
      <c r="G1620" s="112"/>
      <c r="H1620" s="112"/>
      <c r="Z1620" s="112"/>
      <c r="AA1620" s="112"/>
    </row>
    <row r="1621" spans="3:27" x14ac:dyDescent="0.25">
      <c r="C1621" s="112"/>
      <c r="D1621" s="112"/>
      <c r="E1621" s="113"/>
      <c r="F1621" s="113"/>
      <c r="G1621" s="112"/>
      <c r="H1621" s="112"/>
      <c r="Z1621" s="112"/>
      <c r="AA1621" s="112"/>
    </row>
    <row r="1622" spans="3:27" x14ac:dyDescent="0.25">
      <c r="C1622" s="112"/>
      <c r="D1622" s="112"/>
      <c r="E1622" s="113"/>
      <c r="F1622" s="113"/>
      <c r="G1622" s="112"/>
      <c r="H1622" s="112"/>
      <c r="Z1622" s="112"/>
      <c r="AA1622" s="112"/>
    </row>
    <row r="1623" spans="3:27" x14ac:dyDescent="0.25">
      <c r="C1623" s="112"/>
      <c r="D1623" s="112"/>
      <c r="E1623" s="113"/>
      <c r="F1623" s="113"/>
      <c r="G1623" s="112"/>
      <c r="H1623" s="112"/>
      <c r="Z1623" s="112"/>
      <c r="AA1623" s="112"/>
    </row>
    <row r="1624" spans="3:27" x14ac:dyDescent="0.25">
      <c r="C1624" s="112"/>
      <c r="D1624" s="112"/>
      <c r="E1624" s="113"/>
      <c r="F1624" s="113"/>
      <c r="G1624" s="112"/>
      <c r="H1624" s="112"/>
      <c r="Z1624" s="112"/>
      <c r="AA1624" s="112"/>
    </row>
    <row r="1625" spans="3:27" x14ac:dyDescent="0.25">
      <c r="C1625" s="112"/>
      <c r="D1625" s="112"/>
      <c r="E1625" s="113"/>
      <c r="F1625" s="113"/>
      <c r="G1625" s="112"/>
      <c r="H1625" s="112"/>
      <c r="Z1625" s="112"/>
      <c r="AA1625" s="112"/>
    </row>
    <row r="1626" spans="3:27" x14ac:dyDescent="0.25">
      <c r="C1626" s="112"/>
      <c r="D1626" s="112"/>
      <c r="E1626" s="113"/>
      <c r="F1626" s="113"/>
      <c r="G1626" s="112"/>
      <c r="H1626" s="112"/>
      <c r="Z1626" s="112"/>
      <c r="AA1626" s="112"/>
    </row>
    <row r="1627" spans="3:27" x14ac:dyDescent="0.25">
      <c r="C1627" s="112"/>
      <c r="D1627" s="112"/>
      <c r="E1627" s="113"/>
      <c r="F1627" s="113"/>
      <c r="G1627" s="112"/>
      <c r="H1627" s="112"/>
      <c r="Z1627" s="112"/>
      <c r="AA1627" s="112"/>
    </row>
    <row r="1628" spans="3:27" x14ac:dyDescent="0.25">
      <c r="C1628" s="112"/>
      <c r="D1628" s="112"/>
      <c r="E1628" s="113"/>
      <c r="F1628" s="113"/>
      <c r="G1628" s="112"/>
      <c r="H1628" s="112"/>
      <c r="Z1628" s="112"/>
      <c r="AA1628" s="112"/>
    </row>
    <row r="1629" spans="3:27" x14ac:dyDescent="0.25">
      <c r="C1629" s="112"/>
      <c r="D1629" s="112"/>
      <c r="E1629" s="113"/>
      <c r="F1629" s="113"/>
      <c r="G1629" s="112"/>
      <c r="H1629" s="112"/>
      <c r="Z1629" s="112"/>
      <c r="AA1629" s="112"/>
    </row>
    <row r="1630" spans="3:27" x14ac:dyDescent="0.25">
      <c r="C1630" s="112"/>
      <c r="D1630" s="112"/>
      <c r="E1630" s="113"/>
      <c r="F1630" s="113"/>
      <c r="G1630" s="112"/>
      <c r="H1630" s="112"/>
      <c r="Z1630" s="112"/>
      <c r="AA1630" s="112"/>
    </row>
    <row r="1631" spans="3:27" x14ac:dyDescent="0.25">
      <c r="C1631" s="112"/>
      <c r="D1631" s="112"/>
      <c r="E1631" s="113"/>
      <c r="F1631" s="113"/>
      <c r="G1631" s="112"/>
      <c r="H1631" s="112"/>
      <c r="Z1631" s="112"/>
      <c r="AA1631" s="112"/>
    </row>
    <row r="1632" spans="3:27" x14ac:dyDescent="0.25">
      <c r="C1632" s="112"/>
      <c r="D1632" s="112"/>
      <c r="E1632" s="113"/>
      <c r="F1632" s="113"/>
      <c r="G1632" s="112"/>
      <c r="H1632" s="112"/>
      <c r="Z1632" s="112"/>
      <c r="AA1632" s="112"/>
    </row>
    <row r="1633" spans="3:27" x14ac:dyDescent="0.25">
      <c r="C1633" s="112"/>
      <c r="D1633" s="112"/>
      <c r="E1633" s="113"/>
      <c r="F1633" s="113"/>
      <c r="G1633" s="112"/>
      <c r="H1633" s="112"/>
      <c r="Z1633" s="112"/>
      <c r="AA1633" s="112"/>
    </row>
    <row r="1634" spans="3:27" x14ac:dyDescent="0.25">
      <c r="C1634" s="112"/>
      <c r="D1634" s="112"/>
      <c r="E1634" s="113"/>
      <c r="F1634" s="113"/>
      <c r="G1634" s="112"/>
      <c r="H1634" s="112"/>
      <c r="Z1634" s="112"/>
      <c r="AA1634" s="112"/>
    </row>
    <row r="1635" spans="3:27" x14ac:dyDescent="0.25">
      <c r="C1635" s="112"/>
      <c r="D1635" s="112"/>
      <c r="E1635" s="113"/>
      <c r="F1635" s="113"/>
      <c r="G1635" s="112"/>
      <c r="H1635" s="112"/>
      <c r="Z1635" s="112"/>
      <c r="AA1635" s="112"/>
    </row>
    <row r="1636" spans="3:27" x14ac:dyDescent="0.25">
      <c r="C1636" s="112"/>
      <c r="D1636" s="112"/>
      <c r="E1636" s="113"/>
      <c r="F1636" s="113"/>
      <c r="G1636" s="112"/>
      <c r="H1636" s="112"/>
      <c r="Z1636" s="112"/>
      <c r="AA1636" s="112"/>
    </row>
    <row r="1637" spans="3:27" x14ac:dyDescent="0.25">
      <c r="C1637" s="112"/>
      <c r="D1637" s="112"/>
      <c r="E1637" s="113"/>
      <c r="F1637" s="113"/>
      <c r="G1637" s="112"/>
      <c r="H1637" s="112"/>
      <c r="Z1637" s="112"/>
      <c r="AA1637" s="112"/>
    </row>
    <row r="1638" spans="3:27" x14ac:dyDescent="0.25">
      <c r="C1638" s="112"/>
      <c r="D1638" s="112"/>
      <c r="E1638" s="113"/>
      <c r="F1638" s="113"/>
      <c r="G1638" s="112"/>
      <c r="H1638" s="112"/>
      <c r="Z1638" s="112"/>
      <c r="AA1638" s="112"/>
    </row>
    <row r="1639" spans="3:27" x14ac:dyDescent="0.25">
      <c r="C1639" s="112"/>
      <c r="D1639" s="112"/>
      <c r="E1639" s="113"/>
      <c r="F1639" s="113"/>
      <c r="G1639" s="112"/>
      <c r="H1639" s="112"/>
      <c r="Z1639" s="112"/>
      <c r="AA1639" s="112"/>
    </row>
    <row r="1640" spans="3:27" x14ac:dyDescent="0.25">
      <c r="C1640" s="112"/>
      <c r="D1640" s="112"/>
      <c r="E1640" s="113"/>
      <c r="F1640" s="113"/>
      <c r="G1640" s="112"/>
      <c r="H1640" s="112"/>
      <c r="Z1640" s="112"/>
      <c r="AA1640" s="112"/>
    </row>
    <row r="1641" spans="3:27" x14ac:dyDescent="0.25">
      <c r="C1641" s="112"/>
      <c r="D1641" s="112"/>
      <c r="E1641" s="113"/>
      <c r="F1641" s="113"/>
      <c r="G1641" s="112"/>
      <c r="H1641" s="112"/>
      <c r="Z1641" s="112"/>
      <c r="AA1641" s="112"/>
    </row>
    <row r="1642" spans="3:27" x14ac:dyDescent="0.25">
      <c r="C1642" s="112"/>
      <c r="D1642" s="112"/>
      <c r="E1642" s="113"/>
      <c r="F1642" s="113"/>
      <c r="G1642" s="112"/>
      <c r="H1642" s="112"/>
      <c r="Z1642" s="112"/>
      <c r="AA1642" s="112"/>
    </row>
    <row r="1643" spans="3:27" x14ac:dyDescent="0.25">
      <c r="C1643" s="112"/>
      <c r="D1643" s="112"/>
      <c r="E1643" s="113"/>
      <c r="F1643" s="113"/>
      <c r="G1643" s="112"/>
      <c r="H1643" s="112"/>
      <c r="Z1643" s="112"/>
      <c r="AA1643" s="112"/>
    </row>
    <row r="1644" spans="3:27" x14ac:dyDescent="0.25">
      <c r="C1644" s="112"/>
      <c r="D1644" s="112"/>
      <c r="E1644" s="113"/>
      <c r="F1644" s="113"/>
      <c r="G1644" s="112"/>
      <c r="H1644" s="112"/>
      <c r="Z1644" s="112"/>
      <c r="AA1644" s="112"/>
    </row>
    <row r="1645" spans="3:27" x14ac:dyDescent="0.25">
      <c r="C1645" s="112"/>
      <c r="D1645" s="112"/>
      <c r="E1645" s="113"/>
      <c r="F1645" s="113"/>
      <c r="G1645" s="112"/>
      <c r="H1645" s="112"/>
      <c r="Z1645" s="112"/>
      <c r="AA1645" s="112"/>
    </row>
    <row r="1646" spans="3:27" x14ac:dyDescent="0.25">
      <c r="C1646" s="112"/>
      <c r="D1646" s="112"/>
      <c r="E1646" s="113"/>
      <c r="F1646" s="113"/>
      <c r="G1646" s="112"/>
      <c r="H1646" s="112"/>
      <c r="Z1646" s="112"/>
      <c r="AA1646" s="112"/>
    </row>
    <row r="1647" spans="3:27" x14ac:dyDescent="0.25">
      <c r="C1647" s="112"/>
      <c r="D1647" s="112"/>
      <c r="E1647" s="113"/>
      <c r="F1647" s="113"/>
      <c r="G1647" s="112"/>
      <c r="H1647" s="112"/>
      <c r="Z1647" s="112"/>
      <c r="AA1647" s="112"/>
    </row>
    <row r="1648" spans="3:27" x14ac:dyDescent="0.25">
      <c r="C1648" s="112"/>
      <c r="D1648" s="112"/>
      <c r="E1648" s="113"/>
      <c r="F1648" s="113"/>
      <c r="G1648" s="112"/>
      <c r="H1648" s="112"/>
      <c r="Z1648" s="112"/>
      <c r="AA1648" s="112"/>
    </row>
    <row r="1649" spans="3:27" x14ac:dyDescent="0.25">
      <c r="C1649" s="112"/>
      <c r="D1649" s="112"/>
      <c r="E1649" s="113"/>
      <c r="F1649" s="113"/>
      <c r="G1649" s="112"/>
      <c r="H1649" s="112"/>
      <c r="Z1649" s="112"/>
      <c r="AA1649" s="112"/>
    </row>
    <row r="1650" spans="3:27" x14ac:dyDescent="0.25">
      <c r="C1650" s="112"/>
      <c r="D1650" s="112"/>
      <c r="E1650" s="113"/>
      <c r="F1650" s="113"/>
      <c r="G1650" s="112"/>
      <c r="H1650" s="112"/>
      <c r="Z1650" s="112"/>
      <c r="AA1650" s="112"/>
    </row>
    <row r="1651" spans="3:27" x14ac:dyDescent="0.25">
      <c r="C1651" s="112"/>
      <c r="D1651" s="112"/>
      <c r="E1651" s="113"/>
      <c r="F1651" s="113"/>
      <c r="G1651" s="112"/>
      <c r="H1651" s="112"/>
      <c r="Z1651" s="112"/>
      <c r="AA1651" s="112"/>
    </row>
    <row r="1652" spans="3:27" x14ac:dyDescent="0.25">
      <c r="C1652" s="112"/>
      <c r="D1652" s="112"/>
      <c r="E1652" s="113"/>
      <c r="F1652" s="113"/>
      <c r="G1652" s="112"/>
      <c r="H1652" s="112"/>
      <c r="Z1652" s="112"/>
      <c r="AA1652" s="112"/>
    </row>
    <row r="1653" spans="3:27" x14ac:dyDescent="0.25">
      <c r="C1653" s="112"/>
      <c r="D1653" s="112"/>
      <c r="E1653" s="113"/>
      <c r="F1653" s="113"/>
      <c r="G1653" s="112"/>
      <c r="H1653" s="112"/>
      <c r="Z1653" s="112"/>
      <c r="AA1653" s="112"/>
    </row>
    <row r="1654" spans="3:27" x14ac:dyDescent="0.25">
      <c r="C1654" s="112"/>
      <c r="D1654" s="112"/>
      <c r="E1654" s="113"/>
      <c r="F1654" s="113"/>
      <c r="G1654" s="112"/>
      <c r="H1654" s="112"/>
      <c r="Z1654" s="112"/>
      <c r="AA1654" s="112"/>
    </row>
    <row r="1655" spans="3:27" x14ac:dyDescent="0.25">
      <c r="C1655" s="112"/>
      <c r="D1655" s="112"/>
      <c r="E1655" s="113"/>
      <c r="F1655" s="113"/>
      <c r="G1655" s="112"/>
      <c r="H1655" s="112"/>
      <c r="Z1655" s="112"/>
      <c r="AA1655" s="112"/>
    </row>
    <row r="1656" spans="3:27" x14ac:dyDescent="0.25">
      <c r="C1656" s="112"/>
      <c r="D1656" s="112"/>
      <c r="E1656" s="113"/>
      <c r="F1656" s="113"/>
      <c r="G1656" s="112"/>
      <c r="H1656" s="112"/>
      <c r="Z1656" s="112"/>
      <c r="AA1656" s="112"/>
    </row>
    <row r="1657" spans="3:27" x14ac:dyDescent="0.25">
      <c r="C1657" s="112"/>
      <c r="D1657" s="112"/>
      <c r="E1657" s="113"/>
      <c r="F1657" s="113"/>
      <c r="G1657" s="112"/>
      <c r="H1657" s="112"/>
      <c r="Z1657" s="112"/>
      <c r="AA1657" s="112"/>
    </row>
    <row r="1658" spans="3:27" x14ac:dyDescent="0.25">
      <c r="C1658" s="112"/>
      <c r="D1658" s="112"/>
      <c r="E1658" s="113"/>
      <c r="F1658" s="113"/>
      <c r="G1658" s="112"/>
      <c r="H1658" s="112"/>
      <c r="Z1658" s="112"/>
      <c r="AA1658" s="112"/>
    </row>
    <row r="1659" spans="3:27" x14ac:dyDescent="0.25">
      <c r="C1659" s="112"/>
      <c r="D1659" s="112"/>
      <c r="E1659" s="113"/>
      <c r="F1659" s="113"/>
      <c r="G1659" s="112"/>
      <c r="H1659" s="112"/>
      <c r="Z1659" s="112"/>
      <c r="AA1659" s="112"/>
    </row>
    <row r="1660" spans="3:27" x14ac:dyDescent="0.25">
      <c r="C1660" s="112"/>
      <c r="D1660" s="112"/>
      <c r="E1660" s="113"/>
      <c r="F1660" s="113"/>
      <c r="G1660" s="112"/>
      <c r="H1660" s="112"/>
      <c r="Z1660" s="112"/>
      <c r="AA1660" s="112"/>
    </row>
    <row r="1661" spans="3:27" x14ac:dyDescent="0.25">
      <c r="C1661" s="112"/>
      <c r="D1661" s="112"/>
      <c r="E1661" s="113"/>
      <c r="F1661" s="113"/>
      <c r="G1661" s="112"/>
      <c r="H1661" s="112"/>
      <c r="Z1661" s="112"/>
      <c r="AA1661" s="112"/>
    </row>
    <row r="1662" spans="3:27" x14ac:dyDescent="0.25">
      <c r="C1662" s="112"/>
      <c r="D1662" s="112"/>
      <c r="E1662" s="113"/>
      <c r="F1662" s="113"/>
      <c r="G1662" s="112"/>
      <c r="H1662" s="112"/>
      <c r="Z1662" s="112"/>
      <c r="AA1662" s="112"/>
    </row>
    <row r="1663" spans="3:27" x14ac:dyDescent="0.25">
      <c r="C1663" s="112"/>
      <c r="D1663" s="112"/>
      <c r="E1663" s="113"/>
      <c r="F1663" s="113"/>
      <c r="G1663" s="112"/>
      <c r="H1663" s="112"/>
      <c r="Z1663" s="112"/>
      <c r="AA1663" s="112"/>
    </row>
    <row r="1664" spans="3:27" x14ac:dyDescent="0.25">
      <c r="C1664" s="112"/>
      <c r="D1664" s="112"/>
      <c r="E1664" s="113"/>
      <c r="F1664" s="113"/>
      <c r="G1664" s="112"/>
      <c r="H1664" s="112"/>
      <c r="Z1664" s="112"/>
      <c r="AA1664" s="112"/>
    </row>
    <row r="1665" spans="3:27" x14ac:dyDescent="0.25">
      <c r="C1665" s="112"/>
      <c r="D1665" s="112"/>
      <c r="E1665" s="113"/>
      <c r="F1665" s="113"/>
      <c r="G1665" s="112"/>
      <c r="H1665" s="112"/>
      <c r="Z1665" s="112"/>
      <c r="AA1665" s="112"/>
    </row>
    <row r="1666" spans="3:27" x14ac:dyDescent="0.25">
      <c r="C1666" s="112"/>
      <c r="D1666" s="112"/>
      <c r="E1666" s="113"/>
      <c r="F1666" s="113"/>
      <c r="G1666" s="112"/>
      <c r="H1666" s="112"/>
      <c r="Z1666" s="112"/>
      <c r="AA1666" s="112"/>
    </row>
    <row r="1667" spans="3:27" x14ac:dyDescent="0.25">
      <c r="C1667" s="112"/>
      <c r="D1667" s="112"/>
      <c r="E1667" s="113"/>
      <c r="F1667" s="113"/>
      <c r="G1667" s="112"/>
      <c r="H1667" s="112"/>
      <c r="Z1667" s="112"/>
      <c r="AA1667" s="112"/>
    </row>
    <row r="1668" spans="3:27" x14ac:dyDescent="0.25">
      <c r="C1668" s="112"/>
      <c r="D1668" s="112"/>
      <c r="E1668" s="113"/>
      <c r="F1668" s="113"/>
      <c r="G1668" s="112"/>
      <c r="H1668" s="112"/>
      <c r="Z1668" s="112"/>
      <c r="AA1668" s="112"/>
    </row>
    <row r="1669" spans="3:27" x14ac:dyDescent="0.25">
      <c r="C1669" s="112"/>
      <c r="D1669" s="112"/>
      <c r="E1669" s="113"/>
      <c r="F1669" s="113"/>
      <c r="G1669" s="112"/>
      <c r="H1669" s="112"/>
      <c r="Z1669" s="112"/>
      <c r="AA1669" s="112"/>
    </row>
    <row r="1670" spans="3:27" x14ac:dyDescent="0.25">
      <c r="C1670" s="112"/>
      <c r="D1670" s="112"/>
      <c r="E1670" s="113"/>
      <c r="F1670" s="113"/>
      <c r="G1670" s="112"/>
      <c r="H1670" s="112"/>
      <c r="Z1670" s="112"/>
      <c r="AA1670" s="112"/>
    </row>
    <row r="1671" spans="3:27" x14ac:dyDescent="0.25">
      <c r="C1671" s="112"/>
      <c r="D1671" s="112"/>
      <c r="E1671" s="113"/>
      <c r="F1671" s="113"/>
      <c r="G1671" s="112"/>
      <c r="H1671" s="112"/>
      <c r="Z1671" s="112"/>
      <c r="AA1671" s="112"/>
    </row>
    <row r="1672" spans="3:27" x14ac:dyDescent="0.25">
      <c r="C1672" s="112"/>
      <c r="D1672" s="112"/>
      <c r="E1672" s="113"/>
      <c r="F1672" s="113"/>
      <c r="G1672" s="112"/>
      <c r="H1672" s="112"/>
      <c r="Z1672" s="112"/>
      <c r="AA1672" s="112"/>
    </row>
    <row r="1673" spans="3:27" x14ac:dyDescent="0.25">
      <c r="C1673" s="112"/>
      <c r="D1673" s="112"/>
      <c r="E1673" s="113"/>
      <c r="F1673" s="113"/>
      <c r="G1673" s="112"/>
      <c r="H1673" s="112"/>
      <c r="Z1673" s="112"/>
      <c r="AA1673" s="112"/>
    </row>
    <row r="1674" spans="3:27" x14ac:dyDescent="0.25">
      <c r="C1674" s="112"/>
      <c r="D1674" s="112"/>
      <c r="E1674" s="113"/>
      <c r="F1674" s="113"/>
      <c r="G1674" s="112"/>
      <c r="H1674" s="112"/>
      <c r="Z1674" s="112"/>
      <c r="AA1674" s="112"/>
    </row>
    <row r="1675" spans="3:27" x14ac:dyDescent="0.25">
      <c r="C1675" s="112"/>
      <c r="D1675" s="112"/>
      <c r="E1675" s="113"/>
      <c r="F1675" s="113"/>
      <c r="G1675" s="112"/>
      <c r="H1675" s="112"/>
      <c r="Z1675" s="112"/>
      <c r="AA1675" s="112"/>
    </row>
    <row r="1676" spans="3:27" x14ac:dyDescent="0.25">
      <c r="C1676" s="112"/>
      <c r="D1676" s="112"/>
      <c r="E1676" s="113"/>
      <c r="F1676" s="113"/>
      <c r="G1676" s="112"/>
      <c r="H1676" s="112"/>
      <c r="Z1676" s="112"/>
      <c r="AA1676" s="112"/>
    </row>
    <row r="1677" spans="3:27" x14ac:dyDescent="0.25">
      <c r="C1677" s="112"/>
      <c r="D1677" s="112"/>
      <c r="E1677" s="113"/>
      <c r="F1677" s="113"/>
      <c r="G1677" s="112"/>
      <c r="H1677" s="112"/>
      <c r="Z1677" s="112"/>
      <c r="AA1677" s="112"/>
    </row>
    <row r="1678" spans="3:27" x14ac:dyDescent="0.25">
      <c r="C1678" s="112"/>
      <c r="D1678" s="112"/>
      <c r="E1678" s="113"/>
      <c r="F1678" s="113"/>
      <c r="G1678" s="112"/>
      <c r="H1678" s="112"/>
      <c r="Z1678" s="112"/>
      <c r="AA1678" s="112"/>
    </row>
    <row r="1679" spans="3:27" x14ac:dyDescent="0.25">
      <c r="C1679" s="112"/>
      <c r="D1679" s="112"/>
      <c r="E1679" s="113"/>
      <c r="F1679" s="113"/>
      <c r="G1679" s="112"/>
      <c r="H1679" s="112"/>
      <c r="Z1679" s="112"/>
      <c r="AA1679" s="112"/>
    </row>
    <row r="1680" spans="3:27" x14ac:dyDescent="0.25">
      <c r="C1680" s="112"/>
      <c r="D1680" s="112"/>
      <c r="E1680" s="113"/>
      <c r="F1680" s="113"/>
      <c r="G1680" s="112"/>
      <c r="H1680" s="112"/>
      <c r="Z1680" s="112"/>
      <c r="AA1680" s="112"/>
    </row>
    <row r="1681" spans="3:27" x14ac:dyDescent="0.25">
      <c r="C1681" s="112"/>
      <c r="D1681" s="112"/>
      <c r="E1681" s="113"/>
      <c r="F1681" s="113"/>
      <c r="G1681" s="112"/>
      <c r="H1681" s="112"/>
      <c r="Z1681" s="112"/>
      <c r="AA1681" s="112"/>
    </row>
    <row r="1682" spans="3:27" x14ac:dyDescent="0.25">
      <c r="C1682" s="112"/>
      <c r="D1682" s="112"/>
      <c r="E1682" s="113"/>
      <c r="F1682" s="113"/>
      <c r="G1682" s="112"/>
      <c r="H1682" s="112"/>
      <c r="Z1682" s="112"/>
      <c r="AA1682" s="112"/>
    </row>
    <row r="1683" spans="3:27" x14ac:dyDescent="0.25">
      <c r="C1683" s="112"/>
      <c r="D1683" s="112"/>
      <c r="E1683" s="113"/>
      <c r="F1683" s="113"/>
      <c r="G1683" s="112"/>
      <c r="H1683" s="112"/>
      <c r="Z1683" s="112"/>
      <c r="AA1683" s="112"/>
    </row>
    <row r="1684" spans="3:27" x14ac:dyDescent="0.25">
      <c r="C1684" s="112"/>
      <c r="D1684" s="112"/>
      <c r="E1684" s="113"/>
      <c r="F1684" s="113"/>
      <c r="G1684" s="112"/>
      <c r="H1684" s="112"/>
      <c r="Z1684" s="112"/>
      <c r="AA1684" s="112"/>
    </row>
    <row r="1685" spans="3:27" x14ac:dyDescent="0.25">
      <c r="C1685" s="112"/>
      <c r="D1685" s="112"/>
      <c r="E1685" s="113"/>
      <c r="F1685" s="113"/>
      <c r="G1685" s="112"/>
      <c r="H1685" s="112"/>
      <c r="Z1685" s="112"/>
      <c r="AA1685" s="112"/>
    </row>
    <row r="1686" spans="3:27" x14ac:dyDescent="0.25">
      <c r="C1686" s="112"/>
      <c r="D1686" s="112"/>
      <c r="E1686" s="113"/>
      <c r="F1686" s="113"/>
      <c r="G1686" s="112"/>
      <c r="H1686" s="112"/>
      <c r="Z1686" s="112"/>
      <c r="AA1686" s="112"/>
    </row>
    <row r="1687" spans="3:27" x14ac:dyDescent="0.25">
      <c r="C1687" s="112"/>
      <c r="D1687" s="112"/>
      <c r="E1687" s="113"/>
      <c r="F1687" s="113"/>
      <c r="G1687" s="112"/>
      <c r="H1687" s="112"/>
      <c r="Z1687" s="112"/>
      <c r="AA1687" s="112"/>
    </row>
    <row r="1688" spans="3:27" x14ac:dyDescent="0.25">
      <c r="C1688" s="112"/>
      <c r="D1688" s="112"/>
      <c r="E1688" s="113"/>
      <c r="F1688" s="113"/>
      <c r="G1688" s="112"/>
      <c r="H1688" s="112"/>
      <c r="Z1688" s="112"/>
      <c r="AA1688" s="112"/>
    </row>
    <row r="1689" spans="3:27" x14ac:dyDescent="0.25">
      <c r="C1689" s="112"/>
      <c r="D1689" s="112"/>
      <c r="E1689" s="113"/>
      <c r="F1689" s="113"/>
      <c r="G1689" s="112"/>
      <c r="H1689" s="112"/>
      <c r="Z1689" s="112"/>
      <c r="AA1689" s="112"/>
    </row>
    <row r="1690" spans="3:27" x14ac:dyDescent="0.25">
      <c r="C1690" s="112"/>
      <c r="D1690" s="112"/>
      <c r="E1690" s="113"/>
      <c r="F1690" s="113"/>
      <c r="G1690" s="112"/>
      <c r="H1690" s="112"/>
      <c r="Z1690" s="112"/>
      <c r="AA1690" s="112"/>
    </row>
    <row r="1691" spans="3:27" x14ac:dyDescent="0.25">
      <c r="C1691" s="112"/>
      <c r="D1691" s="112"/>
      <c r="E1691" s="113"/>
      <c r="F1691" s="113"/>
      <c r="G1691" s="112"/>
      <c r="H1691" s="112"/>
      <c r="Z1691" s="112"/>
      <c r="AA1691" s="112"/>
    </row>
    <row r="1692" spans="3:27" x14ac:dyDescent="0.25">
      <c r="C1692" s="112"/>
      <c r="D1692" s="112"/>
      <c r="E1692" s="113"/>
      <c r="F1692" s="113"/>
      <c r="G1692" s="112"/>
      <c r="H1692" s="112"/>
      <c r="Z1692" s="112"/>
      <c r="AA1692" s="112"/>
    </row>
    <row r="1693" spans="3:27" x14ac:dyDescent="0.25">
      <c r="C1693" s="112"/>
      <c r="D1693" s="112"/>
      <c r="E1693" s="113"/>
      <c r="F1693" s="113"/>
      <c r="G1693" s="112"/>
      <c r="H1693" s="112"/>
      <c r="Z1693" s="112"/>
      <c r="AA1693" s="112"/>
    </row>
    <row r="1694" spans="3:27" x14ac:dyDescent="0.25">
      <c r="C1694" s="112"/>
      <c r="D1694" s="112"/>
      <c r="E1694" s="113"/>
      <c r="F1694" s="113"/>
      <c r="G1694" s="112"/>
      <c r="H1694" s="112"/>
      <c r="Z1694" s="112"/>
      <c r="AA1694" s="112"/>
    </row>
    <row r="1695" spans="3:27" x14ac:dyDescent="0.25">
      <c r="C1695" s="112"/>
      <c r="D1695" s="112"/>
      <c r="E1695" s="113"/>
      <c r="F1695" s="113"/>
      <c r="G1695" s="112"/>
      <c r="H1695" s="112"/>
      <c r="Z1695" s="112"/>
      <c r="AA1695" s="112"/>
    </row>
    <row r="1696" spans="3:27" x14ac:dyDescent="0.25">
      <c r="C1696" s="112"/>
      <c r="D1696" s="112"/>
      <c r="E1696" s="113"/>
      <c r="F1696" s="113"/>
      <c r="G1696" s="112"/>
      <c r="H1696" s="112"/>
      <c r="Z1696" s="112"/>
      <c r="AA1696" s="112"/>
    </row>
    <row r="1697" spans="3:27" x14ac:dyDescent="0.25">
      <c r="C1697" s="112"/>
      <c r="D1697" s="112"/>
      <c r="E1697" s="113"/>
      <c r="F1697" s="113"/>
      <c r="G1697" s="112"/>
      <c r="H1697" s="112"/>
      <c r="Z1697" s="112"/>
      <c r="AA1697" s="112"/>
    </row>
    <row r="1698" spans="3:27" x14ac:dyDescent="0.25">
      <c r="C1698" s="112"/>
      <c r="D1698" s="112"/>
      <c r="E1698" s="113"/>
      <c r="F1698" s="113"/>
      <c r="G1698" s="112"/>
      <c r="H1698" s="112"/>
      <c r="Z1698" s="112"/>
      <c r="AA1698" s="112"/>
    </row>
    <row r="1699" spans="3:27" x14ac:dyDescent="0.25">
      <c r="C1699" s="112"/>
      <c r="D1699" s="112"/>
      <c r="E1699" s="113"/>
      <c r="F1699" s="113"/>
      <c r="G1699" s="112"/>
      <c r="H1699" s="112"/>
      <c r="Z1699" s="112"/>
      <c r="AA1699" s="112"/>
    </row>
    <row r="1700" spans="3:27" x14ac:dyDescent="0.25">
      <c r="C1700" s="112"/>
      <c r="D1700" s="112"/>
      <c r="E1700" s="113"/>
      <c r="F1700" s="113"/>
      <c r="G1700" s="112"/>
      <c r="H1700" s="112"/>
      <c r="Z1700" s="112"/>
      <c r="AA1700" s="112"/>
    </row>
    <row r="1701" spans="3:27" x14ac:dyDescent="0.25">
      <c r="C1701" s="112"/>
      <c r="D1701" s="112"/>
      <c r="E1701" s="113"/>
      <c r="F1701" s="113"/>
      <c r="G1701" s="112"/>
      <c r="H1701" s="112"/>
      <c r="Z1701" s="112"/>
      <c r="AA1701" s="112"/>
    </row>
    <row r="1702" spans="3:27" x14ac:dyDescent="0.25">
      <c r="C1702" s="112"/>
      <c r="D1702" s="112"/>
      <c r="E1702" s="113"/>
      <c r="F1702" s="113"/>
      <c r="G1702" s="112"/>
      <c r="H1702" s="112"/>
      <c r="Z1702" s="112"/>
      <c r="AA1702" s="112"/>
    </row>
    <row r="1703" spans="3:27" x14ac:dyDescent="0.25">
      <c r="C1703" s="112"/>
      <c r="D1703" s="112"/>
      <c r="E1703" s="113"/>
      <c r="F1703" s="113"/>
      <c r="G1703" s="112"/>
      <c r="H1703" s="112"/>
      <c r="Z1703" s="112"/>
      <c r="AA1703" s="112"/>
    </row>
    <row r="1704" spans="3:27" x14ac:dyDescent="0.25">
      <c r="C1704" s="112"/>
      <c r="D1704" s="112"/>
      <c r="E1704" s="113"/>
      <c r="F1704" s="113"/>
      <c r="G1704" s="112"/>
      <c r="H1704" s="112"/>
      <c r="Z1704" s="112"/>
      <c r="AA1704" s="112"/>
    </row>
    <row r="1705" spans="3:27" x14ac:dyDescent="0.25">
      <c r="C1705" s="112"/>
      <c r="D1705" s="112"/>
      <c r="E1705" s="113"/>
      <c r="F1705" s="113"/>
      <c r="G1705" s="112"/>
      <c r="H1705" s="112"/>
      <c r="Z1705" s="112"/>
      <c r="AA1705" s="112"/>
    </row>
    <row r="1706" spans="3:27" x14ac:dyDescent="0.25">
      <c r="C1706" s="112"/>
      <c r="D1706" s="112"/>
      <c r="E1706" s="113"/>
      <c r="F1706" s="113"/>
      <c r="G1706" s="112"/>
      <c r="H1706" s="112"/>
      <c r="Z1706" s="112"/>
      <c r="AA1706" s="112"/>
    </row>
    <row r="1707" spans="3:27" x14ac:dyDescent="0.25">
      <c r="C1707" s="112"/>
      <c r="D1707" s="112"/>
      <c r="E1707" s="113"/>
      <c r="F1707" s="113"/>
      <c r="G1707" s="112"/>
      <c r="H1707" s="112"/>
      <c r="Z1707" s="112"/>
      <c r="AA1707" s="112"/>
    </row>
    <row r="1708" spans="3:27" x14ac:dyDescent="0.25">
      <c r="C1708" s="112"/>
      <c r="D1708" s="112"/>
      <c r="E1708" s="113"/>
      <c r="F1708" s="113"/>
      <c r="G1708" s="112"/>
      <c r="H1708" s="112"/>
      <c r="Z1708" s="112"/>
      <c r="AA1708" s="112"/>
    </row>
    <row r="1709" spans="3:27" x14ac:dyDescent="0.25">
      <c r="C1709" s="112"/>
      <c r="D1709" s="112"/>
      <c r="E1709" s="113"/>
      <c r="F1709" s="113"/>
      <c r="G1709" s="112"/>
      <c r="H1709" s="112"/>
      <c r="Z1709" s="112"/>
      <c r="AA1709" s="112"/>
    </row>
    <row r="1710" spans="3:27" x14ac:dyDescent="0.25">
      <c r="C1710" s="112"/>
      <c r="D1710" s="112"/>
      <c r="E1710" s="113"/>
      <c r="F1710" s="113"/>
      <c r="G1710" s="112"/>
      <c r="H1710" s="112"/>
      <c r="Z1710" s="112"/>
      <c r="AA1710" s="112"/>
    </row>
    <row r="1711" spans="3:27" x14ac:dyDescent="0.25">
      <c r="C1711" s="112"/>
      <c r="D1711" s="112"/>
      <c r="E1711" s="113"/>
      <c r="F1711" s="113"/>
      <c r="G1711" s="112"/>
      <c r="H1711" s="112"/>
      <c r="Z1711" s="112"/>
      <c r="AA1711" s="112"/>
    </row>
    <row r="1712" spans="3:27" x14ac:dyDescent="0.25">
      <c r="C1712" s="112"/>
      <c r="D1712" s="112"/>
      <c r="E1712" s="113"/>
      <c r="F1712" s="113"/>
      <c r="G1712" s="112"/>
      <c r="H1712" s="112"/>
      <c r="Z1712" s="112"/>
      <c r="AA1712" s="112"/>
    </row>
    <row r="1713" spans="3:27" x14ac:dyDescent="0.25">
      <c r="C1713" s="112"/>
      <c r="D1713" s="112"/>
      <c r="E1713" s="113"/>
      <c r="F1713" s="113"/>
      <c r="G1713" s="112"/>
      <c r="H1713" s="112"/>
      <c r="Z1713" s="112"/>
      <c r="AA1713" s="112"/>
    </row>
    <row r="1714" spans="3:27" x14ac:dyDescent="0.25">
      <c r="C1714" s="112"/>
      <c r="D1714" s="112"/>
      <c r="E1714" s="113"/>
      <c r="F1714" s="113"/>
      <c r="G1714" s="112"/>
      <c r="H1714" s="112"/>
      <c r="Z1714" s="112"/>
      <c r="AA1714" s="112"/>
    </row>
    <row r="1715" spans="3:27" x14ac:dyDescent="0.25">
      <c r="C1715" s="112"/>
      <c r="D1715" s="112"/>
      <c r="E1715" s="113"/>
      <c r="F1715" s="113"/>
      <c r="G1715" s="112"/>
      <c r="H1715" s="112"/>
      <c r="Z1715" s="112"/>
      <c r="AA1715" s="112"/>
    </row>
    <row r="1716" spans="3:27" x14ac:dyDescent="0.25">
      <c r="C1716" s="112"/>
      <c r="D1716" s="112"/>
      <c r="E1716" s="113"/>
      <c r="F1716" s="113"/>
      <c r="G1716" s="112"/>
      <c r="H1716" s="112"/>
      <c r="Z1716" s="112"/>
      <c r="AA1716" s="112"/>
    </row>
    <row r="1717" spans="3:27" x14ac:dyDescent="0.25">
      <c r="C1717" s="112"/>
      <c r="D1717" s="112"/>
      <c r="E1717" s="113"/>
      <c r="F1717" s="113"/>
      <c r="G1717" s="112"/>
      <c r="H1717" s="112"/>
      <c r="Z1717" s="112"/>
      <c r="AA1717" s="112"/>
    </row>
    <row r="1718" spans="3:27" x14ac:dyDescent="0.25">
      <c r="C1718" s="112"/>
      <c r="D1718" s="112"/>
      <c r="E1718" s="113"/>
      <c r="F1718" s="113"/>
      <c r="G1718" s="112"/>
      <c r="H1718" s="112"/>
      <c r="Z1718" s="112"/>
      <c r="AA1718" s="112"/>
    </row>
    <row r="1719" spans="3:27" x14ac:dyDescent="0.25">
      <c r="C1719" s="112"/>
      <c r="D1719" s="112"/>
      <c r="E1719" s="113"/>
      <c r="F1719" s="113"/>
      <c r="G1719" s="112"/>
      <c r="H1719" s="112"/>
      <c r="Z1719" s="112"/>
      <c r="AA1719" s="112"/>
    </row>
    <row r="1720" spans="3:27" x14ac:dyDescent="0.25">
      <c r="C1720" s="112"/>
      <c r="D1720" s="112"/>
      <c r="E1720" s="113"/>
      <c r="F1720" s="113"/>
      <c r="G1720" s="112"/>
      <c r="H1720" s="112"/>
      <c r="Z1720" s="112"/>
      <c r="AA1720" s="112"/>
    </row>
    <row r="1721" spans="3:27" x14ac:dyDescent="0.25">
      <c r="C1721" s="112"/>
      <c r="D1721" s="112"/>
      <c r="E1721" s="113"/>
      <c r="F1721" s="113"/>
      <c r="G1721" s="112"/>
      <c r="H1721" s="112"/>
      <c r="Z1721" s="112"/>
      <c r="AA1721" s="112"/>
    </row>
    <row r="1722" spans="3:27" x14ac:dyDescent="0.25">
      <c r="C1722" s="112"/>
      <c r="D1722" s="112"/>
      <c r="E1722" s="113"/>
      <c r="F1722" s="113"/>
      <c r="G1722" s="112"/>
      <c r="H1722" s="112"/>
      <c r="Z1722" s="112"/>
      <c r="AA1722" s="112"/>
    </row>
    <row r="1723" spans="3:27" x14ac:dyDescent="0.25">
      <c r="C1723" s="112"/>
      <c r="D1723" s="112"/>
      <c r="E1723" s="113"/>
      <c r="F1723" s="113"/>
      <c r="G1723" s="112"/>
      <c r="H1723" s="112"/>
      <c r="Z1723" s="112"/>
      <c r="AA1723" s="112"/>
    </row>
    <row r="1724" spans="3:27" x14ac:dyDescent="0.25">
      <c r="C1724" s="112"/>
      <c r="D1724" s="112"/>
      <c r="E1724" s="113"/>
      <c r="F1724" s="113"/>
      <c r="G1724" s="112"/>
      <c r="H1724" s="112"/>
      <c r="Z1724" s="112"/>
      <c r="AA1724" s="112"/>
    </row>
    <row r="1725" spans="3:27" x14ac:dyDescent="0.25">
      <c r="C1725" s="112"/>
      <c r="D1725" s="112"/>
      <c r="E1725" s="113"/>
      <c r="F1725" s="113"/>
      <c r="G1725" s="112"/>
      <c r="H1725" s="112"/>
      <c r="Z1725" s="112"/>
      <c r="AA1725" s="112"/>
    </row>
    <row r="1726" spans="3:27" x14ac:dyDescent="0.25">
      <c r="C1726" s="112"/>
      <c r="D1726" s="112"/>
      <c r="E1726" s="113"/>
      <c r="F1726" s="113"/>
      <c r="G1726" s="112"/>
      <c r="H1726" s="112"/>
      <c r="Z1726" s="112"/>
      <c r="AA1726" s="112"/>
    </row>
    <row r="1727" spans="3:27" x14ac:dyDescent="0.25">
      <c r="C1727" s="112"/>
      <c r="D1727" s="112"/>
      <c r="E1727" s="113"/>
      <c r="F1727" s="113"/>
      <c r="G1727" s="112"/>
      <c r="H1727" s="112"/>
      <c r="Z1727" s="112"/>
      <c r="AA1727" s="112"/>
    </row>
    <row r="1728" spans="3:27" x14ac:dyDescent="0.25">
      <c r="C1728" s="112"/>
      <c r="D1728" s="112"/>
      <c r="E1728" s="113"/>
      <c r="F1728" s="113"/>
      <c r="G1728" s="112"/>
      <c r="H1728" s="112"/>
      <c r="Z1728" s="112"/>
      <c r="AA1728" s="112"/>
    </row>
    <row r="1729" spans="3:27" x14ac:dyDescent="0.25">
      <c r="C1729" s="112"/>
      <c r="D1729" s="112"/>
      <c r="E1729" s="113"/>
      <c r="F1729" s="113"/>
      <c r="G1729" s="112"/>
      <c r="H1729" s="112"/>
      <c r="Z1729" s="112"/>
      <c r="AA1729" s="112"/>
    </row>
    <row r="1730" spans="3:27" x14ac:dyDescent="0.25">
      <c r="C1730" s="112"/>
      <c r="D1730" s="112"/>
      <c r="E1730" s="113"/>
      <c r="F1730" s="113"/>
      <c r="G1730" s="112"/>
      <c r="H1730" s="112"/>
      <c r="Z1730" s="112"/>
      <c r="AA1730" s="112"/>
    </row>
    <row r="1731" spans="3:27" x14ac:dyDescent="0.25">
      <c r="C1731" s="112"/>
      <c r="D1731" s="112"/>
      <c r="E1731" s="113"/>
      <c r="F1731" s="113"/>
      <c r="G1731" s="112"/>
      <c r="H1731" s="112"/>
      <c r="Z1731" s="112"/>
      <c r="AA1731" s="112"/>
    </row>
    <row r="1732" spans="3:27" x14ac:dyDescent="0.25">
      <c r="C1732" s="112"/>
      <c r="D1732" s="112"/>
      <c r="E1732" s="113"/>
      <c r="F1732" s="113"/>
      <c r="G1732" s="112"/>
      <c r="H1732" s="112"/>
      <c r="Z1732" s="112"/>
      <c r="AA1732" s="112"/>
    </row>
    <row r="1733" spans="3:27" x14ac:dyDescent="0.25">
      <c r="C1733" s="112"/>
      <c r="D1733" s="112"/>
      <c r="E1733" s="113"/>
      <c r="F1733" s="113"/>
      <c r="G1733" s="112"/>
      <c r="H1733" s="112"/>
      <c r="Z1733" s="112"/>
      <c r="AA1733" s="112"/>
    </row>
    <row r="1734" spans="3:27" x14ac:dyDescent="0.25">
      <c r="C1734" s="112"/>
      <c r="D1734" s="112"/>
      <c r="E1734" s="113"/>
      <c r="F1734" s="113"/>
      <c r="G1734" s="112"/>
      <c r="H1734" s="112"/>
      <c r="Z1734" s="112"/>
      <c r="AA1734" s="112"/>
    </row>
    <row r="1735" spans="3:27" x14ac:dyDescent="0.25">
      <c r="C1735" s="112"/>
      <c r="D1735" s="112"/>
      <c r="E1735" s="113"/>
      <c r="F1735" s="113"/>
      <c r="G1735" s="112"/>
      <c r="H1735" s="112"/>
      <c r="Z1735" s="112"/>
      <c r="AA1735" s="112"/>
    </row>
    <row r="1736" spans="3:27" x14ac:dyDescent="0.25">
      <c r="C1736" s="112"/>
      <c r="D1736" s="112"/>
      <c r="E1736" s="113"/>
      <c r="F1736" s="113"/>
      <c r="G1736" s="112"/>
      <c r="H1736" s="112"/>
      <c r="Z1736" s="112"/>
      <c r="AA1736" s="112"/>
    </row>
    <row r="1737" spans="3:27" x14ac:dyDescent="0.25">
      <c r="C1737" s="112"/>
      <c r="D1737" s="112"/>
      <c r="E1737" s="113"/>
      <c r="F1737" s="113"/>
      <c r="G1737" s="112"/>
      <c r="H1737" s="112"/>
      <c r="Z1737" s="112"/>
      <c r="AA1737" s="112"/>
    </row>
    <row r="1738" spans="3:27" x14ac:dyDescent="0.25">
      <c r="C1738" s="112"/>
      <c r="D1738" s="112"/>
      <c r="E1738" s="113"/>
      <c r="F1738" s="113"/>
      <c r="G1738" s="112"/>
      <c r="H1738" s="112"/>
      <c r="Z1738" s="112"/>
      <c r="AA1738" s="112"/>
    </row>
    <row r="1739" spans="3:27" x14ac:dyDescent="0.25">
      <c r="C1739" s="112"/>
      <c r="D1739" s="112"/>
      <c r="E1739" s="113"/>
      <c r="F1739" s="113"/>
      <c r="G1739" s="112"/>
      <c r="H1739" s="112"/>
      <c r="Z1739" s="112"/>
      <c r="AA1739" s="112"/>
    </row>
    <row r="1740" spans="3:27" x14ac:dyDescent="0.25">
      <c r="C1740" s="112"/>
      <c r="D1740" s="112"/>
      <c r="E1740" s="113"/>
      <c r="F1740" s="113"/>
      <c r="G1740" s="112"/>
      <c r="H1740" s="112"/>
      <c r="Z1740" s="112"/>
      <c r="AA1740" s="112"/>
    </row>
    <row r="1741" spans="3:27" x14ac:dyDescent="0.25">
      <c r="C1741" s="112"/>
      <c r="D1741" s="112"/>
      <c r="E1741" s="113"/>
      <c r="F1741" s="113"/>
      <c r="G1741" s="112"/>
      <c r="H1741" s="112"/>
      <c r="Z1741" s="112"/>
      <c r="AA1741" s="112"/>
    </row>
    <row r="1742" spans="3:27" x14ac:dyDescent="0.25">
      <c r="C1742" s="112"/>
      <c r="D1742" s="112"/>
      <c r="E1742" s="113"/>
      <c r="F1742" s="113"/>
      <c r="G1742" s="112"/>
      <c r="H1742" s="112"/>
      <c r="Z1742" s="112"/>
      <c r="AA1742" s="112"/>
    </row>
    <row r="1743" spans="3:27" x14ac:dyDescent="0.25">
      <c r="C1743" s="112"/>
      <c r="D1743" s="112"/>
      <c r="E1743" s="113"/>
      <c r="F1743" s="113"/>
      <c r="G1743" s="112"/>
      <c r="H1743" s="112"/>
      <c r="Z1743" s="112"/>
      <c r="AA1743" s="112"/>
    </row>
    <row r="1744" spans="3:27" x14ac:dyDescent="0.25">
      <c r="C1744" s="112"/>
      <c r="D1744" s="112"/>
      <c r="E1744" s="113"/>
      <c r="F1744" s="113"/>
      <c r="G1744" s="112"/>
      <c r="H1744" s="112"/>
      <c r="Z1744" s="112"/>
      <c r="AA1744" s="112"/>
    </row>
    <row r="1745" spans="3:27" x14ac:dyDescent="0.25">
      <c r="C1745" s="112"/>
      <c r="D1745" s="112"/>
      <c r="E1745" s="113"/>
      <c r="F1745" s="113"/>
      <c r="G1745" s="112"/>
      <c r="H1745" s="112"/>
      <c r="Z1745" s="112"/>
      <c r="AA1745" s="112"/>
    </row>
    <row r="1746" spans="3:27" x14ac:dyDescent="0.25">
      <c r="C1746" s="112"/>
      <c r="D1746" s="112"/>
      <c r="E1746" s="113"/>
      <c r="F1746" s="113"/>
      <c r="G1746" s="112"/>
      <c r="H1746" s="112"/>
      <c r="Z1746" s="112"/>
      <c r="AA1746" s="112"/>
    </row>
    <row r="1747" spans="3:27" x14ac:dyDescent="0.25">
      <c r="C1747" s="112"/>
      <c r="D1747" s="112"/>
      <c r="E1747" s="113"/>
      <c r="F1747" s="113"/>
      <c r="G1747" s="112"/>
      <c r="H1747" s="112"/>
      <c r="Z1747" s="112"/>
      <c r="AA1747" s="112"/>
    </row>
    <row r="1748" spans="3:27" x14ac:dyDescent="0.25">
      <c r="C1748" s="112"/>
      <c r="D1748" s="112"/>
      <c r="E1748" s="113"/>
      <c r="F1748" s="113"/>
      <c r="G1748" s="112"/>
      <c r="H1748" s="112"/>
      <c r="Z1748" s="112"/>
      <c r="AA1748" s="112"/>
    </row>
    <row r="1749" spans="3:27" x14ac:dyDescent="0.25">
      <c r="C1749" s="112"/>
      <c r="D1749" s="112"/>
      <c r="E1749" s="113"/>
      <c r="F1749" s="113"/>
      <c r="G1749" s="112"/>
      <c r="H1749" s="112"/>
      <c r="Z1749" s="112"/>
      <c r="AA1749" s="112"/>
    </row>
    <row r="1750" spans="3:27" x14ac:dyDescent="0.25">
      <c r="C1750" s="112"/>
      <c r="D1750" s="112"/>
      <c r="E1750" s="113"/>
      <c r="F1750" s="113"/>
      <c r="G1750" s="112"/>
      <c r="H1750" s="112"/>
      <c r="Z1750" s="112"/>
      <c r="AA1750" s="112"/>
    </row>
    <row r="1751" spans="3:27" x14ac:dyDescent="0.25">
      <c r="C1751" s="112"/>
      <c r="D1751" s="112"/>
      <c r="E1751" s="113"/>
      <c r="F1751" s="113"/>
      <c r="G1751" s="112"/>
      <c r="H1751" s="112"/>
      <c r="Z1751" s="112"/>
      <c r="AA1751" s="112"/>
    </row>
    <row r="1752" spans="3:27" x14ac:dyDescent="0.25">
      <c r="C1752" s="112"/>
      <c r="D1752" s="112"/>
      <c r="E1752" s="113"/>
      <c r="F1752" s="113"/>
      <c r="G1752" s="112"/>
      <c r="H1752" s="112"/>
      <c r="Z1752" s="112"/>
      <c r="AA1752" s="112"/>
    </row>
    <row r="1753" spans="3:27" x14ac:dyDescent="0.25">
      <c r="C1753" s="112"/>
      <c r="D1753" s="112"/>
      <c r="E1753" s="113"/>
      <c r="F1753" s="113"/>
      <c r="G1753" s="112"/>
      <c r="H1753" s="112"/>
      <c r="Z1753" s="112"/>
      <c r="AA1753" s="112"/>
    </row>
    <row r="1754" spans="3:27" x14ac:dyDescent="0.25">
      <c r="C1754" s="112"/>
      <c r="D1754" s="112"/>
      <c r="E1754" s="113"/>
      <c r="F1754" s="113"/>
      <c r="G1754" s="112"/>
      <c r="H1754" s="112"/>
      <c r="Z1754" s="112"/>
      <c r="AA1754" s="112"/>
    </row>
    <row r="1755" spans="3:27" x14ac:dyDescent="0.25">
      <c r="C1755" s="112"/>
      <c r="D1755" s="112"/>
      <c r="E1755" s="113"/>
      <c r="F1755" s="113"/>
      <c r="G1755" s="112"/>
      <c r="H1755" s="112"/>
      <c r="Z1755" s="112"/>
      <c r="AA1755" s="112"/>
    </row>
    <row r="1756" spans="3:27" x14ac:dyDescent="0.25">
      <c r="C1756" s="112"/>
      <c r="D1756" s="112"/>
      <c r="E1756" s="113"/>
      <c r="F1756" s="113"/>
      <c r="G1756" s="112"/>
      <c r="H1756" s="112"/>
      <c r="Z1756" s="112"/>
      <c r="AA1756" s="112"/>
    </row>
    <row r="1757" spans="3:27" x14ac:dyDescent="0.25">
      <c r="C1757" s="112"/>
      <c r="D1757" s="112"/>
      <c r="E1757" s="113"/>
      <c r="F1757" s="113"/>
      <c r="G1757" s="112"/>
      <c r="H1757" s="112"/>
      <c r="Z1757" s="112"/>
      <c r="AA1757" s="112"/>
    </row>
    <row r="1758" spans="3:27" x14ac:dyDescent="0.25">
      <c r="C1758" s="112"/>
      <c r="D1758" s="112"/>
      <c r="E1758" s="113"/>
      <c r="F1758" s="113"/>
      <c r="G1758" s="112"/>
      <c r="H1758" s="112"/>
      <c r="Z1758" s="112"/>
      <c r="AA1758" s="112"/>
    </row>
    <row r="1759" spans="3:27" x14ac:dyDescent="0.25">
      <c r="C1759" s="112"/>
      <c r="D1759" s="112"/>
      <c r="E1759" s="113"/>
      <c r="F1759" s="113"/>
      <c r="G1759" s="112"/>
      <c r="H1759" s="112"/>
      <c r="Z1759" s="112"/>
      <c r="AA1759" s="112"/>
    </row>
    <row r="1760" spans="3:27" x14ac:dyDescent="0.25">
      <c r="C1760" s="112"/>
      <c r="D1760" s="112"/>
      <c r="E1760" s="113"/>
      <c r="F1760" s="113"/>
      <c r="G1760" s="112"/>
      <c r="H1760" s="112"/>
      <c r="Z1760" s="112"/>
      <c r="AA1760" s="112"/>
    </row>
    <row r="1761" spans="3:27" x14ac:dyDescent="0.25">
      <c r="C1761" s="112"/>
      <c r="D1761" s="112"/>
      <c r="E1761" s="113"/>
      <c r="F1761" s="113"/>
      <c r="G1761" s="112"/>
      <c r="H1761" s="112"/>
      <c r="Z1761" s="112"/>
      <c r="AA1761" s="112"/>
    </row>
    <row r="1762" spans="3:27" x14ac:dyDescent="0.25">
      <c r="C1762" s="112"/>
      <c r="D1762" s="112"/>
      <c r="E1762" s="113"/>
      <c r="F1762" s="113"/>
      <c r="G1762" s="112"/>
      <c r="H1762" s="112"/>
      <c r="Z1762" s="112"/>
      <c r="AA1762" s="112"/>
    </row>
    <row r="1763" spans="3:27" x14ac:dyDescent="0.25">
      <c r="C1763" s="112"/>
      <c r="D1763" s="112"/>
      <c r="E1763" s="113"/>
      <c r="F1763" s="113"/>
      <c r="G1763" s="112"/>
      <c r="H1763" s="112"/>
      <c r="Z1763" s="112"/>
      <c r="AA1763" s="112"/>
    </row>
    <row r="1764" spans="3:27" x14ac:dyDescent="0.25">
      <c r="C1764" s="112"/>
      <c r="D1764" s="112"/>
      <c r="E1764" s="113"/>
      <c r="F1764" s="113"/>
      <c r="G1764" s="112"/>
      <c r="H1764" s="112"/>
      <c r="Z1764" s="112"/>
      <c r="AA1764" s="112"/>
    </row>
    <row r="1765" spans="3:27" x14ac:dyDescent="0.25">
      <c r="C1765" s="112"/>
      <c r="D1765" s="112"/>
      <c r="E1765" s="113"/>
      <c r="F1765" s="113"/>
      <c r="G1765" s="112"/>
      <c r="H1765" s="112"/>
      <c r="Z1765" s="112"/>
      <c r="AA1765" s="112"/>
    </row>
    <row r="1766" spans="3:27" x14ac:dyDescent="0.25">
      <c r="C1766" s="112"/>
      <c r="D1766" s="112"/>
      <c r="E1766" s="113"/>
      <c r="F1766" s="113"/>
      <c r="G1766" s="112"/>
      <c r="H1766" s="112"/>
      <c r="Z1766" s="112"/>
      <c r="AA1766" s="112"/>
    </row>
    <row r="1767" spans="3:27" x14ac:dyDescent="0.25">
      <c r="C1767" s="112"/>
      <c r="D1767" s="112"/>
      <c r="E1767" s="113"/>
      <c r="F1767" s="113"/>
      <c r="G1767" s="112"/>
      <c r="H1767" s="112"/>
      <c r="Z1767" s="112"/>
      <c r="AA1767" s="112"/>
    </row>
    <row r="1768" spans="3:27" x14ac:dyDescent="0.25">
      <c r="C1768" s="112"/>
      <c r="D1768" s="112"/>
      <c r="E1768" s="113"/>
      <c r="F1768" s="113"/>
      <c r="G1768" s="112"/>
      <c r="H1768" s="112"/>
      <c r="Z1768" s="112"/>
      <c r="AA1768" s="112"/>
    </row>
    <row r="1769" spans="3:27" x14ac:dyDescent="0.25">
      <c r="C1769" s="112"/>
      <c r="D1769" s="112"/>
      <c r="E1769" s="113"/>
      <c r="F1769" s="113"/>
      <c r="G1769" s="112"/>
      <c r="H1769" s="112"/>
      <c r="Z1769" s="112"/>
      <c r="AA1769" s="112"/>
    </row>
    <row r="1770" spans="3:27" x14ac:dyDescent="0.25">
      <c r="C1770" s="112"/>
      <c r="D1770" s="112"/>
      <c r="E1770" s="113"/>
      <c r="F1770" s="113"/>
      <c r="G1770" s="112"/>
      <c r="H1770" s="112"/>
      <c r="Z1770" s="112"/>
      <c r="AA1770" s="112"/>
    </row>
    <row r="1771" spans="3:27" x14ac:dyDescent="0.25">
      <c r="C1771" s="112"/>
      <c r="D1771" s="112"/>
      <c r="E1771" s="113"/>
      <c r="F1771" s="113"/>
      <c r="G1771" s="112"/>
      <c r="H1771" s="112"/>
      <c r="Z1771" s="112"/>
      <c r="AA1771" s="112"/>
    </row>
    <row r="1772" spans="3:27" x14ac:dyDescent="0.25">
      <c r="C1772" s="112"/>
      <c r="D1772" s="112"/>
      <c r="E1772" s="113"/>
      <c r="F1772" s="113"/>
      <c r="G1772" s="112"/>
      <c r="H1772" s="112"/>
      <c r="Z1772" s="112"/>
      <c r="AA1772" s="112"/>
    </row>
    <row r="1773" spans="3:27" x14ac:dyDescent="0.25">
      <c r="C1773" s="112"/>
      <c r="D1773" s="112"/>
      <c r="E1773" s="113"/>
      <c r="F1773" s="113"/>
      <c r="G1773" s="112"/>
      <c r="H1773" s="112"/>
      <c r="Z1773" s="112"/>
      <c r="AA1773" s="112"/>
    </row>
    <row r="1774" spans="3:27" x14ac:dyDescent="0.25">
      <c r="C1774" s="112"/>
      <c r="D1774" s="112"/>
      <c r="E1774" s="113"/>
      <c r="F1774" s="113"/>
      <c r="G1774" s="112"/>
      <c r="H1774" s="112"/>
      <c r="Z1774" s="112"/>
      <c r="AA1774" s="112"/>
    </row>
    <row r="1775" spans="3:27" x14ac:dyDescent="0.25">
      <c r="C1775" s="112"/>
      <c r="D1775" s="112"/>
      <c r="E1775" s="113"/>
      <c r="F1775" s="113"/>
      <c r="G1775" s="112"/>
      <c r="H1775" s="112"/>
      <c r="Z1775" s="112"/>
      <c r="AA1775" s="112"/>
    </row>
    <row r="1776" spans="3:27" x14ac:dyDescent="0.25">
      <c r="C1776" s="112"/>
      <c r="D1776" s="112"/>
      <c r="E1776" s="113"/>
      <c r="F1776" s="113"/>
      <c r="G1776" s="112"/>
      <c r="H1776" s="112"/>
      <c r="Z1776" s="112"/>
      <c r="AA1776" s="112"/>
    </row>
    <row r="1777" spans="3:27" x14ac:dyDescent="0.25">
      <c r="C1777" s="112"/>
      <c r="D1777" s="112"/>
      <c r="E1777" s="113"/>
      <c r="F1777" s="113"/>
      <c r="G1777" s="112"/>
      <c r="H1777" s="112"/>
      <c r="Z1777" s="112"/>
      <c r="AA1777" s="112"/>
    </row>
    <row r="1778" spans="3:27" x14ac:dyDescent="0.25">
      <c r="C1778" s="112"/>
      <c r="D1778" s="112"/>
      <c r="E1778" s="113"/>
      <c r="F1778" s="113"/>
      <c r="G1778" s="112"/>
      <c r="H1778" s="112"/>
      <c r="Z1778" s="112"/>
      <c r="AA1778" s="112"/>
    </row>
    <row r="1779" spans="3:27" x14ac:dyDescent="0.25">
      <c r="C1779" s="112"/>
      <c r="D1779" s="112"/>
      <c r="E1779" s="113"/>
      <c r="F1779" s="113"/>
      <c r="G1779" s="112"/>
      <c r="H1779" s="112"/>
      <c r="Z1779" s="112"/>
      <c r="AA1779" s="112"/>
    </row>
    <row r="1780" spans="3:27" x14ac:dyDescent="0.25">
      <c r="C1780" s="112"/>
      <c r="D1780" s="112"/>
      <c r="E1780" s="113"/>
      <c r="F1780" s="113"/>
      <c r="G1780" s="112"/>
      <c r="H1780" s="112"/>
      <c r="Z1780" s="112"/>
      <c r="AA1780" s="112"/>
    </row>
    <row r="1781" spans="3:27" x14ac:dyDescent="0.25">
      <c r="C1781" s="112"/>
      <c r="D1781" s="112"/>
      <c r="E1781" s="113"/>
      <c r="F1781" s="113"/>
      <c r="G1781" s="112"/>
      <c r="H1781" s="112"/>
      <c r="Z1781" s="112"/>
      <c r="AA1781" s="112"/>
    </row>
    <row r="1782" spans="3:27" x14ac:dyDescent="0.25">
      <c r="C1782" s="112"/>
      <c r="D1782" s="112"/>
      <c r="E1782" s="113"/>
      <c r="F1782" s="113"/>
      <c r="G1782" s="112"/>
      <c r="H1782" s="112"/>
      <c r="Z1782" s="112"/>
      <c r="AA1782" s="112"/>
    </row>
    <row r="1783" spans="3:27" x14ac:dyDescent="0.25">
      <c r="C1783" s="112"/>
      <c r="D1783" s="112"/>
      <c r="E1783" s="113"/>
      <c r="F1783" s="113"/>
      <c r="G1783" s="112"/>
      <c r="H1783" s="112"/>
      <c r="Z1783" s="112"/>
      <c r="AA1783" s="112"/>
    </row>
    <row r="1784" spans="3:27" x14ac:dyDescent="0.25">
      <c r="C1784" s="112"/>
      <c r="D1784" s="112"/>
      <c r="E1784" s="113"/>
      <c r="F1784" s="113"/>
      <c r="G1784" s="112"/>
      <c r="H1784" s="112"/>
      <c r="Z1784" s="112"/>
      <c r="AA1784" s="112"/>
    </row>
    <row r="1785" spans="3:27" x14ac:dyDescent="0.25">
      <c r="C1785" s="112"/>
      <c r="D1785" s="112"/>
      <c r="E1785" s="113"/>
      <c r="F1785" s="113"/>
      <c r="G1785" s="112"/>
      <c r="H1785" s="112"/>
      <c r="Z1785" s="112"/>
      <c r="AA1785" s="112"/>
    </row>
    <row r="1786" spans="3:27" x14ac:dyDescent="0.25">
      <c r="C1786" s="112"/>
      <c r="D1786" s="112"/>
      <c r="E1786" s="113"/>
      <c r="F1786" s="113"/>
      <c r="G1786" s="112"/>
      <c r="H1786" s="112"/>
      <c r="Z1786" s="112"/>
      <c r="AA1786" s="112"/>
    </row>
    <row r="1787" spans="3:27" x14ac:dyDescent="0.25">
      <c r="C1787" s="112"/>
      <c r="D1787" s="112"/>
      <c r="E1787" s="113"/>
      <c r="F1787" s="113"/>
      <c r="G1787" s="112"/>
      <c r="H1787" s="112"/>
      <c r="Z1787" s="112"/>
      <c r="AA1787" s="112"/>
    </row>
    <row r="1788" spans="3:27" x14ac:dyDescent="0.25">
      <c r="C1788" s="112"/>
      <c r="D1788" s="112"/>
      <c r="E1788" s="113"/>
      <c r="F1788" s="113"/>
      <c r="G1788" s="112"/>
      <c r="H1788" s="112"/>
      <c r="Z1788" s="112"/>
      <c r="AA1788" s="112"/>
    </row>
    <row r="1789" spans="3:27" x14ac:dyDescent="0.25">
      <c r="C1789" s="112"/>
      <c r="D1789" s="112"/>
      <c r="E1789" s="113"/>
      <c r="F1789" s="113"/>
      <c r="G1789" s="112"/>
      <c r="H1789" s="112"/>
      <c r="Z1789" s="112"/>
      <c r="AA1789" s="112"/>
    </row>
    <row r="1790" spans="3:27" x14ac:dyDescent="0.25">
      <c r="C1790" s="112"/>
      <c r="D1790" s="112"/>
      <c r="E1790" s="113"/>
      <c r="F1790" s="113"/>
      <c r="G1790" s="112"/>
      <c r="H1790" s="112"/>
      <c r="Z1790" s="112"/>
      <c r="AA1790" s="112"/>
    </row>
    <row r="1791" spans="3:27" x14ac:dyDescent="0.25">
      <c r="C1791" s="112"/>
      <c r="D1791" s="112"/>
      <c r="E1791" s="113"/>
      <c r="F1791" s="113"/>
      <c r="G1791" s="112"/>
      <c r="H1791" s="112"/>
      <c r="Z1791" s="112"/>
      <c r="AA1791" s="112"/>
    </row>
    <row r="1792" spans="3:27" x14ac:dyDescent="0.25">
      <c r="C1792" s="112"/>
      <c r="D1792" s="112"/>
      <c r="E1792" s="113"/>
      <c r="F1792" s="113"/>
      <c r="G1792" s="112"/>
      <c r="H1792" s="112"/>
      <c r="Z1792" s="112"/>
      <c r="AA1792" s="112"/>
    </row>
    <row r="1793" spans="3:27" x14ac:dyDescent="0.25">
      <c r="C1793" s="112"/>
      <c r="D1793" s="112"/>
      <c r="E1793" s="113"/>
      <c r="F1793" s="113"/>
      <c r="G1793" s="112"/>
      <c r="H1793" s="112"/>
      <c r="Z1793" s="112"/>
      <c r="AA1793" s="112"/>
    </row>
    <row r="1794" spans="3:27" x14ac:dyDescent="0.25">
      <c r="C1794" s="112"/>
      <c r="D1794" s="112"/>
      <c r="E1794" s="113"/>
      <c r="F1794" s="113"/>
      <c r="G1794" s="112"/>
      <c r="H1794" s="112"/>
      <c r="Z1794" s="112"/>
      <c r="AA1794" s="112"/>
    </row>
    <row r="1795" spans="3:27" x14ac:dyDescent="0.25">
      <c r="C1795" s="112"/>
      <c r="D1795" s="112"/>
      <c r="E1795" s="113"/>
      <c r="F1795" s="113"/>
      <c r="G1795" s="112"/>
      <c r="H1795" s="112"/>
      <c r="Z1795" s="112"/>
      <c r="AA1795" s="112"/>
    </row>
    <row r="1796" spans="3:27" x14ac:dyDescent="0.25">
      <c r="C1796" s="112"/>
      <c r="D1796" s="112"/>
      <c r="E1796" s="113"/>
      <c r="F1796" s="113"/>
      <c r="G1796" s="112"/>
      <c r="H1796" s="112"/>
      <c r="Z1796" s="112"/>
      <c r="AA1796" s="112"/>
    </row>
    <row r="1797" spans="3:27" x14ac:dyDescent="0.25">
      <c r="C1797" s="112"/>
      <c r="D1797" s="112"/>
      <c r="E1797" s="113"/>
      <c r="F1797" s="113"/>
      <c r="G1797" s="112"/>
      <c r="H1797" s="112"/>
      <c r="Z1797" s="112"/>
      <c r="AA1797" s="112"/>
    </row>
    <row r="1798" spans="3:27" x14ac:dyDescent="0.25">
      <c r="C1798" s="112"/>
      <c r="D1798" s="112"/>
      <c r="E1798" s="113"/>
      <c r="F1798" s="113"/>
      <c r="G1798" s="112"/>
      <c r="H1798" s="112"/>
      <c r="Z1798" s="112"/>
      <c r="AA1798" s="112"/>
    </row>
    <row r="1799" spans="3:27" x14ac:dyDescent="0.25">
      <c r="C1799" s="112"/>
      <c r="D1799" s="112"/>
      <c r="E1799" s="113"/>
      <c r="F1799" s="113"/>
      <c r="G1799" s="112"/>
      <c r="H1799" s="112"/>
      <c r="Z1799" s="112"/>
      <c r="AA1799" s="112"/>
    </row>
    <row r="1800" spans="3:27" x14ac:dyDescent="0.25">
      <c r="C1800" s="112"/>
      <c r="D1800" s="112"/>
      <c r="E1800" s="113"/>
      <c r="F1800" s="113"/>
      <c r="G1800" s="112"/>
      <c r="H1800" s="112"/>
      <c r="Z1800" s="112"/>
      <c r="AA1800" s="112"/>
    </row>
    <row r="1801" spans="3:27" x14ac:dyDescent="0.25">
      <c r="C1801" s="112"/>
      <c r="D1801" s="112"/>
      <c r="E1801" s="113"/>
      <c r="F1801" s="113"/>
      <c r="G1801" s="112"/>
      <c r="H1801" s="112"/>
      <c r="Z1801" s="112"/>
      <c r="AA1801" s="112"/>
    </row>
    <row r="1802" spans="3:27" x14ac:dyDescent="0.25">
      <c r="C1802" s="112"/>
      <c r="D1802" s="112"/>
      <c r="E1802" s="113"/>
      <c r="F1802" s="113"/>
      <c r="G1802" s="112"/>
      <c r="H1802" s="112"/>
      <c r="Z1802" s="112"/>
      <c r="AA1802" s="112"/>
    </row>
    <row r="1803" spans="3:27" x14ac:dyDescent="0.25">
      <c r="C1803" s="112"/>
      <c r="D1803" s="112"/>
      <c r="E1803" s="113"/>
      <c r="F1803" s="113"/>
      <c r="G1803" s="112"/>
      <c r="H1803" s="112"/>
      <c r="Z1803" s="112"/>
      <c r="AA1803" s="112"/>
    </row>
    <row r="1804" spans="3:27" x14ac:dyDescent="0.25">
      <c r="C1804" s="112"/>
      <c r="D1804" s="112"/>
      <c r="E1804" s="113"/>
      <c r="F1804" s="113"/>
      <c r="G1804" s="112"/>
      <c r="H1804" s="112"/>
      <c r="Z1804" s="112"/>
      <c r="AA1804" s="112"/>
    </row>
    <row r="1805" spans="3:27" x14ac:dyDescent="0.25">
      <c r="C1805" s="112"/>
      <c r="D1805" s="112"/>
      <c r="E1805" s="113"/>
      <c r="F1805" s="113"/>
      <c r="G1805" s="112"/>
      <c r="H1805" s="112"/>
      <c r="Z1805" s="112"/>
      <c r="AA1805" s="112"/>
    </row>
    <row r="1806" spans="3:27" x14ac:dyDescent="0.25">
      <c r="C1806" s="112"/>
      <c r="D1806" s="112"/>
      <c r="E1806" s="113"/>
      <c r="F1806" s="113"/>
      <c r="G1806" s="112"/>
      <c r="H1806" s="112"/>
      <c r="Z1806" s="112"/>
      <c r="AA1806" s="112"/>
    </row>
    <row r="1807" spans="3:27" x14ac:dyDescent="0.25">
      <c r="C1807" s="112"/>
      <c r="D1807" s="112"/>
      <c r="E1807" s="113"/>
      <c r="F1807" s="113"/>
      <c r="G1807" s="112"/>
      <c r="H1807" s="112"/>
      <c r="Z1807" s="112"/>
      <c r="AA1807" s="112"/>
    </row>
    <row r="1808" spans="3:27" x14ac:dyDescent="0.25">
      <c r="C1808" s="112"/>
      <c r="D1808" s="112"/>
      <c r="E1808" s="113"/>
      <c r="F1808" s="113"/>
      <c r="G1808" s="112"/>
      <c r="H1808" s="112"/>
      <c r="Z1808" s="112"/>
      <c r="AA1808" s="112"/>
    </row>
    <row r="1809" spans="3:27" x14ac:dyDescent="0.25">
      <c r="C1809" s="112"/>
      <c r="D1809" s="112"/>
      <c r="E1809" s="113"/>
      <c r="F1809" s="113"/>
      <c r="G1809" s="112"/>
      <c r="H1809" s="112"/>
      <c r="Z1809" s="112"/>
      <c r="AA1809" s="112"/>
    </row>
    <row r="1810" spans="3:27" x14ac:dyDescent="0.25">
      <c r="C1810" s="112"/>
      <c r="D1810" s="112"/>
      <c r="E1810" s="113"/>
      <c r="F1810" s="113"/>
      <c r="G1810" s="112"/>
      <c r="H1810" s="112"/>
      <c r="Z1810" s="112"/>
      <c r="AA1810" s="112"/>
    </row>
    <row r="1811" spans="3:27" x14ac:dyDescent="0.25">
      <c r="C1811" s="112"/>
      <c r="D1811" s="112"/>
      <c r="E1811" s="113"/>
      <c r="F1811" s="113"/>
      <c r="G1811" s="112"/>
      <c r="H1811" s="112"/>
      <c r="Z1811" s="112"/>
      <c r="AA1811" s="112"/>
    </row>
    <row r="1812" spans="3:27" x14ac:dyDescent="0.25">
      <c r="C1812" s="112"/>
      <c r="D1812" s="112"/>
      <c r="E1812" s="113"/>
      <c r="F1812" s="113"/>
      <c r="G1812" s="112"/>
      <c r="H1812" s="112"/>
      <c r="Z1812" s="112"/>
      <c r="AA1812" s="112"/>
    </row>
    <row r="1813" spans="3:27" x14ac:dyDescent="0.25">
      <c r="C1813" s="112"/>
      <c r="D1813" s="112"/>
      <c r="E1813" s="113"/>
      <c r="F1813" s="113"/>
      <c r="G1813" s="112"/>
      <c r="H1813" s="112"/>
      <c r="Z1813" s="112"/>
      <c r="AA1813" s="112"/>
    </row>
    <row r="1814" spans="3:27" x14ac:dyDescent="0.25">
      <c r="C1814" s="112"/>
      <c r="D1814" s="112"/>
      <c r="E1814" s="113"/>
      <c r="F1814" s="113"/>
      <c r="G1814" s="112"/>
      <c r="H1814" s="112"/>
      <c r="Z1814" s="112"/>
      <c r="AA1814" s="112"/>
    </row>
    <row r="1815" spans="3:27" x14ac:dyDescent="0.25">
      <c r="C1815" s="112"/>
      <c r="D1815" s="112"/>
      <c r="E1815" s="113"/>
      <c r="F1815" s="113"/>
      <c r="G1815" s="112"/>
      <c r="H1815" s="112"/>
      <c r="Z1815" s="112"/>
      <c r="AA1815" s="112"/>
    </row>
    <row r="1816" spans="3:27" x14ac:dyDescent="0.25">
      <c r="C1816" s="112"/>
      <c r="D1816" s="112"/>
      <c r="E1816" s="113"/>
      <c r="F1816" s="113"/>
      <c r="G1816" s="112"/>
      <c r="H1816" s="112"/>
      <c r="Z1816" s="112"/>
      <c r="AA1816" s="112"/>
    </row>
    <row r="1817" spans="3:27" x14ac:dyDescent="0.25">
      <c r="C1817" s="112"/>
      <c r="D1817" s="112"/>
      <c r="E1817" s="113"/>
      <c r="F1817" s="113"/>
      <c r="G1817" s="112"/>
      <c r="H1817" s="112"/>
      <c r="Z1817" s="112"/>
      <c r="AA1817" s="112"/>
    </row>
    <row r="1818" spans="3:27" x14ac:dyDescent="0.25">
      <c r="C1818" s="112"/>
      <c r="D1818" s="112"/>
      <c r="E1818" s="113"/>
      <c r="F1818" s="113"/>
      <c r="G1818" s="112"/>
      <c r="H1818" s="112"/>
      <c r="Z1818" s="112"/>
      <c r="AA1818" s="112"/>
    </row>
    <row r="1819" spans="3:27" x14ac:dyDescent="0.25">
      <c r="C1819" s="112"/>
      <c r="D1819" s="112"/>
      <c r="E1819" s="113"/>
      <c r="F1819" s="113"/>
      <c r="G1819" s="112"/>
      <c r="H1819" s="112"/>
      <c r="Z1819" s="112"/>
      <c r="AA1819" s="112"/>
    </row>
    <row r="1820" spans="3:27" x14ac:dyDescent="0.25">
      <c r="C1820" s="112"/>
      <c r="D1820" s="112"/>
      <c r="E1820" s="113"/>
      <c r="F1820" s="113"/>
      <c r="G1820" s="112"/>
      <c r="H1820" s="112"/>
      <c r="Z1820" s="112"/>
      <c r="AA1820" s="112"/>
    </row>
    <row r="1821" spans="3:27" x14ac:dyDescent="0.25">
      <c r="C1821" s="112"/>
      <c r="D1821" s="112"/>
      <c r="E1821" s="113"/>
      <c r="F1821" s="113"/>
      <c r="G1821" s="112"/>
      <c r="H1821" s="112"/>
      <c r="Z1821" s="112"/>
      <c r="AA1821" s="112"/>
    </row>
    <row r="1822" spans="3:27" x14ac:dyDescent="0.25">
      <c r="C1822" s="112"/>
      <c r="D1822" s="112"/>
      <c r="E1822" s="113"/>
      <c r="F1822" s="113"/>
      <c r="G1822" s="112"/>
      <c r="H1822" s="112"/>
      <c r="Z1822" s="112"/>
      <c r="AA1822" s="112"/>
    </row>
    <row r="1823" spans="3:27" x14ac:dyDescent="0.25">
      <c r="C1823" s="112"/>
      <c r="D1823" s="112"/>
      <c r="E1823" s="113"/>
      <c r="F1823" s="113"/>
      <c r="G1823" s="112"/>
      <c r="H1823" s="112"/>
      <c r="Z1823" s="112"/>
      <c r="AA1823" s="112"/>
    </row>
    <row r="1824" spans="3:27" x14ac:dyDescent="0.25">
      <c r="C1824" s="112"/>
      <c r="D1824" s="112"/>
      <c r="E1824" s="113"/>
      <c r="F1824" s="113"/>
      <c r="G1824" s="112"/>
      <c r="H1824" s="112"/>
      <c r="Z1824" s="112"/>
      <c r="AA1824" s="112"/>
    </row>
    <row r="1825" spans="3:27" x14ac:dyDescent="0.25">
      <c r="C1825" s="112"/>
      <c r="D1825" s="112"/>
      <c r="E1825" s="113"/>
      <c r="F1825" s="113"/>
      <c r="G1825" s="112"/>
      <c r="H1825" s="112"/>
      <c r="Z1825" s="112"/>
      <c r="AA1825" s="112"/>
    </row>
    <row r="1826" spans="3:27" x14ac:dyDescent="0.25">
      <c r="C1826" s="112"/>
      <c r="D1826" s="112"/>
      <c r="E1826" s="113"/>
      <c r="F1826" s="113"/>
      <c r="G1826" s="112"/>
      <c r="H1826" s="112"/>
      <c r="Z1826" s="112"/>
      <c r="AA1826" s="112"/>
    </row>
    <row r="1827" spans="3:27" x14ac:dyDescent="0.25">
      <c r="C1827" s="112"/>
      <c r="D1827" s="112"/>
      <c r="E1827" s="113"/>
      <c r="F1827" s="113"/>
      <c r="G1827" s="112"/>
      <c r="H1827" s="112"/>
      <c r="Z1827" s="112"/>
      <c r="AA1827" s="112"/>
    </row>
    <row r="1828" spans="3:27" x14ac:dyDescent="0.25">
      <c r="C1828" s="112"/>
      <c r="D1828" s="112"/>
      <c r="E1828" s="113"/>
      <c r="F1828" s="113"/>
      <c r="G1828" s="112"/>
      <c r="H1828" s="112"/>
      <c r="Z1828" s="112"/>
      <c r="AA1828" s="112"/>
    </row>
    <row r="1829" spans="3:27" x14ac:dyDescent="0.25">
      <c r="C1829" s="112"/>
      <c r="D1829" s="112"/>
      <c r="E1829" s="113"/>
      <c r="F1829" s="113"/>
      <c r="G1829" s="112"/>
      <c r="H1829" s="112"/>
      <c r="Z1829" s="112"/>
      <c r="AA1829" s="112"/>
    </row>
    <row r="1830" spans="3:27" x14ac:dyDescent="0.25">
      <c r="C1830" s="112"/>
      <c r="D1830" s="112"/>
      <c r="E1830" s="113"/>
      <c r="F1830" s="113"/>
      <c r="G1830" s="112"/>
      <c r="H1830" s="112"/>
      <c r="Z1830" s="112"/>
      <c r="AA1830" s="112"/>
    </row>
    <row r="1831" spans="3:27" x14ac:dyDescent="0.25">
      <c r="C1831" s="112"/>
      <c r="D1831" s="112"/>
      <c r="E1831" s="113"/>
      <c r="F1831" s="113"/>
      <c r="G1831" s="112"/>
      <c r="H1831" s="112"/>
      <c r="Z1831" s="112"/>
      <c r="AA1831" s="112"/>
    </row>
    <row r="1832" spans="3:27" x14ac:dyDescent="0.25">
      <c r="C1832" s="112"/>
      <c r="D1832" s="112"/>
      <c r="E1832" s="113"/>
      <c r="F1832" s="113"/>
      <c r="G1832" s="112"/>
      <c r="H1832" s="112"/>
      <c r="Z1832" s="112"/>
      <c r="AA1832" s="112"/>
    </row>
    <row r="1833" spans="3:27" x14ac:dyDescent="0.25">
      <c r="C1833" s="112"/>
      <c r="D1833" s="112"/>
      <c r="E1833" s="113"/>
      <c r="F1833" s="113"/>
      <c r="G1833" s="112"/>
      <c r="H1833" s="112"/>
      <c r="Z1833" s="112"/>
      <c r="AA1833" s="112"/>
    </row>
    <row r="1834" spans="3:27" x14ac:dyDescent="0.25">
      <c r="C1834" s="112"/>
      <c r="D1834" s="112"/>
      <c r="E1834" s="113"/>
      <c r="F1834" s="113"/>
      <c r="G1834" s="112"/>
      <c r="H1834" s="112"/>
      <c r="Z1834" s="112"/>
      <c r="AA1834" s="112"/>
    </row>
    <row r="1835" spans="3:27" x14ac:dyDescent="0.25">
      <c r="C1835" s="112"/>
      <c r="D1835" s="112"/>
      <c r="E1835" s="113"/>
      <c r="F1835" s="113"/>
      <c r="G1835" s="112"/>
      <c r="H1835" s="112"/>
      <c r="Z1835" s="112"/>
      <c r="AA1835" s="112"/>
    </row>
    <row r="1836" spans="3:27" x14ac:dyDescent="0.25">
      <c r="C1836" s="112"/>
      <c r="D1836" s="112"/>
      <c r="E1836" s="113"/>
      <c r="F1836" s="113"/>
      <c r="G1836" s="112"/>
      <c r="H1836" s="112"/>
      <c r="Z1836" s="112"/>
      <c r="AA1836" s="112"/>
    </row>
    <row r="1837" spans="3:27" x14ac:dyDescent="0.25">
      <c r="C1837" s="112"/>
      <c r="D1837" s="112"/>
      <c r="E1837" s="113"/>
      <c r="F1837" s="113"/>
      <c r="G1837" s="112"/>
      <c r="H1837" s="112"/>
      <c r="Z1837" s="112"/>
      <c r="AA1837" s="112"/>
    </row>
    <row r="1838" spans="3:27" x14ac:dyDescent="0.25">
      <c r="C1838" s="112"/>
      <c r="D1838" s="112"/>
      <c r="E1838" s="113"/>
      <c r="F1838" s="113"/>
      <c r="G1838" s="112"/>
      <c r="H1838" s="112"/>
      <c r="Z1838" s="112"/>
      <c r="AA1838" s="112"/>
    </row>
    <row r="1839" spans="3:27" x14ac:dyDescent="0.25">
      <c r="C1839" s="112"/>
      <c r="D1839" s="112"/>
      <c r="E1839" s="113"/>
      <c r="F1839" s="113"/>
      <c r="G1839" s="112"/>
      <c r="H1839" s="112"/>
      <c r="Z1839" s="112"/>
      <c r="AA1839" s="112"/>
    </row>
    <row r="1840" spans="3:27" x14ac:dyDescent="0.25">
      <c r="C1840" s="112"/>
      <c r="D1840" s="112"/>
      <c r="E1840" s="113"/>
      <c r="F1840" s="113"/>
      <c r="G1840" s="112"/>
      <c r="H1840" s="112"/>
      <c r="Z1840" s="112"/>
      <c r="AA1840" s="112"/>
    </row>
    <row r="1841" spans="3:27" x14ac:dyDescent="0.25">
      <c r="C1841" s="112"/>
      <c r="D1841" s="112"/>
      <c r="E1841" s="113"/>
      <c r="F1841" s="113"/>
      <c r="G1841" s="112"/>
      <c r="H1841" s="112"/>
      <c r="Z1841" s="112"/>
      <c r="AA1841" s="112"/>
    </row>
    <row r="1842" spans="3:27" x14ac:dyDescent="0.25">
      <c r="C1842" s="112"/>
      <c r="D1842" s="112"/>
      <c r="E1842" s="113"/>
      <c r="F1842" s="113"/>
      <c r="G1842" s="112"/>
      <c r="H1842" s="112"/>
      <c r="Z1842" s="112"/>
      <c r="AA1842" s="112"/>
    </row>
    <row r="1843" spans="3:27" x14ac:dyDescent="0.25">
      <c r="C1843" s="112"/>
      <c r="D1843" s="112"/>
      <c r="E1843" s="113"/>
      <c r="F1843" s="113"/>
      <c r="G1843" s="112"/>
      <c r="H1843" s="112"/>
      <c r="Z1843" s="112"/>
      <c r="AA1843" s="112"/>
    </row>
    <row r="1844" spans="3:27" x14ac:dyDescent="0.25">
      <c r="C1844" s="112"/>
      <c r="D1844" s="112"/>
      <c r="E1844" s="113"/>
      <c r="F1844" s="113"/>
      <c r="G1844" s="112"/>
      <c r="H1844" s="112"/>
      <c r="Z1844" s="112"/>
      <c r="AA1844" s="112"/>
    </row>
    <row r="1845" spans="3:27" x14ac:dyDescent="0.25">
      <c r="C1845" s="112"/>
      <c r="D1845" s="112"/>
      <c r="E1845" s="113"/>
      <c r="F1845" s="113"/>
      <c r="G1845" s="112"/>
      <c r="H1845" s="112"/>
      <c r="Z1845" s="112"/>
      <c r="AA1845" s="112"/>
    </row>
    <row r="1846" spans="3:27" x14ac:dyDescent="0.25">
      <c r="C1846" s="112"/>
      <c r="D1846" s="112"/>
      <c r="E1846" s="113"/>
      <c r="F1846" s="113"/>
      <c r="G1846" s="112"/>
      <c r="H1846" s="112"/>
      <c r="Z1846" s="112"/>
      <c r="AA1846" s="112"/>
    </row>
    <row r="1847" spans="3:27" x14ac:dyDescent="0.25">
      <c r="C1847" s="112"/>
      <c r="D1847" s="112"/>
      <c r="E1847" s="113"/>
      <c r="F1847" s="113"/>
      <c r="G1847" s="112"/>
      <c r="H1847" s="112"/>
      <c r="Z1847" s="112"/>
      <c r="AA1847" s="112"/>
    </row>
    <row r="1848" spans="3:27" x14ac:dyDescent="0.25">
      <c r="C1848" s="112"/>
      <c r="D1848" s="112"/>
      <c r="E1848" s="113"/>
      <c r="F1848" s="113"/>
      <c r="G1848" s="112"/>
      <c r="H1848" s="112"/>
      <c r="Z1848" s="112"/>
      <c r="AA1848" s="112"/>
    </row>
    <row r="1849" spans="3:27" x14ac:dyDescent="0.25">
      <c r="C1849" s="112"/>
      <c r="D1849" s="112"/>
      <c r="E1849" s="113"/>
      <c r="F1849" s="113"/>
      <c r="G1849" s="112"/>
      <c r="H1849" s="112"/>
      <c r="Z1849" s="112"/>
      <c r="AA1849" s="112"/>
    </row>
    <row r="1850" spans="3:27" x14ac:dyDescent="0.25">
      <c r="C1850" s="112"/>
      <c r="D1850" s="112"/>
      <c r="E1850" s="113"/>
      <c r="F1850" s="113"/>
      <c r="G1850" s="112"/>
      <c r="H1850" s="112"/>
      <c r="Z1850" s="112"/>
      <c r="AA1850" s="112"/>
    </row>
    <row r="1851" spans="3:27" x14ac:dyDescent="0.25">
      <c r="C1851" s="112"/>
      <c r="D1851" s="112"/>
      <c r="E1851" s="113"/>
      <c r="F1851" s="113"/>
      <c r="G1851" s="112"/>
      <c r="H1851" s="112"/>
      <c r="Z1851" s="112"/>
      <c r="AA1851" s="112"/>
    </row>
    <row r="1852" spans="3:27" x14ac:dyDescent="0.25">
      <c r="C1852" s="112"/>
      <c r="D1852" s="112"/>
      <c r="E1852" s="113"/>
      <c r="F1852" s="113"/>
      <c r="G1852" s="112"/>
      <c r="H1852" s="112"/>
      <c r="Z1852" s="112"/>
      <c r="AA1852" s="112"/>
    </row>
    <row r="1853" spans="3:27" x14ac:dyDescent="0.25">
      <c r="C1853" s="112"/>
      <c r="D1853" s="112"/>
      <c r="E1853" s="113"/>
      <c r="F1853" s="113"/>
      <c r="G1853" s="112"/>
      <c r="H1853" s="112"/>
      <c r="Z1853" s="112"/>
      <c r="AA1853" s="112"/>
    </row>
    <row r="1854" spans="3:27" x14ac:dyDescent="0.25">
      <c r="C1854" s="112"/>
      <c r="D1854" s="112"/>
      <c r="E1854" s="113"/>
      <c r="F1854" s="113"/>
      <c r="G1854" s="112"/>
      <c r="H1854" s="112"/>
      <c r="Z1854" s="112"/>
      <c r="AA1854" s="112"/>
    </row>
    <row r="1855" spans="3:27" x14ac:dyDescent="0.25">
      <c r="C1855" s="112"/>
      <c r="D1855" s="112"/>
      <c r="E1855" s="113"/>
      <c r="F1855" s="113"/>
      <c r="G1855" s="112"/>
      <c r="H1855" s="112"/>
      <c r="Z1855" s="112"/>
      <c r="AA1855" s="112"/>
    </row>
    <row r="1856" spans="3:27" x14ac:dyDescent="0.25">
      <c r="C1856" s="112"/>
      <c r="D1856" s="112"/>
      <c r="E1856" s="113"/>
      <c r="F1856" s="113"/>
      <c r="G1856" s="112"/>
      <c r="H1856" s="112"/>
      <c r="Z1856" s="112"/>
      <c r="AA1856" s="112"/>
    </row>
    <row r="1857" spans="3:27" x14ac:dyDescent="0.25">
      <c r="C1857" s="112"/>
      <c r="D1857" s="112"/>
      <c r="E1857" s="113"/>
      <c r="F1857" s="113"/>
      <c r="G1857" s="112"/>
      <c r="H1857" s="112"/>
      <c r="Z1857" s="112"/>
      <c r="AA1857" s="112"/>
    </row>
    <row r="1858" spans="3:27" x14ac:dyDescent="0.25">
      <c r="C1858" s="112"/>
      <c r="D1858" s="112"/>
      <c r="E1858" s="113"/>
      <c r="F1858" s="113"/>
      <c r="G1858" s="112"/>
      <c r="H1858" s="112"/>
      <c r="Z1858" s="112"/>
      <c r="AA1858" s="112"/>
    </row>
    <row r="1859" spans="3:27" x14ac:dyDescent="0.25">
      <c r="C1859" s="112"/>
      <c r="D1859" s="112"/>
      <c r="E1859" s="113"/>
      <c r="F1859" s="113"/>
      <c r="G1859" s="112"/>
      <c r="H1859" s="112"/>
      <c r="Z1859" s="112"/>
      <c r="AA1859" s="112"/>
    </row>
    <row r="1860" spans="3:27" x14ac:dyDescent="0.25">
      <c r="C1860" s="112"/>
      <c r="D1860" s="112"/>
      <c r="E1860" s="113"/>
      <c r="F1860" s="113"/>
      <c r="G1860" s="112"/>
      <c r="H1860" s="112"/>
      <c r="Z1860" s="112"/>
      <c r="AA1860" s="112"/>
    </row>
    <row r="1861" spans="3:27" x14ac:dyDescent="0.25">
      <c r="C1861" s="112"/>
      <c r="D1861" s="112"/>
      <c r="E1861" s="113"/>
      <c r="F1861" s="113"/>
      <c r="G1861" s="112"/>
      <c r="H1861" s="112"/>
      <c r="Z1861" s="112"/>
      <c r="AA1861" s="112"/>
    </row>
    <row r="1862" spans="3:27" x14ac:dyDescent="0.25">
      <c r="C1862" s="112"/>
      <c r="D1862" s="112"/>
      <c r="E1862" s="113"/>
      <c r="F1862" s="113"/>
      <c r="G1862" s="112"/>
      <c r="H1862" s="112"/>
      <c r="Z1862" s="112"/>
      <c r="AA1862" s="112"/>
    </row>
    <row r="1863" spans="3:27" x14ac:dyDescent="0.25">
      <c r="C1863" s="112"/>
      <c r="D1863" s="112"/>
      <c r="E1863" s="113"/>
      <c r="F1863" s="113"/>
      <c r="G1863" s="112"/>
      <c r="H1863" s="112"/>
      <c r="Z1863" s="112"/>
      <c r="AA1863" s="112"/>
    </row>
    <row r="1864" spans="3:27" x14ac:dyDescent="0.25">
      <c r="C1864" s="112"/>
      <c r="D1864" s="112"/>
      <c r="E1864" s="113"/>
      <c r="F1864" s="113"/>
      <c r="G1864" s="112"/>
      <c r="H1864" s="112"/>
      <c r="Z1864" s="112"/>
      <c r="AA1864" s="112"/>
    </row>
    <row r="1865" spans="3:27" x14ac:dyDescent="0.25">
      <c r="C1865" s="112"/>
      <c r="D1865" s="112"/>
      <c r="E1865" s="113"/>
      <c r="F1865" s="113"/>
      <c r="G1865" s="112"/>
      <c r="H1865" s="112"/>
      <c r="Z1865" s="112"/>
      <c r="AA1865" s="112"/>
    </row>
    <row r="1866" spans="3:27" x14ac:dyDescent="0.25">
      <c r="C1866" s="112"/>
      <c r="D1866" s="112"/>
      <c r="E1866" s="113"/>
      <c r="F1866" s="113"/>
      <c r="G1866" s="112"/>
      <c r="H1866" s="112"/>
      <c r="Z1866" s="112"/>
      <c r="AA1866" s="112"/>
    </row>
    <row r="1867" spans="3:27" x14ac:dyDescent="0.25">
      <c r="C1867" s="112"/>
      <c r="D1867" s="112"/>
      <c r="E1867" s="113"/>
      <c r="F1867" s="113"/>
      <c r="G1867" s="112"/>
      <c r="H1867" s="112"/>
      <c r="Z1867" s="112"/>
      <c r="AA1867" s="112"/>
    </row>
    <row r="1868" spans="3:27" x14ac:dyDescent="0.25">
      <c r="C1868" s="112"/>
      <c r="D1868" s="112"/>
      <c r="E1868" s="113"/>
      <c r="F1868" s="113"/>
      <c r="G1868" s="112"/>
      <c r="H1868" s="112"/>
      <c r="Z1868" s="112"/>
      <c r="AA1868" s="112"/>
    </row>
    <row r="1869" spans="3:27" x14ac:dyDescent="0.25">
      <c r="C1869" s="112"/>
      <c r="D1869" s="112"/>
      <c r="E1869" s="113"/>
      <c r="F1869" s="113"/>
      <c r="G1869" s="112"/>
      <c r="H1869" s="112"/>
      <c r="Z1869" s="112"/>
      <c r="AA1869" s="112"/>
    </row>
    <row r="1870" spans="3:27" x14ac:dyDescent="0.25">
      <c r="C1870" s="112"/>
      <c r="D1870" s="112"/>
      <c r="E1870" s="113"/>
      <c r="F1870" s="113"/>
      <c r="G1870" s="112"/>
      <c r="H1870" s="112"/>
      <c r="Z1870" s="112"/>
      <c r="AA1870" s="112"/>
    </row>
    <row r="1871" spans="3:27" x14ac:dyDescent="0.25">
      <c r="C1871" s="112"/>
      <c r="D1871" s="112"/>
      <c r="E1871" s="113"/>
      <c r="F1871" s="113"/>
      <c r="G1871" s="112"/>
      <c r="H1871" s="112"/>
      <c r="Z1871" s="112"/>
      <c r="AA1871" s="112"/>
    </row>
    <row r="1872" spans="3:27" x14ac:dyDescent="0.25">
      <c r="C1872" s="112"/>
      <c r="D1872" s="112"/>
      <c r="E1872" s="113"/>
      <c r="F1872" s="113"/>
      <c r="G1872" s="112"/>
      <c r="H1872" s="112"/>
      <c r="Z1872" s="112"/>
      <c r="AA1872" s="112"/>
    </row>
    <row r="1873" spans="3:27" x14ac:dyDescent="0.25">
      <c r="C1873" s="112"/>
      <c r="D1873" s="112"/>
      <c r="E1873" s="113"/>
      <c r="F1873" s="113"/>
      <c r="G1873" s="112"/>
      <c r="H1873" s="112"/>
      <c r="Z1873" s="112"/>
      <c r="AA1873" s="112"/>
    </row>
    <row r="1874" spans="3:27" x14ac:dyDescent="0.25">
      <c r="C1874" s="112"/>
      <c r="D1874" s="112"/>
      <c r="E1874" s="113"/>
      <c r="F1874" s="113"/>
      <c r="G1874" s="112"/>
      <c r="H1874" s="112"/>
      <c r="Z1874" s="112"/>
      <c r="AA1874" s="112"/>
    </row>
    <row r="1875" spans="3:27" x14ac:dyDescent="0.25">
      <c r="C1875" s="112"/>
      <c r="D1875" s="112"/>
      <c r="E1875" s="113"/>
      <c r="F1875" s="113"/>
      <c r="G1875" s="112"/>
      <c r="H1875" s="112"/>
      <c r="Z1875" s="112"/>
      <c r="AA1875" s="112"/>
    </row>
    <row r="1876" spans="3:27" x14ac:dyDescent="0.25">
      <c r="C1876" s="112"/>
      <c r="D1876" s="112"/>
      <c r="E1876" s="113"/>
      <c r="F1876" s="113"/>
      <c r="G1876" s="112"/>
      <c r="H1876" s="112"/>
      <c r="Z1876" s="112"/>
      <c r="AA1876" s="112"/>
    </row>
    <row r="1877" spans="3:27" x14ac:dyDescent="0.25">
      <c r="C1877" s="112"/>
      <c r="D1877" s="112"/>
      <c r="E1877" s="113"/>
      <c r="F1877" s="113"/>
      <c r="G1877" s="112"/>
      <c r="H1877" s="112"/>
      <c r="Z1877" s="112"/>
      <c r="AA1877" s="112"/>
    </row>
    <row r="1878" spans="3:27" x14ac:dyDescent="0.25">
      <c r="C1878" s="112"/>
      <c r="D1878" s="112"/>
      <c r="E1878" s="113"/>
      <c r="F1878" s="113"/>
      <c r="G1878" s="112"/>
      <c r="H1878" s="112"/>
      <c r="Z1878" s="112"/>
      <c r="AA1878" s="112"/>
    </row>
    <row r="1879" spans="3:27" x14ac:dyDescent="0.25">
      <c r="C1879" s="112"/>
      <c r="D1879" s="112"/>
      <c r="E1879" s="113"/>
      <c r="F1879" s="113"/>
      <c r="G1879" s="112"/>
      <c r="H1879" s="112"/>
      <c r="Z1879" s="112"/>
      <c r="AA1879" s="112"/>
    </row>
    <row r="1880" spans="3:27" x14ac:dyDescent="0.25">
      <c r="C1880" s="112"/>
      <c r="D1880" s="112"/>
      <c r="E1880" s="113"/>
      <c r="F1880" s="113"/>
      <c r="G1880" s="112"/>
      <c r="H1880" s="112"/>
      <c r="Z1880" s="112"/>
      <c r="AA1880" s="112"/>
    </row>
    <row r="1881" spans="3:27" x14ac:dyDescent="0.25">
      <c r="C1881" s="112"/>
      <c r="D1881" s="112"/>
      <c r="E1881" s="113"/>
      <c r="F1881" s="113"/>
      <c r="G1881" s="112"/>
      <c r="H1881" s="112"/>
      <c r="Z1881" s="112"/>
      <c r="AA1881" s="112"/>
    </row>
    <row r="1882" spans="3:27" x14ac:dyDescent="0.25">
      <c r="C1882" s="112"/>
      <c r="D1882" s="112"/>
      <c r="E1882" s="113"/>
      <c r="F1882" s="113"/>
      <c r="G1882" s="112"/>
      <c r="H1882" s="112"/>
      <c r="Z1882" s="112"/>
      <c r="AA1882" s="112"/>
    </row>
    <row r="1883" spans="3:27" x14ac:dyDescent="0.25">
      <c r="C1883" s="112"/>
      <c r="D1883" s="112"/>
      <c r="E1883" s="113"/>
      <c r="F1883" s="113"/>
      <c r="G1883" s="112"/>
      <c r="H1883" s="112"/>
      <c r="Z1883" s="112"/>
      <c r="AA1883" s="112"/>
    </row>
    <row r="1884" spans="3:27" x14ac:dyDescent="0.25">
      <c r="C1884" s="112"/>
      <c r="D1884" s="112"/>
      <c r="E1884" s="113"/>
      <c r="F1884" s="113"/>
      <c r="G1884" s="112"/>
      <c r="H1884" s="112"/>
      <c r="Z1884" s="112"/>
      <c r="AA1884" s="112"/>
    </row>
    <row r="1885" spans="3:27" x14ac:dyDescent="0.25">
      <c r="C1885" s="112"/>
      <c r="D1885" s="112"/>
      <c r="E1885" s="113"/>
      <c r="F1885" s="113"/>
      <c r="G1885" s="112"/>
      <c r="H1885" s="112"/>
      <c r="Z1885" s="112"/>
      <c r="AA1885" s="112"/>
    </row>
    <row r="1886" spans="3:27" x14ac:dyDescent="0.25">
      <c r="C1886" s="112"/>
      <c r="D1886" s="112"/>
      <c r="E1886" s="113"/>
      <c r="F1886" s="113"/>
      <c r="G1886" s="112"/>
      <c r="H1886" s="112"/>
      <c r="Z1886" s="112"/>
      <c r="AA1886" s="112"/>
    </row>
    <row r="1887" spans="3:27" x14ac:dyDescent="0.25">
      <c r="C1887" s="112"/>
      <c r="D1887" s="112"/>
      <c r="E1887" s="113"/>
      <c r="F1887" s="113"/>
      <c r="G1887" s="112"/>
      <c r="H1887" s="112"/>
      <c r="Z1887" s="112"/>
      <c r="AA1887" s="112"/>
    </row>
    <row r="1888" spans="3:27" x14ac:dyDescent="0.25">
      <c r="C1888" s="112"/>
      <c r="D1888" s="112"/>
      <c r="E1888" s="113"/>
      <c r="F1888" s="113"/>
      <c r="G1888" s="112"/>
      <c r="H1888" s="112"/>
      <c r="Z1888" s="112"/>
      <c r="AA1888" s="112"/>
    </row>
    <row r="1889" spans="3:27" x14ac:dyDescent="0.25">
      <c r="C1889" s="112"/>
      <c r="D1889" s="112"/>
      <c r="E1889" s="113"/>
      <c r="F1889" s="113"/>
      <c r="G1889" s="112"/>
      <c r="H1889" s="112"/>
      <c r="Z1889" s="112"/>
      <c r="AA1889" s="112"/>
    </row>
    <row r="1890" spans="3:27" x14ac:dyDescent="0.25">
      <c r="C1890" s="112"/>
      <c r="D1890" s="112"/>
      <c r="E1890" s="113"/>
      <c r="F1890" s="113"/>
      <c r="G1890" s="112"/>
      <c r="H1890" s="112"/>
      <c r="Z1890" s="112"/>
      <c r="AA1890" s="112"/>
    </row>
    <row r="1891" spans="3:27" x14ac:dyDescent="0.25">
      <c r="C1891" s="112"/>
      <c r="D1891" s="112"/>
      <c r="E1891" s="113"/>
      <c r="F1891" s="113"/>
      <c r="G1891" s="112"/>
      <c r="H1891" s="112"/>
      <c r="Z1891" s="112"/>
      <c r="AA1891" s="112"/>
    </row>
    <row r="1892" spans="3:27" x14ac:dyDescent="0.25">
      <c r="C1892" s="112"/>
      <c r="D1892" s="112"/>
      <c r="E1892" s="113"/>
      <c r="F1892" s="113"/>
      <c r="G1892" s="112"/>
      <c r="H1892" s="112"/>
      <c r="Z1892" s="112"/>
      <c r="AA1892" s="112"/>
    </row>
    <row r="1893" spans="3:27" x14ac:dyDescent="0.25">
      <c r="C1893" s="112"/>
      <c r="D1893" s="112"/>
      <c r="E1893" s="113"/>
      <c r="F1893" s="113"/>
      <c r="G1893" s="112"/>
      <c r="H1893" s="112"/>
      <c r="Z1893" s="112"/>
      <c r="AA1893" s="112"/>
    </row>
    <row r="1894" spans="3:27" x14ac:dyDescent="0.25">
      <c r="C1894" s="112"/>
      <c r="D1894" s="112"/>
      <c r="E1894" s="113"/>
      <c r="F1894" s="113"/>
      <c r="G1894" s="112"/>
      <c r="H1894" s="112"/>
      <c r="Z1894" s="112"/>
      <c r="AA1894" s="112"/>
    </row>
    <row r="1895" spans="3:27" x14ac:dyDescent="0.25">
      <c r="C1895" s="112"/>
      <c r="D1895" s="112"/>
      <c r="E1895" s="113"/>
      <c r="F1895" s="113"/>
      <c r="G1895" s="112"/>
      <c r="H1895" s="112"/>
      <c r="Z1895" s="112"/>
      <c r="AA1895" s="112"/>
    </row>
    <row r="1896" spans="3:27" x14ac:dyDescent="0.25">
      <c r="C1896" s="112"/>
      <c r="D1896" s="112"/>
      <c r="E1896" s="113"/>
      <c r="F1896" s="113"/>
      <c r="G1896" s="112"/>
      <c r="H1896" s="112"/>
      <c r="Z1896" s="112"/>
      <c r="AA1896" s="112"/>
    </row>
    <row r="1897" spans="3:27" x14ac:dyDescent="0.25">
      <c r="C1897" s="112"/>
      <c r="D1897" s="112"/>
      <c r="E1897" s="113"/>
      <c r="F1897" s="113"/>
      <c r="G1897" s="112"/>
      <c r="H1897" s="112"/>
      <c r="Z1897" s="112"/>
      <c r="AA1897" s="112"/>
    </row>
    <row r="1898" spans="3:27" x14ac:dyDescent="0.25">
      <c r="C1898" s="112"/>
      <c r="D1898" s="112"/>
      <c r="E1898" s="113"/>
      <c r="F1898" s="113"/>
      <c r="G1898" s="112"/>
      <c r="H1898" s="112"/>
      <c r="Z1898" s="112"/>
      <c r="AA1898" s="112"/>
    </row>
    <row r="1899" spans="3:27" x14ac:dyDescent="0.25">
      <c r="C1899" s="112"/>
      <c r="D1899" s="112"/>
      <c r="E1899" s="113"/>
      <c r="F1899" s="113"/>
      <c r="G1899" s="112"/>
      <c r="H1899" s="112"/>
      <c r="Z1899" s="112"/>
      <c r="AA1899" s="112"/>
    </row>
    <row r="1900" spans="3:27" x14ac:dyDescent="0.25">
      <c r="C1900" s="112"/>
      <c r="D1900" s="112"/>
      <c r="E1900" s="113"/>
      <c r="F1900" s="113"/>
      <c r="G1900" s="112"/>
      <c r="H1900" s="112"/>
      <c r="Z1900" s="112"/>
      <c r="AA1900" s="112"/>
    </row>
    <row r="1901" spans="3:27" x14ac:dyDescent="0.25">
      <c r="C1901" s="112"/>
      <c r="D1901" s="112"/>
      <c r="E1901" s="113"/>
      <c r="F1901" s="113"/>
      <c r="G1901" s="112"/>
      <c r="H1901" s="112"/>
      <c r="Z1901" s="112"/>
      <c r="AA1901" s="112"/>
    </row>
    <row r="1902" spans="3:27" x14ac:dyDescent="0.25">
      <c r="C1902" s="112"/>
      <c r="D1902" s="112"/>
      <c r="E1902" s="113"/>
      <c r="F1902" s="113"/>
      <c r="G1902" s="112"/>
      <c r="H1902" s="112"/>
      <c r="Z1902" s="112"/>
      <c r="AA1902" s="112"/>
    </row>
    <row r="1903" spans="3:27" x14ac:dyDescent="0.25">
      <c r="C1903" s="112"/>
      <c r="D1903" s="112"/>
      <c r="E1903" s="113"/>
      <c r="F1903" s="113"/>
      <c r="G1903" s="112"/>
      <c r="H1903" s="112"/>
      <c r="Z1903" s="112"/>
      <c r="AA1903" s="112"/>
    </row>
    <row r="1904" spans="3:27" x14ac:dyDescent="0.25">
      <c r="C1904" s="112"/>
      <c r="D1904" s="112"/>
      <c r="E1904" s="113"/>
      <c r="F1904" s="113"/>
      <c r="G1904" s="112"/>
      <c r="H1904" s="112"/>
      <c r="Z1904" s="112"/>
      <c r="AA1904" s="112"/>
    </row>
    <row r="1905" spans="3:27" x14ac:dyDescent="0.25">
      <c r="C1905" s="112"/>
      <c r="D1905" s="112"/>
      <c r="E1905" s="113"/>
      <c r="F1905" s="113"/>
      <c r="G1905" s="112"/>
      <c r="H1905" s="112"/>
      <c r="Z1905" s="112"/>
      <c r="AA1905" s="112"/>
    </row>
    <row r="1906" spans="3:27" x14ac:dyDescent="0.25">
      <c r="C1906" s="112"/>
      <c r="D1906" s="112"/>
      <c r="E1906" s="113"/>
      <c r="F1906" s="113"/>
      <c r="G1906" s="112"/>
      <c r="H1906" s="112"/>
      <c r="Z1906" s="112"/>
      <c r="AA1906" s="112"/>
    </row>
    <row r="1907" spans="3:27" x14ac:dyDescent="0.25">
      <c r="C1907" s="112"/>
      <c r="D1907" s="112"/>
      <c r="E1907" s="113"/>
      <c r="F1907" s="113"/>
      <c r="G1907" s="112"/>
      <c r="H1907" s="112"/>
      <c r="Z1907" s="112"/>
      <c r="AA1907" s="112"/>
    </row>
    <row r="1908" spans="3:27" x14ac:dyDescent="0.25">
      <c r="C1908" s="112"/>
      <c r="D1908" s="112"/>
      <c r="E1908" s="113"/>
      <c r="F1908" s="113"/>
      <c r="G1908" s="112"/>
      <c r="H1908" s="112"/>
      <c r="Z1908" s="112"/>
      <c r="AA1908" s="112"/>
    </row>
    <row r="1909" spans="3:27" x14ac:dyDescent="0.25">
      <c r="C1909" s="112"/>
      <c r="D1909" s="112"/>
      <c r="E1909" s="113"/>
      <c r="F1909" s="113"/>
      <c r="G1909" s="112"/>
      <c r="H1909" s="112"/>
      <c r="Z1909" s="112"/>
      <c r="AA1909" s="112"/>
    </row>
    <row r="1910" spans="3:27" x14ac:dyDescent="0.25">
      <c r="C1910" s="112"/>
      <c r="D1910" s="112"/>
      <c r="E1910" s="113"/>
      <c r="F1910" s="113"/>
      <c r="G1910" s="112"/>
      <c r="H1910" s="112"/>
      <c r="Z1910" s="112"/>
      <c r="AA1910" s="112"/>
    </row>
    <row r="1911" spans="3:27" x14ac:dyDescent="0.25">
      <c r="C1911" s="112"/>
      <c r="D1911" s="112"/>
      <c r="E1911" s="113"/>
      <c r="F1911" s="113"/>
      <c r="G1911" s="112"/>
      <c r="H1911" s="112"/>
      <c r="Z1911" s="112"/>
      <c r="AA1911" s="112"/>
    </row>
    <row r="1912" spans="3:27" x14ac:dyDescent="0.25">
      <c r="C1912" s="112"/>
      <c r="D1912" s="112"/>
      <c r="E1912" s="113"/>
      <c r="F1912" s="113"/>
      <c r="G1912" s="112"/>
      <c r="H1912" s="112"/>
      <c r="Z1912" s="112"/>
      <c r="AA1912" s="112"/>
    </row>
    <row r="1913" spans="3:27" x14ac:dyDescent="0.25">
      <c r="C1913" s="112"/>
      <c r="D1913" s="112"/>
      <c r="E1913" s="113"/>
      <c r="F1913" s="113"/>
      <c r="G1913" s="112"/>
      <c r="H1913" s="112"/>
      <c r="Z1913" s="112"/>
      <c r="AA1913" s="112"/>
    </row>
    <row r="1914" spans="3:27" x14ac:dyDescent="0.25">
      <c r="C1914" s="112"/>
      <c r="D1914" s="112"/>
      <c r="E1914" s="113"/>
      <c r="F1914" s="113"/>
      <c r="G1914" s="112"/>
      <c r="H1914" s="112"/>
      <c r="Z1914" s="112"/>
      <c r="AA1914" s="112"/>
    </row>
    <row r="1915" spans="3:27" x14ac:dyDescent="0.25">
      <c r="C1915" s="112"/>
      <c r="D1915" s="112"/>
      <c r="E1915" s="113"/>
      <c r="F1915" s="113"/>
      <c r="G1915" s="112"/>
      <c r="H1915" s="112"/>
      <c r="Z1915" s="112"/>
      <c r="AA1915" s="112"/>
    </row>
    <row r="1916" spans="3:27" x14ac:dyDescent="0.25">
      <c r="C1916" s="112"/>
      <c r="D1916" s="112"/>
      <c r="E1916" s="113"/>
      <c r="F1916" s="113"/>
      <c r="G1916" s="112"/>
      <c r="H1916" s="112"/>
      <c r="Z1916" s="112"/>
      <c r="AA1916" s="112"/>
    </row>
    <row r="1917" spans="3:27" x14ac:dyDescent="0.25">
      <c r="C1917" s="112"/>
      <c r="D1917" s="112"/>
      <c r="E1917" s="113"/>
      <c r="F1917" s="113"/>
      <c r="G1917" s="112"/>
      <c r="H1917" s="112"/>
      <c r="Z1917" s="112"/>
      <c r="AA1917" s="112"/>
    </row>
    <row r="1918" spans="3:27" x14ac:dyDescent="0.25">
      <c r="C1918" s="112"/>
      <c r="D1918" s="112"/>
      <c r="E1918" s="113"/>
      <c r="F1918" s="113"/>
      <c r="G1918" s="112"/>
      <c r="H1918" s="112"/>
      <c r="Z1918" s="112"/>
      <c r="AA1918" s="112"/>
    </row>
    <row r="1919" spans="3:27" x14ac:dyDescent="0.25">
      <c r="C1919" s="112"/>
      <c r="D1919" s="112"/>
      <c r="E1919" s="113"/>
      <c r="F1919" s="113"/>
      <c r="G1919" s="112"/>
      <c r="H1919" s="112"/>
      <c r="Z1919" s="112"/>
      <c r="AA1919" s="112"/>
    </row>
    <row r="1920" spans="3:27" x14ac:dyDescent="0.25">
      <c r="C1920" s="112"/>
      <c r="D1920" s="112"/>
      <c r="E1920" s="113"/>
      <c r="F1920" s="113"/>
      <c r="G1920" s="112"/>
      <c r="H1920" s="112"/>
      <c r="Z1920" s="112"/>
      <c r="AA1920" s="112"/>
    </row>
    <row r="1921" spans="3:27" x14ac:dyDescent="0.25">
      <c r="C1921" s="112"/>
      <c r="D1921" s="112"/>
      <c r="E1921" s="113"/>
      <c r="F1921" s="113"/>
      <c r="G1921" s="112"/>
      <c r="H1921" s="112"/>
      <c r="Z1921" s="112"/>
      <c r="AA1921" s="112"/>
    </row>
    <row r="1922" spans="3:27" x14ac:dyDescent="0.25">
      <c r="C1922" s="112"/>
      <c r="D1922" s="112"/>
      <c r="E1922" s="113"/>
      <c r="F1922" s="113"/>
      <c r="G1922" s="112"/>
      <c r="H1922" s="112"/>
      <c r="Z1922" s="112"/>
      <c r="AA1922" s="112"/>
    </row>
    <row r="1923" spans="3:27" x14ac:dyDescent="0.25">
      <c r="C1923" s="112"/>
      <c r="D1923" s="112"/>
      <c r="E1923" s="113"/>
      <c r="F1923" s="113"/>
      <c r="G1923" s="112"/>
      <c r="H1923" s="112"/>
      <c r="Z1923" s="112"/>
      <c r="AA1923" s="112"/>
    </row>
    <row r="1924" spans="3:27" x14ac:dyDescent="0.25">
      <c r="C1924" s="112"/>
      <c r="D1924" s="112"/>
      <c r="E1924" s="113"/>
      <c r="F1924" s="113"/>
      <c r="G1924" s="112"/>
      <c r="H1924" s="112"/>
      <c r="Z1924" s="112"/>
      <c r="AA1924" s="112"/>
    </row>
    <row r="1925" spans="3:27" x14ac:dyDescent="0.25">
      <c r="C1925" s="112"/>
      <c r="D1925" s="112"/>
      <c r="E1925" s="113"/>
      <c r="F1925" s="113"/>
      <c r="G1925" s="112"/>
      <c r="H1925" s="112"/>
      <c r="Z1925" s="112"/>
      <c r="AA1925" s="112"/>
    </row>
    <row r="1926" spans="3:27" x14ac:dyDescent="0.25">
      <c r="C1926" s="112"/>
      <c r="D1926" s="112"/>
      <c r="E1926" s="113"/>
      <c r="F1926" s="113"/>
      <c r="G1926" s="112"/>
      <c r="H1926" s="112"/>
      <c r="Z1926" s="112"/>
      <c r="AA1926" s="112"/>
    </row>
    <row r="1927" spans="3:27" x14ac:dyDescent="0.25">
      <c r="C1927" s="112"/>
      <c r="D1927" s="112"/>
      <c r="E1927" s="113"/>
      <c r="F1927" s="113"/>
      <c r="G1927" s="112"/>
      <c r="H1927" s="112"/>
      <c r="Z1927" s="112"/>
      <c r="AA1927" s="112"/>
    </row>
    <row r="1928" spans="3:27" x14ac:dyDescent="0.25">
      <c r="C1928" s="112"/>
      <c r="D1928" s="112"/>
      <c r="E1928" s="113"/>
      <c r="F1928" s="113"/>
      <c r="G1928" s="112"/>
      <c r="H1928" s="112"/>
      <c r="Z1928" s="112"/>
      <c r="AA1928" s="112"/>
    </row>
    <row r="1929" spans="3:27" x14ac:dyDescent="0.25">
      <c r="C1929" s="112"/>
      <c r="D1929" s="112"/>
      <c r="E1929" s="113"/>
      <c r="F1929" s="113"/>
      <c r="G1929" s="112"/>
      <c r="H1929" s="112"/>
      <c r="Z1929" s="112"/>
      <c r="AA1929" s="112"/>
    </row>
    <row r="1930" spans="3:27" x14ac:dyDescent="0.25">
      <c r="C1930" s="112"/>
      <c r="D1930" s="112"/>
      <c r="E1930" s="113"/>
      <c r="F1930" s="113"/>
      <c r="G1930" s="112"/>
      <c r="H1930" s="112"/>
      <c r="Z1930" s="112"/>
      <c r="AA1930" s="112"/>
    </row>
    <row r="1931" spans="3:27" x14ac:dyDescent="0.25">
      <c r="C1931" s="112"/>
      <c r="D1931" s="112"/>
      <c r="E1931" s="113"/>
      <c r="F1931" s="113"/>
      <c r="G1931" s="112"/>
      <c r="H1931" s="112"/>
      <c r="Z1931" s="112"/>
      <c r="AA1931" s="112"/>
    </row>
    <row r="1932" spans="3:27" x14ac:dyDescent="0.25">
      <c r="C1932" s="112"/>
      <c r="D1932" s="112"/>
      <c r="E1932" s="113"/>
      <c r="F1932" s="113"/>
      <c r="G1932" s="112"/>
      <c r="H1932" s="112"/>
      <c r="Z1932" s="112"/>
      <c r="AA1932" s="112"/>
    </row>
    <row r="1933" spans="3:27" x14ac:dyDescent="0.25">
      <c r="C1933" s="112"/>
      <c r="D1933" s="112"/>
      <c r="E1933" s="113"/>
      <c r="F1933" s="113"/>
      <c r="G1933" s="112"/>
      <c r="H1933" s="112"/>
      <c r="Z1933" s="112"/>
      <c r="AA1933" s="112"/>
    </row>
    <row r="1934" spans="3:27" x14ac:dyDescent="0.25">
      <c r="C1934" s="112"/>
      <c r="D1934" s="112"/>
      <c r="E1934" s="113"/>
      <c r="F1934" s="113"/>
      <c r="G1934" s="112"/>
      <c r="H1934" s="112"/>
      <c r="Z1934" s="112"/>
      <c r="AA1934" s="112"/>
    </row>
    <row r="1935" spans="3:27" x14ac:dyDescent="0.25">
      <c r="C1935" s="112"/>
      <c r="D1935" s="112"/>
      <c r="E1935" s="113"/>
      <c r="F1935" s="113"/>
      <c r="G1935" s="112"/>
      <c r="H1935" s="112"/>
      <c r="Z1935" s="112"/>
      <c r="AA1935" s="112"/>
    </row>
    <row r="1936" spans="3:27" x14ac:dyDescent="0.25">
      <c r="C1936" s="112"/>
      <c r="D1936" s="112"/>
      <c r="E1936" s="113"/>
      <c r="F1936" s="113"/>
      <c r="G1936" s="112"/>
      <c r="H1936" s="112"/>
      <c r="Z1936" s="112"/>
      <c r="AA1936" s="112"/>
    </row>
    <row r="1937" spans="3:27" x14ac:dyDescent="0.25">
      <c r="C1937" s="112"/>
      <c r="D1937" s="112"/>
      <c r="E1937" s="113"/>
      <c r="F1937" s="113"/>
      <c r="G1937" s="112"/>
      <c r="H1937" s="112"/>
      <c r="Z1937" s="112"/>
      <c r="AA1937" s="112"/>
    </row>
    <row r="1938" spans="3:27" x14ac:dyDescent="0.25">
      <c r="C1938" s="112"/>
      <c r="D1938" s="112"/>
      <c r="E1938" s="113"/>
      <c r="F1938" s="113"/>
      <c r="G1938" s="112"/>
      <c r="H1938" s="112"/>
      <c r="Z1938" s="112"/>
      <c r="AA1938" s="112"/>
    </row>
    <row r="1939" spans="3:27" x14ac:dyDescent="0.25">
      <c r="C1939" s="112"/>
      <c r="D1939" s="112"/>
      <c r="E1939" s="113"/>
      <c r="F1939" s="113"/>
      <c r="G1939" s="112"/>
      <c r="H1939" s="112"/>
      <c r="Z1939" s="112"/>
      <c r="AA1939" s="112"/>
    </row>
    <row r="1940" spans="3:27" x14ac:dyDescent="0.25">
      <c r="C1940" s="112"/>
      <c r="D1940" s="112"/>
      <c r="E1940" s="113"/>
      <c r="F1940" s="113"/>
      <c r="G1940" s="112"/>
      <c r="H1940" s="112"/>
      <c r="Z1940" s="112"/>
      <c r="AA1940" s="112"/>
    </row>
    <row r="1941" spans="3:27" x14ac:dyDescent="0.25">
      <c r="C1941" s="112"/>
      <c r="D1941" s="112"/>
      <c r="E1941" s="113"/>
      <c r="F1941" s="113"/>
      <c r="G1941" s="112"/>
      <c r="H1941" s="112"/>
      <c r="Z1941" s="112"/>
      <c r="AA1941" s="112"/>
    </row>
    <row r="1942" spans="3:27" x14ac:dyDescent="0.25">
      <c r="C1942" s="112"/>
      <c r="D1942" s="112"/>
      <c r="E1942" s="113"/>
      <c r="F1942" s="113"/>
      <c r="G1942" s="112"/>
      <c r="H1942" s="112"/>
      <c r="Z1942" s="112"/>
      <c r="AA1942" s="112"/>
    </row>
    <row r="1943" spans="3:27" x14ac:dyDescent="0.25">
      <c r="C1943" s="112"/>
      <c r="D1943" s="112"/>
      <c r="E1943" s="113"/>
      <c r="F1943" s="113"/>
      <c r="G1943" s="112"/>
      <c r="H1943" s="112"/>
      <c r="Z1943" s="112"/>
      <c r="AA1943" s="112"/>
    </row>
    <row r="1944" spans="3:27" x14ac:dyDescent="0.25">
      <c r="C1944" s="112"/>
      <c r="D1944" s="112"/>
      <c r="E1944" s="113"/>
      <c r="F1944" s="113"/>
      <c r="G1944" s="112"/>
      <c r="H1944" s="112"/>
      <c r="Z1944" s="112"/>
      <c r="AA1944" s="112"/>
    </row>
    <row r="1945" spans="3:27" x14ac:dyDescent="0.25">
      <c r="C1945" s="112"/>
      <c r="D1945" s="112"/>
      <c r="E1945" s="113"/>
      <c r="F1945" s="113"/>
      <c r="G1945" s="112"/>
      <c r="H1945" s="112"/>
      <c r="Z1945" s="112"/>
      <c r="AA1945" s="112"/>
    </row>
    <row r="1946" spans="3:27" x14ac:dyDescent="0.25">
      <c r="C1946" s="112"/>
      <c r="D1946" s="112"/>
      <c r="E1946" s="113"/>
      <c r="F1946" s="113"/>
      <c r="G1946" s="112"/>
      <c r="H1946" s="112"/>
      <c r="Z1946" s="112"/>
      <c r="AA1946" s="112"/>
    </row>
    <row r="1947" spans="3:27" x14ac:dyDescent="0.25">
      <c r="C1947" s="112"/>
      <c r="D1947" s="112"/>
      <c r="E1947" s="113"/>
      <c r="F1947" s="113"/>
      <c r="G1947" s="112"/>
      <c r="H1947" s="112"/>
      <c r="Z1947" s="112"/>
      <c r="AA1947" s="112"/>
    </row>
    <row r="1948" spans="3:27" x14ac:dyDescent="0.25">
      <c r="C1948" s="112"/>
      <c r="D1948" s="112"/>
      <c r="E1948" s="113"/>
      <c r="F1948" s="113"/>
      <c r="G1948" s="112"/>
      <c r="H1948" s="112"/>
      <c r="Z1948" s="112"/>
      <c r="AA1948" s="112"/>
    </row>
    <row r="1949" spans="3:27" x14ac:dyDescent="0.25">
      <c r="C1949" s="112"/>
      <c r="D1949" s="112"/>
      <c r="E1949" s="113"/>
      <c r="F1949" s="113"/>
      <c r="G1949" s="112"/>
      <c r="H1949" s="112"/>
      <c r="Z1949" s="112"/>
      <c r="AA1949" s="112"/>
    </row>
    <row r="1950" spans="3:27" x14ac:dyDescent="0.25">
      <c r="C1950" s="112"/>
      <c r="D1950" s="112"/>
      <c r="E1950" s="113"/>
      <c r="F1950" s="113"/>
      <c r="G1950" s="112"/>
      <c r="H1950" s="112"/>
      <c r="Z1950" s="112"/>
      <c r="AA1950" s="112"/>
    </row>
    <row r="1951" spans="3:27" x14ac:dyDescent="0.25">
      <c r="C1951" s="112"/>
      <c r="D1951" s="112"/>
      <c r="E1951" s="113"/>
      <c r="F1951" s="113"/>
      <c r="G1951" s="112"/>
      <c r="H1951" s="112"/>
      <c r="Z1951" s="112"/>
      <c r="AA1951" s="112"/>
    </row>
    <row r="1952" spans="3:27" x14ac:dyDescent="0.25">
      <c r="C1952" s="112"/>
      <c r="D1952" s="112"/>
      <c r="E1952" s="113"/>
      <c r="F1952" s="113"/>
      <c r="G1952" s="112"/>
      <c r="H1952" s="112"/>
      <c r="Z1952" s="112"/>
      <c r="AA1952" s="112"/>
    </row>
    <row r="1953" spans="3:27" x14ac:dyDescent="0.25">
      <c r="C1953" s="112"/>
      <c r="D1953" s="112"/>
      <c r="E1953" s="113"/>
      <c r="F1953" s="113"/>
      <c r="G1953" s="112"/>
      <c r="H1953" s="112"/>
      <c r="Z1953" s="112"/>
      <c r="AA1953" s="112"/>
    </row>
    <row r="1954" spans="3:27" x14ac:dyDescent="0.25">
      <c r="C1954" s="112"/>
      <c r="D1954" s="112"/>
      <c r="E1954" s="113"/>
      <c r="F1954" s="113"/>
      <c r="G1954" s="112"/>
      <c r="H1954" s="112"/>
      <c r="Z1954" s="112"/>
      <c r="AA1954" s="112"/>
    </row>
    <row r="1955" spans="3:27" x14ac:dyDescent="0.25">
      <c r="C1955" s="112"/>
      <c r="D1955" s="112"/>
      <c r="E1955" s="113"/>
      <c r="F1955" s="113"/>
      <c r="G1955" s="112"/>
      <c r="H1955" s="112"/>
      <c r="Z1955" s="112"/>
      <c r="AA1955" s="112"/>
    </row>
    <row r="1956" spans="3:27" x14ac:dyDescent="0.25">
      <c r="C1956" s="112"/>
      <c r="D1956" s="112"/>
      <c r="E1956" s="113"/>
      <c r="F1956" s="113"/>
      <c r="G1956" s="112"/>
      <c r="H1956" s="112"/>
      <c r="Z1956" s="112"/>
      <c r="AA1956" s="112"/>
    </row>
    <row r="1957" spans="3:27" x14ac:dyDescent="0.25">
      <c r="C1957" s="112"/>
      <c r="D1957" s="112"/>
      <c r="E1957" s="113"/>
      <c r="F1957" s="113"/>
      <c r="G1957" s="112"/>
      <c r="H1957" s="112"/>
      <c r="Z1957" s="112"/>
      <c r="AA1957" s="112"/>
    </row>
    <row r="1958" spans="3:27" x14ac:dyDescent="0.25">
      <c r="C1958" s="112"/>
      <c r="D1958" s="112"/>
      <c r="E1958" s="113"/>
      <c r="F1958" s="113"/>
      <c r="G1958" s="112"/>
      <c r="H1958" s="112"/>
      <c r="Z1958" s="112"/>
      <c r="AA1958" s="112"/>
    </row>
    <row r="1959" spans="3:27" x14ac:dyDescent="0.25">
      <c r="C1959" s="112"/>
      <c r="D1959" s="112"/>
      <c r="E1959" s="113"/>
      <c r="F1959" s="113"/>
      <c r="G1959" s="112"/>
      <c r="H1959" s="112"/>
      <c r="Z1959" s="112"/>
      <c r="AA1959" s="112"/>
    </row>
    <row r="1960" spans="3:27" x14ac:dyDescent="0.25">
      <c r="C1960" s="112"/>
      <c r="D1960" s="112"/>
      <c r="E1960" s="113"/>
      <c r="F1960" s="113"/>
      <c r="G1960" s="112"/>
      <c r="H1960" s="112"/>
      <c r="Z1960" s="112"/>
      <c r="AA1960" s="112"/>
    </row>
    <row r="1961" spans="3:27" x14ac:dyDescent="0.25">
      <c r="C1961" s="112"/>
      <c r="D1961" s="112"/>
      <c r="E1961" s="113"/>
      <c r="F1961" s="113"/>
      <c r="G1961" s="112"/>
      <c r="H1961" s="112"/>
      <c r="Z1961" s="112"/>
      <c r="AA1961" s="112"/>
    </row>
    <row r="1962" spans="3:27" x14ac:dyDescent="0.25">
      <c r="C1962" s="112"/>
      <c r="D1962" s="112"/>
      <c r="E1962" s="113"/>
      <c r="F1962" s="113"/>
      <c r="G1962" s="112"/>
      <c r="H1962" s="112"/>
      <c r="Z1962" s="112"/>
      <c r="AA1962" s="112"/>
    </row>
    <row r="1963" spans="3:27" x14ac:dyDescent="0.25">
      <c r="C1963" s="112"/>
      <c r="D1963" s="112"/>
      <c r="E1963" s="113"/>
      <c r="F1963" s="113"/>
      <c r="G1963" s="112"/>
      <c r="H1963" s="112"/>
      <c r="Z1963" s="112"/>
      <c r="AA1963" s="112"/>
    </row>
    <row r="1964" spans="3:27" x14ac:dyDescent="0.25">
      <c r="C1964" s="112"/>
      <c r="D1964" s="112"/>
      <c r="E1964" s="113"/>
      <c r="F1964" s="113"/>
      <c r="G1964" s="112"/>
      <c r="H1964" s="112"/>
      <c r="Z1964" s="112"/>
      <c r="AA1964" s="112"/>
    </row>
    <row r="1965" spans="3:27" x14ac:dyDescent="0.25">
      <c r="C1965" s="112"/>
      <c r="D1965" s="112"/>
      <c r="E1965" s="113"/>
      <c r="F1965" s="113"/>
      <c r="G1965" s="112"/>
      <c r="H1965" s="112"/>
      <c r="Z1965" s="112"/>
      <c r="AA1965" s="112"/>
    </row>
    <row r="1966" spans="3:27" x14ac:dyDescent="0.25">
      <c r="C1966" s="112"/>
      <c r="D1966" s="112"/>
      <c r="E1966" s="113"/>
      <c r="F1966" s="113"/>
      <c r="G1966" s="112"/>
      <c r="H1966" s="112"/>
      <c r="Z1966" s="112"/>
      <c r="AA1966" s="112"/>
    </row>
    <row r="1967" spans="3:27" x14ac:dyDescent="0.25">
      <c r="C1967" s="112"/>
      <c r="D1967" s="112"/>
      <c r="E1967" s="113"/>
      <c r="F1967" s="113"/>
      <c r="G1967" s="112"/>
      <c r="H1967" s="112"/>
      <c r="Z1967" s="112"/>
      <c r="AA1967" s="112"/>
    </row>
    <row r="1968" spans="3:27" x14ac:dyDescent="0.25">
      <c r="C1968" s="112"/>
      <c r="D1968" s="112"/>
      <c r="E1968" s="113"/>
      <c r="F1968" s="113"/>
      <c r="G1968" s="112"/>
      <c r="H1968" s="112"/>
      <c r="Z1968" s="112"/>
      <c r="AA1968" s="112"/>
    </row>
    <row r="1969" spans="3:27" x14ac:dyDescent="0.25">
      <c r="C1969" s="112"/>
      <c r="D1969" s="112"/>
      <c r="E1969" s="113"/>
      <c r="F1969" s="113"/>
      <c r="G1969" s="112"/>
      <c r="H1969" s="112"/>
      <c r="Z1969" s="112"/>
      <c r="AA1969" s="112"/>
    </row>
    <row r="1970" spans="3:27" x14ac:dyDescent="0.25">
      <c r="C1970" s="112"/>
      <c r="D1970" s="112"/>
      <c r="E1970" s="113"/>
      <c r="F1970" s="113"/>
      <c r="G1970" s="112"/>
      <c r="H1970" s="112"/>
      <c r="Z1970" s="112"/>
      <c r="AA1970" s="112"/>
    </row>
    <row r="1971" spans="3:27" x14ac:dyDescent="0.25">
      <c r="C1971" s="112"/>
      <c r="D1971" s="112"/>
      <c r="E1971" s="113"/>
      <c r="F1971" s="113"/>
      <c r="G1971" s="112"/>
      <c r="H1971" s="112"/>
      <c r="Z1971" s="112"/>
      <c r="AA1971" s="112"/>
    </row>
    <row r="1972" spans="3:27" x14ac:dyDescent="0.25">
      <c r="C1972" s="112"/>
      <c r="D1972" s="112"/>
      <c r="E1972" s="113"/>
      <c r="F1972" s="113"/>
      <c r="G1972" s="112"/>
      <c r="H1972" s="112"/>
      <c r="Z1972" s="112"/>
      <c r="AA1972" s="112"/>
    </row>
    <row r="1973" spans="3:27" x14ac:dyDescent="0.25">
      <c r="C1973" s="112"/>
      <c r="D1973" s="112"/>
      <c r="E1973" s="113"/>
      <c r="F1973" s="113"/>
      <c r="G1973" s="112"/>
      <c r="H1973" s="112"/>
      <c r="Z1973" s="112"/>
      <c r="AA1973" s="112"/>
    </row>
    <row r="1974" spans="3:27" x14ac:dyDescent="0.25">
      <c r="C1974" s="112"/>
      <c r="D1974" s="112"/>
      <c r="E1974" s="113"/>
      <c r="F1974" s="113"/>
      <c r="G1974" s="112"/>
      <c r="H1974" s="112"/>
      <c r="Z1974" s="112"/>
      <c r="AA1974" s="112"/>
    </row>
    <row r="1975" spans="3:27" x14ac:dyDescent="0.25">
      <c r="C1975" s="112"/>
      <c r="D1975" s="112"/>
      <c r="E1975" s="113"/>
      <c r="F1975" s="113"/>
      <c r="G1975" s="112"/>
      <c r="H1975" s="112"/>
      <c r="Z1975" s="112"/>
      <c r="AA1975" s="112"/>
    </row>
    <row r="1976" spans="3:27" x14ac:dyDescent="0.25">
      <c r="C1976" s="112"/>
      <c r="D1976" s="112"/>
      <c r="E1976" s="113"/>
      <c r="F1976" s="113"/>
      <c r="G1976" s="112"/>
      <c r="H1976" s="112"/>
      <c r="Z1976" s="112"/>
      <c r="AA1976" s="112"/>
    </row>
    <row r="1977" spans="3:27" x14ac:dyDescent="0.25">
      <c r="C1977" s="112"/>
      <c r="D1977" s="112"/>
      <c r="E1977" s="113"/>
      <c r="F1977" s="113"/>
      <c r="G1977" s="112"/>
      <c r="H1977" s="112"/>
      <c r="Z1977" s="112"/>
      <c r="AA1977" s="112"/>
    </row>
    <row r="1978" spans="3:27" x14ac:dyDescent="0.25">
      <c r="C1978" s="112"/>
      <c r="D1978" s="112"/>
      <c r="E1978" s="113"/>
      <c r="F1978" s="113"/>
      <c r="G1978" s="112"/>
      <c r="H1978" s="112"/>
      <c r="Z1978" s="112"/>
      <c r="AA1978" s="112"/>
    </row>
    <row r="1979" spans="3:27" x14ac:dyDescent="0.25">
      <c r="C1979" s="112"/>
      <c r="D1979" s="112"/>
      <c r="E1979" s="113"/>
      <c r="F1979" s="113"/>
      <c r="G1979" s="112"/>
      <c r="H1979" s="112"/>
      <c r="Z1979" s="112"/>
      <c r="AA1979" s="112"/>
    </row>
    <row r="1980" spans="3:27" x14ac:dyDescent="0.25">
      <c r="C1980" s="112"/>
      <c r="D1980" s="112"/>
      <c r="E1980" s="113"/>
      <c r="F1980" s="113"/>
      <c r="G1980" s="112"/>
      <c r="H1980" s="112"/>
      <c r="Z1980" s="112"/>
      <c r="AA1980" s="112"/>
    </row>
    <row r="1981" spans="3:27" x14ac:dyDescent="0.25">
      <c r="C1981" s="112"/>
      <c r="D1981" s="112"/>
      <c r="E1981" s="113"/>
      <c r="F1981" s="113"/>
      <c r="G1981" s="112"/>
      <c r="H1981" s="112"/>
      <c r="Z1981" s="112"/>
      <c r="AA1981" s="112"/>
    </row>
    <row r="1982" spans="3:27" x14ac:dyDescent="0.25">
      <c r="C1982" s="112"/>
      <c r="D1982" s="112"/>
      <c r="E1982" s="113"/>
      <c r="F1982" s="113"/>
      <c r="G1982" s="112"/>
      <c r="H1982" s="112"/>
      <c r="Z1982" s="112"/>
      <c r="AA1982" s="112"/>
    </row>
    <row r="1983" spans="3:27" x14ac:dyDescent="0.25">
      <c r="C1983" s="112"/>
      <c r="D1983" s="112"/>
      <c r="E1983" s="113"/>
      <c r="F1983" s="113"/>
      <c r="G1983" s="112"/>
      <c r="H1983" s="112"/>
      <c r="Z1983" s="112"/>
      <c r="AA1983" s="112"/>
    </row>
    <row r="1984" spans="3:27" x14ac:dyDescent="0.25">
      <c r="C1984" s="112"/>
      <c r="D1984" s="112"/>
      <c r="E1984" s="113"/>
      <c r="F1984" s="113"/>
      <c r="G1984" s="112"/>
      <c r="H1984" s="112"/>
      <c r="Z1984" s="112"/>
      <c r="AA1984" s="112"/>
    </row>
    <row r="1985" spans="3:27" x14ac:dyDescent="0.25">
      <c r="C1985" s="112"/>
      <c r="D1985" s="112"/>
      <c r="E1985" s="113"/>
      <c r="F1985" s="113"/>
      <c r="G1985" s="112"/>
      <c r="H1985" s="112"/>
      <c r="Z1985" s="112"/>
      <c r="AA1985" s="112"/>
    </row>
    <row r="1986" spans="3:27" x14ac:dyDescent="0.25">
      <c r="C1986" s="112"/>
      <c r="D1986" s="112"/>
      <c r="E1986" s="113"/>
      <c r="F1986" s="113"/>
      <c r="G1986" s="112"/>
      <c r="H1986" s="112"/>
      <c r="Z1986" s="112"/>
      <c r="AA1986" s="112"/>
    </row>
    <row r="1987" spans="3:27" x14ac:dyDescent="0.25">
      <c r="C1987" s="112"/>
      <c r="D1987" s="112"/>
      <c r="E1987" s="113"/>
      <c r="F1987" s="113"/>
      <c r="G1987" s="112"/>
      <c r="H1987" s="112"/>
      <c r="Z1987" s="112"/>
      <c r="AA1987" s="112"/>
    </row>
    <row r="1988" spans="3:27" x14ac:dyDescent="0.25">
      <c r="C1988" s="112"/>
      <c r="D1988" s="112"/>
      <c r="E1988" s="113"/>
      <c r="F1988" s="113"/>
      <c r="G1988" s="112"/>
      <c r="H1988" s="112"/>
      <c r="Z1988" s="112"/>
      <c r="AA1988" s="112"/>
    </row>
    <row r="1989" spans="3:27" x14ac:dyDescent="0.25">
      <c r="C1989" s="112"/>
      <c r="D1989" s="112"/>
      <c r="E1989" s="113"/>
      <c r="F1989" s="113"/>
      <c r="G1989" s="112"/>
      <c r="H1989" s="112"/>
      <c r="Z1989" s="112"/>
      <c r="AA1989" s="112"/>
    </row>
    <row r="1990" spans="3:27" x14ac:dyDescent="0.25">
      <c r="C1990" s="112"/>
      <c r="D1990" s="112"/>
      <c r="E1990" s="113"/>
      <c r="F1990" s="113"/>
      <c r="G1990" s="112"/>
      <c r="H1990" s="112"/>
      <c r="Z1990" s="112"/>
      <c r="AA1990" s="112"/>
    </row>
    <row r="1991" spans="3:27" x14ac:dyDescent="0.25">
      <c r="C1991" s="112"/>
      <c r="D1991" s="112"/>
      <c r="E1991" s="113"/>
      <c r="F1991" s="113"/>
      <c r="G1991" s="112"/>
      <c r="H1991" s="112"/>
      <c r="Z1991" s="112"/>
      <c r="AA1991" s="112"/>
    </row>
    <row r="1992" spans="3:27" x14ac:dyDescent="0.25">
      <c r="C1992" s="112"/>
      <c r="D1992" s="112"/>
      <c r="E1992" s="113"/>
      <c r="F1992" s="113"/>
      <c r="G1992" s="112"/>
      <c r="H1992" s="112"/>
      <c r="Z1992" s="112"/>
      <c r="AA1992" s="112"/>
    </row>
    <row r="1993" spans="3:27" x14ac:dyDescent="0.25">
      <c r="C1993" s="112"/>
      <c r="D1993" s="112"/>
      <c r="E1993" s="113"/>
      <c r="F1993" s="113"/>
      <c r="G1993" s="112"/>
      <c r="H1993" s="112"/>
      <c r="Z1993" s="112"/>
      <c r="AA1993" s="112"/>
    </row>
    <row r="1994" spans="3:27" x14ac:dyDescent="0.25">
      <c r="C1994" s="112"/>
      <c r="D1994" s="112"/>
      <c r="E1994" s="113"/>
      <c r="F1994" s="113"/>
      <c r="G1994" s="112"/>
      <c r="H1994" s="112"/>
      <c r="Z1994" s="112"/>
      <c r="AA1994" s="112"/>
    </row>
    <row r="1995" spans="3:27" x14ac:dyDescent="0.25">
      <c r="C1995" s="112"/>
      <c r="D1995" s="112"/>
      <c r="E1995" s="113"/>
      <c r="F1995" s="113"/>
      <c r="G1995" s="112"/>
      <c r="H1995" s="112"/>
      <c r="Z1995" s="112"/>
      <c r="AA1995" s="112"/>
    </row>
    <row r="1996" spans="3:27" x14ac:dyDescent="0.25">
      <c r="C1996" s="112"/>
      <c r="D1996" s="112"/>
      <c r="E1996" s="113"/>
      <c r="F1996" s="113"/>
      <c r="G1996" s="112"/>
      <c r="H1996" s="112"/>
      <c r="Z1996" s="112"/>
      <c r="AA1996" s="112"/>
    </row>
    <row r="1997" spans="3:27" x14ac:dyDescent="0.25">
      <c r="C1997" s="112"/>
      <c r="D1997" s="112"/>
      <c r="E1997" s="113"/>
      <c r="F1997" s="113"/>
      <c r="G1997" s="112"/>
      <c r="H1997" s="112"/>
      <c r="Z1997" s="112"/>
      <c r="AA1997" s="112"/>
    </row>
    <row r="1998" spans="3:27" x14ac:dyDescent="0.25">
      <c r="C1998" s="112"/>
      <c r="D1998" s="112"/>
      <c r="E1998" s="113"/>
      <c r="F1998" s="113"/>
      <c r="G1998" s="112"/>
      <c r="H1998" s="112"/>
      <c r="Z1998" s="112"/>
      <c r="AA1998" s="112"/>
    </row>
    <row r="1999" spans="3:27" x14ac:dyDescent="0.25">
      <c r="C1999" s="112"/>
      <c r="D1999" s="112"/>
      <c r="E1999" s="113"/>
      <c r="F1999" s="113"/>
      <c r="G1999" s="112"/>
      <c r="H1999" s="112"/>
      <c r="Z1999" s="112"/>
      <c r="AA1999" s="112"/>
    </row>
    <row r="2000" spans="3:27" x14ac:dyDescent="0.25">
      <c r="C2000" s="112"/>
      <c r="D2000" s="112"/>
      <c r="E2000" s="113"/>
      <c r="F2000" s="113"/>
      <c r="G2000" s="112"/>
      <c r="H2000" s="112"/>
      <c r="Z2000" s="112"/>
      <c r="AA2000" s="112"/>
    </row>
    <row r="2001" spans="3:27" x14ac:dyDescent="0.25">
      <c r="C2001" s="112"/>
      <c r="D2001" s="112"/>
      <c r="E2001" s="113"/>
      <c r="F2001" s="113"/>
      <c r="G2001" s="112"/>
      <c r="H2001" s="112"/>
      <c r="Z2001" s="112"/>
      <c r="AA2001" s="112"/>
    </row>
    <row r="2002" spans="3:27" x14ac:dyDescent="0.25">
      <c r="C2002" s="112"/>
      <c r="D2002" s="112"/>
      <c r="E2002" s="113"/>
      <c r="F2002" s="113"/>
      <c r="G2002" s="112"/>
      <c r="H2002" s="112"/>
      <c r="Z2002" s="112"/>
      <c r="AA2002" s="112"/>
    </row>
    <row r="2003" spans="3:27" x14ac:dyDescent="0.25">
      <c r="C2003" s="112"/>
      <c r="D2003" s="112"/>
      <c r="E2003" s="113"/>
      <c r="F2003" s="113"/>
      <c r="G2003" s="112"/>
      <c r="H2003" s="112"/>
      <c r="Z2003" s="112"/>
      <c r="AA2003" s="112"/>
    </row>
    <row r="2004" spans="3:27" x14ac:dyDescent="0.25">
      <c r="C2004" s="112"/>
      <c r="D2004" s="112"/>
      <c r="E2004" s="113"/>
      <c r="F2004" s="113"/>
      <c r="G2004" s="112"/>
      <c r="H2004" s="112"/>
      <c r="Z2004" s="112"/>
      <c r="AA2004" s="112"/>
    </row>
    <row r="2005" spans="3:27" x14ac:dyDescent="0.25">
      <c r="C2005" s="112"/>
      <c r="D2005" s="112"/>
      <c r="E2005" s="113"/>
      <c r="F2005" s="113"/>
      <c r="G2005" s="112"/>
      <c r="H2005" s="112"/>
      <c r="Z2005" s="112"/>
      <c r="AA2005" s="112"/>
    </row>
    <row r="2006" spans="3:27" x14ac:dyDescent="0.25">
      <c r="C2006" s="112"/>
      <c r="D2006" s="112"/>
      <c r="E2006" s="113"/>
      <c r="F2006" s="113"/>
      <c r="G2006" s="112"/>
      <c r="H2006" s="112"/>
      <c r="Z2006" s="112"/>
      <c r="AA2006" s="112"/>
    </row>
    <row r="2007" spans="3:27" x14ac:dyDescent="0.25">
      <c r="C2007" s="112"/>
      <c r="D2007" s="112"/>
      <c r="E2007" s="113"/>
      <c r="F2007" s="113"/>
      <c r="G2007" s="112"/>
      <c r="H2007" s="112"/>
      <c r="Z2007" s="112"/>
      <c r="AA2007" s="112"/>
    </row>
    <row r="2008" spans="3:27" x14ac:dyDescent="0.25">
      <c r="C2008" s="112"/>
      <c r="D2008" s="112"/>
      <c r="E2008" s="113"/>
      <c r="F2008" s="113"/>
      <c r="G2008" s="112"/>
      <c r="H2008" s="112"/>
      <c r="Z2008" s="112"/>
      <c r="AA2008" s="112"/>
    </row>
    <row r="2009" spans="3:27" x14ac:dyDescent="0.25">
      <c r="C2009" s="112"/>
      <c r="D2009" s="112"/>
      <c r="E2009" s="113"/>
      <c r="F2009" s="113"/>
      <c r="G2009" s="112"/>
      <c r="H2009" s="112"/>
      <c r="Z2009" s="112"/>
      <c r="AA2009" s="112"/>
    </row>
    <row r="2010" spans="3:27" x14ac:dyDescent="0.25">
      <c r="C2010" s="112"/>
      <c r="D2010" s="112"/>
      <c r="E2010" s="113"/>
      <c r="F2010" s="113"/>
      <c r="G2010" s="112"/>
      <c r="H2010" s="112"/>
      <c r="Z2010" s="112"/>
      <c r="AA2010" s="112"/>
    </row>
    <row r="2011" spans="3:27" x14ac:dyDescent="0.25">
      <c r="C2011" s="112"/>
      <c r="D2011" s="112"/>
      <c r="E2011" s="113"/>
      <c r="F2011" s="113"/>
      <c r="G2011" s="112"/>
      <c r="H2011" s="112"/>
      <c r="Z2011" s="112"/>
      <c r="AA2011" s="112"/>
    </row>
    <row r="2012" spans="3:27" x14ac:dyDescent="0.25">
      <c r="C2012" s="112"/>
      <c r="D2012" s="112"/>
      <c r="E2012" s="113"/>
      <c r="F2012" s="113"/>
      <c r="G2012" s="112"/>
      <c r="H2012" s="112"/>
      <c r="Z2012" s="112"/>
      <c r="AA2012" s="112"/>
    </row>
    <row r="2013" spans="3:27" x14ac:dyDescent="0.25">
      <c r="C2013" s="112"/>
      <c r="D2013" s="112"/>
      <c r="E2013" s="113"/>
      <c r="F2013" s="113"/>
      <c r="G2013" s="112"/>
      <c r="H2013" s="112"/>
      <c r="Z2013" s="112"/>
      <c r="AA2013" s="112"/>
    </row>
    <row r="2014" spans="3:27" x14ac:dyDescent="0.25">
      <c r="C2014" s="112"/>
      <c r="D2014" s="112"/>
      <c r="E2014" s="113"/>
      <c r="F2014" s="113"/>
      <c r="G2014" s="112"/>
      <c r="H2014" s="112"/>
      <c r="Z2014" s="112"/>
      <c r="AA2014" s="112"/>
    </row>
    <row r="2015" spans="3:27" x14ac:dyDescent="0.25">
      <c r="C2015" s="112"/>
      <c r="D2015" s="112"/>
      <c r="E2015" s="113"/>
      <c r="F2015" s="113"/>
      <c r="G2015" s="112"/>
      <c r="H2015" s="112"/>
      <c r="Z2015" s="112"/>
      <c r="AA2015" s="112"/>
    </row>
    <row r="2016" spans="3:27" x14ac:dyDescent="0.25">
      <c r="C2016" s="112"/>
      <c r="D2016" s="112"/>
      <c r="E2016" s="113"/>
      <c r="F2016" s="113"/>
      <c r="G2016" s="112"/>
      <c r="H2016" s="112"/>
      <c r="Z2016" s="112"/>
      <c r="AA2016" s="112"/>
    </row>
    <row r="2017" spans="3:27" x14ac:dyDescent="0.25">
      <c r="C2017" s="112"/>
      <c r="D2017" s="112"/>
      <c r="E2017" s="113"/>
      <c r="F2017" s="113"/>
      <c r="G2017" s="112"/>
      <c r="H2017" s="112"/>
      <c r="Z2017" s="112"/>
      <c r="AA2017" s="112"/>
    </row>
    <row r="2018" spans="3:27" x14ac:dyDescent="0.25">
      <c r="C2018" s="112"/>
      <c r="D2018" s="112"/>
      <c r="E2018" s="113"/>
      <c r="F2018" s="113"/>
      <c r="G2018" s="112"/>
      <c r="H2018" s="112"/>
      <c r="Z2018" s="112"/>
      <c r="AA2018" s="112"/>
    </row>
    <row r="2019" spans="3:27" x14ac:dyDescent="0.25">
      <c r="C2019" s="112"/>
      <c r="D2019" s="112"/>
      <c r="E2019" s="113"/>
      <c r="F2019" s="113"/>
      <c r="G2019" s="112"/>
      <c r="H2019" s="112"/>
      <c r="Z2019" s="112"/>
      <c r="AA2019" s="112"/>
    </row>
    <row r="2020" spans="3:27" x14ac:dyDescent="0.25">
      <c r="C2020" s="112"/>
      <c r="D2020" s="112"/>
      <c r="E2020" s="113"/>
      <c r="F2020" s="113"/>
      <c r="G2020" s="112"/>
      <c r="H2020" s="112"/>
      <c r="Z2020" s="112"/>
      <c r="AA2020" s="112"/>
    </row>
    <row r="2021" spans="3:27" x14ac:dyDescent="0.25">
      <c r="C2021" s="112"/>
      <c r="D2021" s="112"/>
      <c r="E2021" s="113"/>
      <c r="F2021" s="113"/>
      <c r="G2021" s="112"/>
      <c r="H2021" s="112"/>
      <c r="Z2021" s="112"/>
      <c r="AA2021" s="112"/>
    </row>
    <row r="2022" spans="3:27" x14ac:dyDescent="0.25">
      <c r="C2022" s="112"/>
      <c r="D2022" s="112"/>
      <c r="E2022" s="113"/>
      <c r="F2022" s="113"/>
      <c r="G2022" s="112"/>
      <c r="H2022" s="112"/>
      <c r="Z2022" s="112"/>
      <c r="AA2022" s="112"/>
    </row>
    <row r="2023" spans="3:27" x14ac:dyDescent="0.25">
      <c r="C2023" s="112"/>
      <c r="D2023" s="112"/>
      <c r="E2023" s="113"/>
      <c r="F2023" s="113"/>
      <c r="G2023" s="112"/>
      <c r="H2023" s="112"/>
      <c r="Z2023" s="112"/>
      <c r="AA2023" s="112"/>
    </row>
    <row r="2024" spans="3:27" x14ac:dyDescent="0.25">
      <c r="C2024" s="112"/>
      <c r="D2024" s="112"/>
      <c r="E2024" s="113"/>
      <c r="F2024" s="113"/>
      <c r="G2024" s="112"/>
      <c r="H2024" s="112"/>
      <c r="Z2024" s="112"/>
      <c r="AA2024" s="112"/>
    </row>
    <row r="2025" spans="3:27" x14ac:dyDescent="0.25">
      <c r="C2025" s="112"/>
      <c r="D2025" s="112"/>
      <c r="E2025" s="113"/>
      <c r="F2025" s="113"/>
      <c r="G2025" s="112"/>
      <c r="H2025" s="112"/>
      <c r="Z2025" s="112"/>
      <c r="AA2025" s="112"/>
    </row>
    <row r="2026" spans="3:27" x14ac:dyDescent="0.25">
      <c r="C2026" s="112"/>
      <c r="D2026" s="112"/>
      <c r="E2026" s="113"/>
      <c r="F2026" s="113"/>
      <c r="G2026" s="112"/>
      <c r="H2026" s="112"/>
      <c r="Z2026" s="112"/>
      <c r="AA2026" s="112"/>
    </row>
    <row r="2027" spans="3:27" x14ac:dyDescent="0.25">
      <c r="C2027" s="112"/>
      <c r="D2027" s="112"/>
      <c r="E2027" s="113"/>
      <c r="F2027" s="113"/>
      <c r="G2027" s="112"/>
      <c r="H2027" s="112"/>
      <c r="Z2027" s="112"/>
      <c r="AA2027" s="112"/>
    </row>
    <row r="2028" spans="3:27" x14ac:dyDescent="0.25">
      <c r="C2028" s="112"/>
      <c r="D2028" s="112"/>
      <c r="E2028" s="113"/>
      <c r="F2028" s="113"/>
      <c r="G2028" s="112"/>
      <c r="H2028" s="112"/>
      <c r="Z2028" s="112"/>
      <c r="AA2028" s="112"/>
    </row>
    <row r="2029" spans="3:27" x14ac:dyDescent="0.25">
      <c r="C2029" s="112"/>
      <c r="D2029" s="112"/>
      <c r="E2029" s="113"/>
      <c r="F2029" s="113"/>
      <c r="G2029" s="112"/>
      <c r="H2029" s="112"/>
      <c r="Z2029" s="112"/>
      <c r="AA2029" s="112"/>
    </row>
    <row r="2030" spans="3:27" x14ac:dyDescent="0.25">
      <c r="C2030" s="112"/>
      <c r="D2030" s="112"/>
      <c r="E2030" s="113"/>
      <c r="F2030" s="113"/>
      <c r="G2030" s="112"/>
      <c r="H2030" s="112"/>
      <c r="Z2030" s="112"/>
      <c r="AA2030" s="112"/>
    </row>
    <row r="2031" spans="3:27" x14ac:dyDescent="0.25">
      <c r="C2031" s="112"/>
      <c r="D2031" s="112"/>
      <c r="E2031" s="113"/>
      <c r="F2031" s="113"/>
      <c r="G2031" s="112"/>
      <c r="H2031" s="112"/>
      <c r="Z2031" s="112"/>
      <c r="AA2031" s="112"/>
    </row>
    <row r="2032" spans="3:27" x14ac:dyDescent="0.25">
      <c r="C2032" s="112"/>
      <c r="D2032" s="112"/>
      <c r="E2032" s="113"/>
      <c r="F2032" s="113"/>
      <c r="G2032" s="112"/>
      <c r="H2032" s="112"/>
      <c r="Z2032" s="112"/>
      <c r="AA2032" s="112"/>
    </row>
    <row r="2033" spans="3:27" x14ac:dyDescent="0.25">
      <c r="C2033" s="112"/>
      <c r="D2033" s="112"/>
      <c r="E2033" s="113"/>
      <c r="F2033" s="113"/>
      <c r="G2033" s="112"/>
      <c r="H2033" s="112"/>
      <c r="Z2033" s="112"/>
      <c r="AA2033" s="112"/>
    </row>
    <row r="2034" spans="3:27" x14ac:dyDescent="0.25">
      <c r="C2034" s="112"/>
      <c r="D2034" s="112"/>
      <c r="E2034" s="113"/>
      <c r="F2034" s="113"/>
      <c r="G2034" s="112"/>
      <c r="H2034" s="112"/>
      <c r="Z2034" s="112"/>
      <c r="AA2034" s="112"/>
    </row>
    <row r="2035" spans="3:27" x14ac:dyDescent="0.25">
      <c r="C2035" s="112"/>
      <c r="D2035" s="112"/>
      <c r="E2035" s="113"/>
      <c r="F2035" s="113"/>
      <c r="G2035" s="112"/>
      <c r="H2035" s="112"/>
      <c r="Z2035" s="112"/>
      <c r="AA2035" s="112"/>
    </row>
    <row r="2036" spans="3:27" x14ac:dyDescent="0.25">
      <c r="C2036" s="112"/>
      <c r="D2036" s="112"/>
      <c r="E2036" s="113"/>
      <c r="F2036" s="113"/>
      <c r="G2036" s="112"/>
      <c r="H2036" s="112"/>
      <c r="Z2036" s="112"/>
      <c r="AA2036" s="112"/>
    </row>
    <row r="2037" spans="3:27" x14ac:dyDescent="0.25">
      <c r="C2037" s="112"/>
      <c r="D2037" s="112"/>
      <c r="E2037" s="113"/>
      <c r="F2037" s="113"/>
      <c r="G2037" s="112"/>
      <c r="H2037" s="112"/>
      <c r="Z2037" s="112"/>
      <c r="AA2037" s="112"/>
    </row>
    <row r="2038" spans="3:27" x14ac:dyDescent="0.25">
      <c r="C2038" s="112"/>
      <c r="D2038" s="112"/>
      <c r="E2038" s="113"/>
      <c r="F2038" s="113"/>
      <c r="G2038" s="112"/>
      <c r="H2038" s="112"/>
      <c r="Z2038" s="112"/>
      <c r="AA2038" s="112"/>
    </row>
    <row r="2039" spans="3:27" x14ac:dyDescent="0.25">
      <c r="C2039" s="112"/>
      <c r="D2039" s="112"/>
      <c r="E2039" s="113"/>
      <c r="F2039" s="113"/>
      <c r="G2039" s="112"/>
      <c r="H2039" s="112"/>
      <c r="Z2039" s="112"/>
      <c r="AA2039" s="112"/>
    </row>
    <row r="2040" spans="3:27" x14ac:dyDescent="0.25">
      <c r="C2040" s="112"/>
      <c r="D2040" s="112"/>
      <c r="E2040" s="113"/>
      <c r="F2040" s="113"/>
      <c r="G2040" s="112"/>
      <c r="H2040" s="112"/>
      <c r="Z2040" s="112"/>
      <c r="AA2040" s="112"/>
    </row>
    <row r="2041" spans="3:27" x14ac:dyDescent="0.25">
      <c r="C2041" s="112"/>
      <c r="D2041" s="112"/>
      <c r="E2041" s="113"/>
      <c r="F2041" s="113"/>
      <c r="G2041" s="112"/>
      <c r="H2041" s="112"/>
      <c r="Z2041" s="112"/>
      <c r="AA2041" s="112"/>
    </row>
    <row r="2042" spans="3:27" x14ac:dyDescent="0.25">
      <c r="C2042" s="112"/>
      <c r="D2042" s="112"/>
      <c r="E2042" s="113"/>
      <c r="F2042" s="113"/>
      <c r="G2042" s="112"/>
      <c r="H2042" s="112"/>
      <c r="Z2042" s="112"/>
      <c r="AA2042" s="112"/>
    </row>
    <row r="2043" spans="3:27" x14ac:dyDescent="0.25">
      <c r="C2043" s="112"/>
      <c r="D2043" s="112"/>
      <c r="E2043" s="113"/>
      <c r="F2043" s="113"/>
      <c r="G2043" s="112"/>
      <c r="H2043" s="112"/>
      <c r="Z2043" s="112"/>
      <c r="AA2043" s="112"/>
    </row>
    <row r="2044" spans="3:27" x14ac:dyDescent="0.25">
      <c r="C2044" s="112"/>
      <c r="D2044" s="112"/>
      <c r="E2044" s="113"/>
      <c r="F2044" s="113"/>
      <c r="G2044" s="112"/>
      <c r="H2044" s="112"/>
      <c r="Z2044" s="112"/>
      <c r="AA2044" s="112"/>
    </row>
    <row r="2045" spans="3:27" x14ac:dyDescent="0.25">
      <c r="C2045" s="112"/>
      <c r="D2045" s="112"/>
      <c r="E2045" s="113"/>
      <c r="F2045" s="113"/>
      <c r="G2045" s="112"/>
      <c r="H2045" s="112"/>
      <c r="Z2045" s="112"/>
      <c r="AA2045" s="112"/>
    </row>
    <row r="2046" spans="3:27" x14ac:dyDescent="0.25">
      <c r="C2046" s="112"/>
      <c r="D2046" s="112"/>
      <c r="E2046" s="113"/>
      <c r="F2046" s="113"/>
      <c r="G2046" s="112"/>
      <c r="H2046" s="112"/>
      <c r="Z2046" s="112"/>
      <c r="AA2046" s="112"/>
    </row>
    <row r="2047" spans="3:27" x14ac:dyDescent="0.25">
      <c r="C2047" s="112"/>
      <c r="D2047" s="112"/>
      <c r="E2047" s="113"/>
      <c r="F2047" s="113"/>
      <c r="G2047" s="112"/>
      <c r="H2047" s="112"/>
      <c r="Z2047" s="112"/>
      <c r="AA2047" s="112"/>
    </row>
    <row r="2048" spans="3:27" x14ac:dyDescent="0.25">
      <c r="C2048" s="112"/>
      <c r="D2048" s="112"/>
      <c r="E2048" s="113"/>
      <c r="F2048" s="113"/>
      <c r="G2048" s="112"/>
      <c r="H2048" s="112"/>
      <c r="Z2048" s="112"/>
      <c r="AA2048" s="112"/>
    </row>
    <row r="2049" spans="3:27" x14ac:dyDescent="0.25">
      <c r="C2049" s="112"/>
      <c r="D2049" s="112"/>
      <c r="E2049" s="113"/>
      <c r="F2049" s="113"/>
      <c r="G2049" s="112"/>
      <c r="H2049" s="112"/>
      <c r="Z2049" s="112"/>
      <c r="AA2049" s="112"/>
    </row>
    <row r="2050" spans="3:27" x14ac:dyDescent="0.25">
      <c r="C2050" s="112"/>
      <c r="D2050" s="112"/>
      <c r="E2050" s="113"/>
      <c r="F2050" s="113"/>
      <c r="G2050" s="112"/>
      <c r="H2050" s="112"/>
      <c r="Z2050" s="112"/>
      <c r="AA2050" s="112"/>
    </row>
    <row r="2051" spans="3:27" x14ac:dyDescent="0.25">
      <c r="C2051" s="112"/>
      <c r="D2051" s="112"/>
      <c r="E2051" s="113"/>
      <c r="F2051" s="113"/>
      <c r="G2051" s="112"/>
      <c r="H2051" s="112"/>
      <c r="Z2051" s="112"/>
      <c r="AA2051" s="112"/>
    </row>
    <row r="2052" spans="3:27" x14ac:dyDescent="0.25">
      <c r="C2052" s="112"/>
      <c r="D2052" s="112"/>
      <c r="E2052" s="113"/>
      <c r="F2052" s="113"/>
      <c r="G2052" s="112"/>
      <c r="H2052" s="112"/>
      <c r="Z2052" s="112"/>
      <c r="AA2052" s="112"/>
    </row>
    <row r="2053" spans="3:27" x14ac:dyDescent="0.25">
      <c r="C2053" s="112"/>
      <c r="D2053" s="112"/>
      <c r="E2053" s="113"/>
      <c r="F2053" s="113"/>
      <c r="G2053" s="112"/>
      <c r="H2053" s="112"/>
      <c r="Z2053" s="112"/>
      <c r="AA2053" s="112"/>
    </row>
    <row r="2054" spans="3:27" x14ac:dyDescent="0.25">
      <c r="C2054" s="112"/>
      <c r="D2054" s="112"/>
      <c r="E2054" s="113"/>
      <c r="F2054" s="113"/>
      <c r="G2054" s="112"/>
      <c r="H2054" s="112"/>
      <c r="Z2054" s="112"/>
      <c r="AA2054" s="112"/>
    </row>
    <row r="2055" spans="3:27" x14ac:dyDescent="0.25">
      <c r="C2055" s="112"/>
      <c r="D2055" s="112"/>
      <c r="E2055" s="113"/>
      <c r="F2055" s="113"/>
      <c r="G2055" s="112"/>
      <c r="H2055" s="112"/>
      <c r="Z2055" s="112"/>
      <c r="AA2055" s="112"/>
    </row>
    <row r="2056" spans="3:27" x14ac:dyDescent="0.25">
      <c r="C2056" s="112"/>
      <c r="D2056" s="112"/>
      <c r="E2056" s="113"/>
      <c r="F2056" s="113"/>
      <c r="G2056" s="112"/>
      <c r="H2056" s="112"/>
      <c r="Z2056" s="112"/>
      <c r="AA2056" s="112"/>
    </row>
    <row r="2057" spans="3:27" x14ac:dyDescent="0.25">
      <c r="C2057" s="112"/>
      <c r="D2057" s="112"/>
      <c r="E2057" s="113"/>
      <c r="F2057" s="113"/>
      <c r="G2057" s="112"/>
      <c r="H2057" s="112"/>
      <c r="Z2057" s="112"/>
      <c r="AA2057" s="112"/>
    </row>
    <row r="2058" spans="3:27" x14ac:dyDescent="0.25">
      <c r="C2058" s="112"/>
      <c r="D2058" s="112"/>
      <c r="E2058" s="113"/>
      <c r="F2058" s="113"/>
      <c r="G2058" s="112"/>
      <c r="H2058" s="112"/>
      <c r="Z2058" s="112"/>
      <c r="AA2058" s="112"/>
    </row>
    <row r="2059" spans="3:27" x14ac:dyDescent="0.25">
      <c r="C2059" s="112"/>
      <c r="D2059" s="112"/>
      <c r="E2059" s="113"/>
      <c r="F2059" s="113"/>
      <c r="G2059" s="112"/>
      <c r="H2059" s="112"/>
      <c r="Z2059" s="112"/>
      <c r="AA2059" s="112"/>
    </row>
    <row r="2060" spans="3:27" x14ac:dyDescent="0.25">
      <c r="C2060" s="112"/>
      <c r="D2060" s="112"/>
      <c r="E2060" s="113"/>
      <c r="F2060" s="113"/>
      <c r="G2060" s="112"/>
      <c r="H2060" s="112"/>
      <c r="Z2060" s="112"/>
      <c r="AA2060" s="112"/>
    </row>
    <row r="2061" spans="3:27" x14ac:dyDescent="0.25">
      <c r="C2061" s="112"/>
      <c r="D2061" s="112"/>
      <c r="E2061" s="113"/>
      <c r="F2061" s="113"/>
      <c r="G2061" s="112"/>
      <c r="H2061" s="112"/>
      <c r="Z2061" s="112"/>
      <c r="AA2061" s="112"/>
    </row>
    <row r="2062" spans="3:27" x14ac:dyDescent="0.25">
      <c r="C2062" s="112"/>
      <c r="D2062" s="112"/>
      <c r="E2062" s="113"/>
      <c r="F2062" s="113"/>
      <c r="G2062" s="112"/>
      <c r="H2062" s="112"/>
      <c r="Z2062" s="112"/>
      <c r="AA2062" s="112"/>
    </row>
    <row r="2063" spans="3:27" x14ac:dyDescent="0.25">
      <c r="C2063" s="112"/>
      <c r="D2063" s="112"/>
      <c r="E2063" s="113"/>
      <c r="F2063" s="113"/>
      <c r="G2063" s="112"/>
      <c r="H2063" s="112"/>
      <c r="Z2063" s="112"/>
      <c r="AA2063" s="112"/>
    </row>
    <row r="2064" spans="3:27" x14ac:dyDescent="0.25">
      <c r="C2064" s="112"/>
      <c r="D2064" s="112"/>
      <c r="E2064" s="113"/>
      <c r="F2064" s="113"/>
      <c r="G2064" s="112"/>
      <c r="H2064" s="112"/>
      <c r="Z2064" s="112"/>
      <c r="AA2064" s="112"/>
    </row>
    <row r="2065" spans="3:27" x14ac:dyDescent="0.25">
      <c r="C2065" s="112"/>
      <c r="D2065" s="112"/>
      <c r="E2065" s="113"/>
      <c r="F2065" s="113"/>
      <c r="G2065" s="112"/>
      <c r="H2065" s="112"/>
      <c r="Z2065" s="112"/>
      <c r="AA2065" s="112"/>
    </row>
    <row r="2066" spans="3:27" x14ac:dyDescent="0.25">
      <c r="C2066" s="112"/>
      <c r="D2066" s="112"/>
      <c r="E2066" s="113"/>
      <c r="F2066" s="113"/>
      <c r="G2066" s="112"/>
      <c r="H2066" s="112"/>
      <c r="Z2066" s="112"/>
      <c r="AA2066" s="112"/>
    </row>
    <row r="2067" spans="3:27" x14ac:dyDescent="0.25">
      <c r="C2067" s="112"/>
      <c r="D2067" s="112"/>
      <c r="E2067" s="113"/>
      <c r="F2067" s="113"/>
      <c r="G2067" s="112"/>
      <c r="H2067" s="112"/>
      <c r="Z2067" s="112"/>
      <c r="AA2067" s="112"/>
    </row>
    <row r="2068" spans="3:27" x14ac:dyDescent="0.25">
      <c r="C2068" s="112"/>
      <c r="D2068" s="112"/>
      <c r="E2068" s="113"/>
      <c r="F2068" s="113"/>
      <c r="G2068" s="112"/>
      <c r="H2068" s="112"/>
      <c r="Z2068" s="112"/>
      <c r="AA2068" s="112"/>
    </row>
    <row r="2069" spans="3:27" x14ac:dyDescent="0.25">
      <c r="C2069" s="112"/>
      <c r="D2069" s="112"/>
      <c r="E2069" s="113"/>
      <c r="F2069" s="113"/>
      <c r="G2069" s="112"/>
      <c r="H2069" s="112"/>
      <c r="Z2069" s="112"/>
      <c r="AA2069" s="112"/>
    </row>
    <row r="2070" spans="3:27" x14ac:dyDescent="0.25">
      <c r="C2070" s="112"/>
      <c r="D2070" s="112"/>
      <c r="E2070" s="113"/>
      <c r="F2070" s="113"/>
      <c r="G2070" s="112"/>
      <c r="H2070" s="112"/>
      <c r="Z2070" s="112"/>
      <c r="AA2070" s="112"/>
    </row>
    <row r="2071" spans="3:27" x14ac:dyDescent="0.25">
      <c r="C2071" s="112"/>
      <c r="D2071" s="112"/>
      <c r="E2071" s="113"/>
      <c r="F2071" s="113"/>
      <c r="G2071" s="112"/>
      <c r="H2071" s="112"/>
      <c r="Z2071" s="112"/>
      <c r="AA2071" s="112"/>
    </row>
    <row r="2072" spans="3:27" x14ac:dyDescent="0.25">
      <c r="C2072" s="112"/>
      <c r="D2072" s="112"/>
      <c r="E2072" s="113"/>
      <c r="F2072" s="113"/>
      <c r="G2072" s="112"/>
      <c r="H2072" s="112"/>
      <c r="Z2072" s="112"/>
      <c r="AA2072" s="112"/>
    </row>
    <row r="2073" spans="3:27" x14ac:dyDescent="0.25">
      <c r="C2073" s="112"/>
      <c r="D2073" s="112"/>
      <c r="E2073" s="113"/>
      <c r="F2073" s="113"/>
      <c r="G2073" s="112"/>
      <c r="H2073" s="112"/>
      <c r="Z2073" s="112"/>
      <c r="AA2073" s="112"/>
    </row>
    <row r="2074" spans="3:27" x14ac:dyDescent="0.25">
      <c r="C2074" s="112"/>
      <c r="D2074" s="112"/>
      <c r="E2074" s="113"/>
      <c r="F2074" s="113"/>
      <c r="G2074" s="112"/>
      <c r="H2074" s="112"/>
      <c r="Z2074" s="112"/>
      <c r="AA2074" s="112"/>
    </row>
    <row r="2075" spans="3:27" x14ac:dyDescent="0.25">
      <c r="C2075" s="112"/>
      <c r="D2075" s="112"/>
      <c r="E2075" s="113"/>
      <c r="F2075" s="113"/>
      <c r="G2075" s="112"/>
      <c r="H2075" s="112"/>
      <c r="Z2075" s="112"/>
      <c r="AA2075" s="112"/>
    </row>
    <row r="2076" spans="3:27" x14ac:dyDescent="0.25">
      <c r="C2076" s="112"/>
      <c r="D2076" s="112"/>
      <c r="E2076" s="113"/>
      <c r="F2076" s="113"/>
      <c r="G2076" s="112"/>
      <c r="H2076" s="112"/>
      <c r="Z2076" s="112"/>
      <c r="AA2076" s="112"/>
    </row>
    <row r="2077" spans="3:27" x14ac:dyDescent="0.25">
      <c r="C2077" s="112"/>
      <c r="D2077" s="112"/>
      <c r="E2077" s="113"/>
      <c r="F2077" s="113"/>
      <c r="G2077" s="112"/>
      <c r="H2077" s="112"/>
      <c r="Z2077" s="112"/>
      <c r="AA2077" s="112"/>
    </row>
    <row r="2078" spans="3:27" x14ac:dyDescent="0.25">
      <c r="C2078" s="112"/>
      <c r="D2078" s="112"/>
      <c r="E2078" s="113"/>
      <c r="F2078" s="113"/>
      <c r="G2078" s="112"/>
      <c r="H2078" s="112"/>
      <c r="Z2078" s="112"/>
      <c r="AA2078" s="112"/>
    </row>
    <row r="2079" spans="3:27" x14ac:dyDescent="0.25">
      <c r="C2079" s="112"/>
      <c r="D2079" s="112"/>
      <c r="E2079" s="113"/>
      <c r="F2079" s="113"/>
      <c r="G2079" s="112"/>
      <c r="H2079" s="112"/>
      <c r="Z2079" s="112"/>
      <c r="AA2079" s="112"/>
    </row>
    <row r="2080" spans="3:27" x14ac:dyDescent="0.25">
      <c r="C2080" s="112"/>
      <c r="D2080" s="112"/>
      <c r="E2080" s="113"/>
      <c r="F2080" s="113"/>
      <c r="G2080" s="112"/>
      <c r="H2080" s="112"/>
      <c r="Z2080" s="112"/>
      <c r="AA2080" s="112"/>
    </row>
    <row r="2081" spans="3:27" x14ac:dyDescent="0.25">
      <c r="C2081" s="112"/>
      <c r="D2081" s="112"/>
      <c r="E2081" s="113"/>
      <c r="F2081" s="113"/>
      <c r="G2081" s="112"/>
      <c r="H2081" s="112"/>
      <c r="Z2081" s="112"/>
      <c r="AA2081" s="112"/>
    </row>
    <row r="2082" spans="3:27" x14ac:dyDescent="0.25">
      <c r="C2082" s="112"/>
      <c r="D2082" s="112"/>
      <c r="E2082" s="113"/>
      <c r="F2082" s="113"/>
      <c r="G2082" s="112"/>
      <c r="H2082" s="112"/>
      <c r="Z2082" s="112"/>
      <c r="AA2082" s="112"/>
    </row>
    <row r="2083" spans="3:27" x14ac:dyDescent="0.25">
      <c r="C2083" s="112"/>
      <c r="D2083" s="112"/>
      <c r="E2083" s="113"/>
      <c r="F2083" s="113"/>
      <c r="G2083" s="112"/>
      <c r="H2083" s="112"/>
      <c r="Z2083" s="112"/>
      <c r="AA2083" s="112"/>
    </row>
    <row r="2084" spans="3:27" x14ac:dyDescent="0.25">
      <c r="C2084" s="112"/>
      <c r="D2084" s="112"/>
      <c r="E2084" s="113"/>
      <c r="F2084" s="113"/>
      <c r="G2084" s="112"/>
      <c r="H2084" s="112"/>
      <c r="Z2084" s="112"/>
      <c r="AA2084" s="112"/>
    </row>
    <row r="2085" spans="3:27" x14ac:dyDescent="0.25">
      <c r="C2085" s="112"/>
      <c r="D2085" s="112"/>
      <c r="E2085" s="113"/>
      <c r="F2085" s="113"/>
      <c r="G2085" s="112"/>
      <c r="H2085" s="112"/>
      <c r="Z2085" s="112"/>
      <c r="AA2085" s="112"/>
    </row>
    <row r="2086" spans="3:27" x14ac:dyDescent="0.25">
      <c r="C2086" s="112"/>
      <c r="D2086" s="112"/>
      <c r="E2086" s="113"/>
      <c r="F2086" s="113"/>
      <c r="G2086" s="112"/>
      <c r="H2086" s="112"/>
      <c r="Z2086" s="112"/>
      <c r="AA2086" s="112"/>
    </row>
    <row r="2087" spans="3:27" x14ac:dyDescent="0.25">
      <c r="C2087" s="112"/>
      <c r="D2087" s="112"/>
      <c r="E2087" s="113"/>
      <c r="F2087" s="113"/>
      <c r="G2087" s="112"/>
      <c r="H2087" s="112"/>
      <c r="Z2087" s="112"/>
      <c r="AA2087" s="112"/>
    </row>
    <row r="2088" spans="3:27" x14ac:dyDescent="0.25">
      <c r="C2088" s="112"/>
      <c r="D2088" s="112"/>
      <c r="E2088" s="113"/>
      <c r="F2088" s="113"/>
      <c r="G2088" s="112"/>
      <c r="H2088" s="112"/>
      <c r="Z2088" s="112"/>
      <c r="AA2088" s="112"/>
    </row>
    <row r="2089" spans="3:27" x14ac:dyDescent="0.25">
      <c r="C2089" s="112"/>
      <c r="D2089" s="112"/>
      <c r="E2089" s="113"/>
      <c r="F2089" s="113"/>
      <c r="G2089" s="112"/>
      <c r="H2089" s="112"/>
      <c r="Z2089" s="112"/>
      <c r="AA2089" s="112"/>
    </row>
    <row r="2090" spans="3:27" x14ac:dyDescent="0.25">
      <c r="C2090" s="112"/>
      <c r="D2090" s="112"/>
      <c r="E2090" s="113"/>
      <c r="F2090" s="113"/>
      <c r="G2090" s="112"/>
      <c r="H2090" s="112"/>
      <c r="Z2090" s="112"/>
      <c r="AA2090" s="112"/>
    </row>
    <row r="2091" spans="3:27" x14ac:dyDescent="0.25">
      <c r="C2091" s="112"/>
      <c r="D2091" s="112"/>
      <c r="E2091" s="113"/>
      <c r="F2091" s="113"/>
      <c r="G2091" s="112"/>
      <c r="H2091" s="112"/>
      <c r="Z2091" s="112"/>
      <c r="AA2091" s="112"/>
    </row>
    <row r="2092" spans="3:27" x14ac:dyDescent="0.25">
      <c r="C2092" s="112"/>
      <c r="D2092" s="112"/>
      <c r="E2092" s="113"/>
      <c r="F2092" s="113"/>
      <c r="G2092" s="112"/>
      <c r="H2092" s="112"/>
      <c r="Z2092" s="112"/>
      <c r="AA2092" s="112"/>
    </row>
    <row r="2093" spans="3:27" x14ac:dyDescent="0.25">
      <c r="C2093" s="112"/>
      <c r="D2093" s="112"/>
      <c r="E2093" s="113"/>
      <c r="F2093" s="113"/>
      <c r="G2093" s="112"/>
      <c r="H2093" s="112"/>
      <c r="Z2093" s="112"/>
      <c r="AA2093" s="112"/>
    </row>
    <row r="2094" spans="3:27" x14ac:dyDescent="0.25">
      <c r="C2094" s="112"/>
      <c r="D2094" s="112"/>
      <c r="E2094" s="113"/>
      <c r="F2094" s="113"/>
      <c r="G2094" s="112"/>
      <c r="H2094" s="112"/>
      <c r="Z2094" s="112"/>
      <c r="AA2094" s="112"/>
    </row>
    <row r="2095" spans="3:27" x14ac:dyDescent="0.25">
      <c r="C2095" s="112"/>
      <c r="D2095" s="112"/>
      <c r="E2095" s="113"/>
      <c r="F2095" s="113"/>
      <c r="G2095" s="112"/>
      <c r="H2095" s="112"/>
      <c r="Z2095" s="112"/>
      <c r="AA2095" s="112"/>
    </row>
    <row r="2096" spans="3:27" x14ac:dyDescent="0.25">
      <c r="C2096" s="112"/>
      <c r="D2096" s="112"/>
      <c r="E2096" s="113"/>
      <c r="F2096" s="113"/>
      <c r="G2096" s="112"/>
      <c r="H2096" s="112"/>
      <c r="Z2096" s="112"/>
      <c r="AA2096" s="112"/>
    </row>
    <row r="2097" spans="3:27" x14ac:dyDescent="0.25">
      <c r="C2097" s="112"/>
      <c r="D2097" s="112"/>
      <c r="E2097" s="113"/>
      <c r="F2097" s="113"/>
      <c r="G2097" s="112"/>
      <c r="H2097" s="112"/>
      <c r="Z2097" s="112"/>
      <c r="AA2097" s="112"/>
    </row>
    <row r="2098" spans="3:27" x14ac:dyDescent="0.25">
      <c r="C2098" s="112"/>
      <c r="D2098" s="112"/>
      <c r="E2098" s="113"/>
      <c r="F2098" s="113"/>
      <c r="G2098" s="112"/>
      <c r="H2098" s="112"/>
      <c r="Z2098" s="112"/>
      <c r="AA2098" s="112"/>
    </row>
    <row r="2099" spans="3:27" x14ac:dyDescent="0.25">
      <c r="C2099" s="112"/>
      <c r="D2099" s="112"/>
      <c r="E2099" s="113"/>
      <c r="F2099" s="113"/>
      <c r="G2099" s="112"/>
      <c r="H2099" s="112"/>
      <c r="Z2099" s="112"/>
      <c r="AA2099" s="112"/>
    </row>
    <row r="2100" spans="3:27" x14ac:dyDescent="0.25">
      <c r="C2100" s="112"/>
      <c r="D2100" s="112"/>
      <c r="E2100" s="113"/>
      <c r="F2100" s="113"/>
      <c r="G2100" s="112"/>
      <c r="H2100" s="112"/>
      <c r="Z2100" s="112"/>
      <c r="AA2100" s="112"/>
    </row>
    <row r="2101" spans="3:27" x14ac:dyDescent="0.25">
      <c r="C2101" s="112"/>
      <c r="D2101" s="112"/>
      <c r="E2101" s="113"/>
      <c r="F2101" s="113"/>
      <c r="G2101" s="112"/>
      <c r="H2101" s="112"/>
      <c r="Z2101" s="112"/>
      <c r="AA2101" s="112"/>
    </row>
    <row r="2102" spans="3:27" x14ac:dyDescent="0.25">
      <c r="C2102" s="112"/>
      <c r="D2102" s="112"/>
      <c r="E2102" s="113"/>
      <c r="F2102" s="113"/>
      <c r="G2102" s="112"/>
      <c r="H2102" s="112"/>
      <c r="Z2102" s="112"/>
      <c r="AA2102" s="112"/>
    </row>
    <row r="2103" spans="3:27" x14ac:dyDescent="0.25">
      <c r="C2103" s="112"/>
      <c r="D2103" s="112"/>
      <c r="E2103" s="113"/>
      <c r="F2103" s="113"/>
      <c r="G2103" s="112"/>
      <c r="H2103" s="112"/>
      <c r="Z2103" s="112"/>
      <c r="AA2103" s="112"/>
    </row>
    <row r="2104" spans="3:27" x14ac:dyDescent="0.25">
      <c r="C2104" s="112"/>
      <c r="D2104" s="112"/>
      <c r="E2104" s="113"/>
      <c r="F2104" s="113"/>
      <c r="G2104" s="112"/>
      <c r="H2104" s="112"/>
      <c r="Z2104" s="112"/>
      <c r="AA2104" s="112"/>
    </row>
    <row r="2105" spans="3:27" x14ac:dyDescent="0.25">
      <c r="C2105" s="112"/>
      <c r="D2105" s="112"/>
      <c r="E2105" s="113"/>
      <c r="F2105" s="113"/>
      <c r="G2105" s="112"/>
      <c r="H2105" s="112"/>
      <c r="Z2105" s="112"/>
      <c r="AA2105" s="112"/>
    </row>
    <row r="2106" spans="3:27" x14ac:dyDescent="0.25">
      <c r="C2106" s="112"/>
      <c r="D2106" s="112"/>
      <c r="E2106" s="113"/>
      <c r="F2106" s="113"/>
      <c r="G2106" s="112"/>
      <c r="H2106" s="112"/>
      <c r="Z2106" s="112"/>
      <c r="AA2106" s="112"/>
    </row>
    <row r="2107" spans="3:27" x14ac:dyDescent="0.25">
      <c r="C2107" s="112"/>
      <c r="D2107" s="112"/>
      <c r="E2107" s="113"/>
      <c r="F2107" s="113"/>
      <c r="G2107" s="112"/>
      <c r="H2107" s="112"/>
      <c r="Z2107" s="112"/>
      <c r="AA2107" s="112"/>
    </row>
    <row r="2108" spans="3:27" x14ac:dyDescent="0.25">
      <c r="C2108" s="112"/>
      <c r="D2108" s="112"/>
      <c r="E2108" s="113"/>
      <c r="F2108" s="113"/>
      <c r="G2108" s="112"/>
      <c r="H2108" s="112"/>
      <c r="Z2108" s="112"/>
      <c r="AA2108" s="112"/>
    </row>
    <row r="2109" spans="3:27" x14ac:dyDescent="0.25">
      <c r="C2109" s="112"/>
      <c r="D2109" s="112"/>
      <c r="E2109" s="113"/>
      <c r="F2109" s="113"/>
      <c r="G2109" s="112"/>
      <c r="H2109" s="112"/>
      <c r="Z2109" s="112"/>
      <c r="AA2109" s="112"/>
    </row>
    <row r="2110" spans="3:27" x14ac:dyDescent="0.25">
      <c r="C2110" s="112"/>
      <c r="D2110" s="112"/>
      <c r="E2110" s="113"/>
      <c r="F2110" s="113"/>
      <c r="G2110" s="112"/>
      <c r="H2110" s="112"/>
      <c r="Z2110" s="112"/>
      <c r="AA2110" s="112"/>
    </row>
    <row r="2111" spans="3:27" x14ac:dyDescent="0.25">
      <c r="C2111" s="112"/>
      <c r="D2111" s="112"/>
      <c r="E2111" s="113"/>
      <c r="F2111" s="113"/>
      <c r="G2111" s="112"/>
      <c r="H2111" s="112"/>
      <c r="Z2111" s="112"/>
      <c r="AA2111" s="112"/>
    </row>
    <row r="2112" spans="3:27" x14ac:dyDescent="0.25">
      <c r="C2112" s="112"/>
      <c r="D2112" s="112"/>
      <c r="E2112" s="113"/>
      <c r="F2112" s="113"/>
      <c r="G2112" s="112"/>
      <c r="H2112" s="112"/>
      <c r="Z2112" s="112"/>
      <c r="AA2112" s="112"/>
    </row>
    <row r="2113" spans="3:27" x14ac:dyDescent="0.25">
      <c r="C2113" s="112"/>
      <c r="D2113" s="112"/>
      <c r="E2113" s="113"/>
      <c r="F2113" s="113"/>
      <c r="G2113" s="112"/>
      <c r="H2113" s="112"/>
      <c r="Z2113" s="112"/>
      <c r="AA2113" s="112"/>
    </row>
    <row r="2114" spans="3:27" x14ac:dyDescent="0.25">
      <c r="C2114" s="112"/>
      <c r="D2114" s="112"/>
      <c r="E2114" s="113"/>
      <c r="F2114" s="113"/>
      <c r="G2114" s="112"/>
      <c r="H2114" s="112"/>
      <c r="Z2114" s="112"/>
      <c r="AA2114" s="112"/>
    </row>
    <row r="2115" spans="3:27" x14ac:dyDescent="0.25">
      <c r="C2115" s="112"/>
      <c r="D2115" s="112"/>
      <c r="E2115" s="113"/>
      <c r="F2115" s="113"/>
      <c r="G2115" s="112"/>
      <c r="H2115" s="112"/>
      <c r="Z2115" s="112"/>
      <c r="AA2115" s="112"/>
    </row>
    <row r="2116" spans="3:27" x14ac:dyDescent="0.25">
      <c r="C2116" s="112"/>
      <c r="D2116" s="112"/>
      <c r="E2116" s="113"/>
      <c r="F2116" s="113"/>
      <c r="G2116" s="112"/>
      <c r="H2116" s="112"/>
      <c r="Z2116" s="112"/>
      <c r="AA2116" s="112"/>
    </row>
    <row r="2117" spans="3:27" x14ac:dyDescent="0.25">
      <c r="C2117" s="112"/>
      <c r="D2117" s="112"/>
      <c r="E2117" s="113"/>
      <c r="F2117" s="113"/>
      <c r="G2117" s="112"/>
      <c r="H2117" s="112"/>
      <c r="Z2117" s="112"/>
      <c r="AA2117" s="112"/>
    </row>
    <row r="2118" spans="3:27" x14ac:dyDescent="0.25">
      <c r="C2118" s="112"/>
      <c r="D2118" s="112"/>
      <c r="E2118" s="113"/>
      <c r="F2118" s="113"/>
      <c r="G2118" s="112"/>
      <c r="H2118" s="112"/>
      <c r="Z2118" s="112"/>
      <c r="AA2118" s="112"/>
    </row>
    <row r="2119" spans="3:27" x14ac:dyDescent="0.25">
      <c r="C2119" s="112"/>
      <c r="D2119" s="112"/>
      <c r="E2119" s="113"/>
      <c r="F2119" s="113"/>
      <c r="G2119" s="112"/>
      <c r="H2119" s="112"/>
      <c r="Z2119" s="112"/>
      <c r="AA2119" s="112"/>
    </row>
    <row r="2120" spans="3:27" x14ac:dyDescent="0.25">
      <c r="C2120" s="112"/>
      <c r="D2120" s="112"/>
      <c r="E2120" s="113"/>
      <c r="F2120" s="113"/>
      <c r="G2120" s="112"/>
      <c r="H2120" s="112"/>
      <c r="Z2120" s="112"/>
      <c r="AA2120" s="112"/>
    </row>
    <row r="2121" spans="3:27" x14ac:dyDescent="0.25">
      <c r="C2121" s="112"/>
      <c r="D2121" s="112"/>
      <c r="E2121" s="113"/>
      <c r="F2121" s="113"/>
      <c r="G2121" s="112"/>
      <c r="H2121" s="112"/>
      <c r="Z2121" s="112"/>
      <c r="AA2121" s="112"/>
    </row>
    <row r="2122" spans="3:27" x14ac:dyDescent="0.25">
      <c r="C2122" s="112"/>
      <c r="D2122" s="112"/>
      <c r="E2122" s="113"/>
      <c r="F2122" s="113"/>
      <c r="G2122" s="112"/>
      <c r="H2122" s="112"/>
      <c r="Z2122" s="112"/>
      <c r="AA2122" s="112"/>
    </row>
    <row r="2123" spans="3:27" x14ac:dyDescent="0.25">
      <c r="C2123" s="112"/>
      <c r="D2123" s="112"/>
      <c r="E2123" s="113"/>
      <c r="F2123" s="113"/>
      <c r="G2123" s="112"/>
      <c r="H2123" s="112"/>
      <c r="Z2123" s="112"/>
      <c r="AA2123" s="112"/>
    </row>
    <row r="2124" spans="3:27" x14ac:dyDescent="0.25">
      <c r="C2124" s="112"/>
      <c r="D2124" s="112"/>
      <c r="E2124" s="113"/>
      <c r="F2124" s="113"/>
      <c r="G2124" s="112"/>
      <c r="H2124" s="112"/>
      <c r="Z2124" s="112"/>
      <c r="AA2124" s="112"/>
    </row>
    <row r="2125" spans="3:27" x14ac:dyDescent="0.25">
      <c r="C2125" s="112"/>
      <c r="D2125" s="112"/>
      <c r="E2125" s="113"/>
      <c r="F2125" s="113"/>
      <c r="G2125" s="112"/>
      <c r="H2125" s="112"/>
      <c r="Z2125" s="112"/>
      <c r="AA2125" s="112"/>
    </row>
    <row r="2126" spans="3:27" x14ac:dyDescent="0.25">
      <c r="C2126" s="112"/>
      <c r="D2126" s="112"/>
      <c r="E2126" s="113"/>
      <c r="F2126" s="113"/>
      <c r="G2126" s="112"/>
      <c r="H2126" s="112"/>
      <c r="Z2126" s="112"/>
      <c r="AA2126" s="112"/>
    </row>
    <row r="2127" spans="3:27" x14ac:dyDescent="0.25">
      <c r="C2127" s="112"/>
      <c r="D2127" s="112"/>
      <c r="E2127" s="113"/>
      <c r="F2127" s="113"/>
      <c r="G2127" s="112"/>
      <c r="H2127" s="112"/>
      <c r="Z2127" s="112"/>
      <c r="AA2127" s="112"/>
    </row>
    <row r="2128" spans="3:27" x14ac:dyDescent="0.25">
      <c r="C2128" s="112"/>
      <c r="D2128" s="112"/>
      <c r="E2128" s="113"/>
      <c r="F2128" s="113"/>
      <c r="G2128" s="112"/>
      <c r="H2128" s="112"/>
      <c r="Z2128" s="112"/>
      <c r="AA2128" s="112"/>
    </row>
    <row r="2129" spans="3:27" x14ac:dyDescent="0.25">
      <c r="C2129" s="112"/>
      <c r="D2129" s="112"/>
      <c r="E2129" s="113"/>
      <c r="F2129" s="113"/>
      <c r="G2129" s="112"/>
      <c r="H2129" s="112"/>
      <c r="Z2129" s="112"/>
      <c r="AA2129" s="112"/>
    </row>
    <row r="2130" spans="3:27" x14ac:dyDescent="0.25">
      <c r="C2130" s="112"/>
      <c r="D2130" s="112"/>
      <c r="E2130" s="113"/>
      <c r="F2130" s="113"/>
      <c r="G2130" s="112"/>
      <c r="H2130" s="112"/>
      <c r="Z2130" s="112"/>
      <c r="AA2130" s="112"/>
    </row>
    <row r="2131" spans="3:27" x14ac:dyDescent="0.25">
      <c r="C2131" s="112"/>
      <c r="D2131" s="112"/>
      <c r="E2131" s="113"/>
      <c r="F2131" s="113"/>
      <c r="G2131" s="112"/>
      <c r="H2131" s="112"/>
      <c r="Z2131" s="112"/>
      <c r="AA2131" s="112"/>
    </row>
    <row r="2132" spans="3:27" x14ac:dyDescent="0.25">
      <c r="C2132" s="112"/>
      <c r="D2132" s="112"/>
      <c r="E2132" s="113"/>
      <c r="F2132" s="113"/>
      <c r="G2132" s="112"/>
      <c r="H2132" s="112"/>
      <c r="Z2132" s="112"/>
      <c r="AA2132" s="112"/>
    </row>
    <row r="2133" spans="3:27" x14ac:dyDescent="0.25">
      <c r="C2133" s="112"/>
      <c r="D2133" s="112"/>
      <c r="E2133" s="113"/>
      <c r="F2133" s="113"/>
      <c r="G2133" s="112"/>
      <c r="H2133" s="112"/>
      <c r="Z2133" s="112"/>
      <c r="AA2133" s="112"/>
    </row>
    <row r="2134" spans="3:27" x14ac:dyDescent="0.25">
      <c r="C2134" s="112"/>
      <c r="D2134" s="112"/>
      <c r="E2134" s="113"/>
      <c r="F2134" s="113"/>
      <c r="G2134" s="112"/>
      <c r="H2134" s="112"/>
      <c r="Z2134" s="112"/>
      <c r="AA2134" s="112"/>
    </row>
    <row r="2135" spans="3:27" x14ac:dyDescent="0.25">
      <c r="C2135" s="112"/>
      <c r="D2135" s="112"/>
      <c r="E2135" s="113"/>
      <c r="F2135" s="113"/>
      <c r="G2135" s="112"/>
      <c r="H2135" s="112"/>
      <c r="Z2135" s="112"/>
      <c r="AA2135" s="112"/>
    </row>
    <row r="2136" spans="3:27" x14ac:dyDescent="0.25">
      <c r="C2136" s="112"/>
      <c r="D2136" s="112"/>
      <c r="E2136" s="113"/>
      <c r="F2136" s="113"/>
      <c r="G2136" s="112"/>
      <c r="H2136" s="112"/>
      <c r="Z2136" s="112"/>
      <c r="AA2136" s="112"/>
    </row>
    <row r="2137" spans="3:27" x14ac:dyDescent="0.25">
      <c r="C2137" s="112"/>
      <c r="D2137" s="112"/>
      <c r="E2137" s="113"/>
      <c r="F2137" s="113"/>
      <c r="G2137" s="112"/>
      <c r="H2137" s="112"/>
      <c r="Z2137" s="112"/>
      <c r="AA2137" s="112"/>
    </row>
    <row r="2138" spans="3:27" x14ac:dyDescent="0.25">
      <c r="C2138" s="112"/>
      <c r="D2138" s="112"/>
      <c r="E2138" s="113"/>
      <c r="F2138" s="113"/>
      <c r="G2138" s="112"/>
      <c r="H2138" s="112"/>
      <c r="Z2138" s="112"/>
      <c r="AA2138" s="112"/>
    </row>
    <row r="2139" spans="3:27" x14ac:dyDescent="0.25">
      <c r="C2139" s="112"/>
      <c r="D2139" s="112"/>
      <c r="E2139" s="113"/>
      <c r="F2139" s="113"/>
      <c r="G2139" s="112"/>
      <c r="H2139" s="112"/>
      <c r="Z2139" s="112"/>
      <c r="AA2139" s="112"/>
    </row>
    <row r="2140" spans="3:27" x14ac:dyDescent="0.25">
      <c r="C2140" s="112"/>
      <c r="D2140" s="112"/>
      <c r="E2140" s="113"/>
      <c r="F2140" s="113"/>
      <c r="G2140" s="112"/>
      <c r="H2140" s="112"/>
      <c r="Z2140" s="112"/>
      <c r="AA2140" s="112"/>
    </row>
    <row r="2141" spans="3:27" x14ac:dyDescent="0.25">
      <c r="C2141" s="112"/>
      <c r="D2141" s="112"/>
      <c r="E2141" s="113"/>
      <c r="F2141" s="113"/>
      <c r="G2141" s="112"/>
      <c r="H2141" s="112"/>
      <c r="Z2141" s="112"/>
      <c r="AA2141" s="112"/>
    </row>
    <row r="2142" spans="3:27" x14ac:dyDescent="0.25">
      <c r="C2142" s="112"/>
      <c r="D2142" s="112"/>
      <c r="E2142" s="113"/>
      <c r="F2142" s="113"/>
      <c r="G2142" s="112"/>
      <c r="H2142" s="112"/>
      <c r="Z2142" s="112"/>
      <c r="AA2142" s="112"/>
    </row>
    <row r="2143" spans="3:27" x14ac:dyDescent="0.25">
      <c r="C2143" s="112"/>
      <c r="D2143" s="112"/>
      <c r="E2143" s="113"/>
      <c r="F2143" s="113"/>
      <c r="G2143" s="112"/>
      <c r="H2143" s="112"/>
      <c r="Z2143" s="112"/>
      <c r="AA2143" s="112"/>
    </row>
    <row r="2144" spans="3:27" x14ac:dyDescent="0.25">
      <c r="C2144" s="112"/>
      <c r="D2144" s="112"/>
      <c r="E2144" s="113"/>
      <c r="F2144" s="113"/>
      <c r="G2144" s="112"/>
      <c r="H2144" s="112"/>
      <c r="Z2144" s="112"/>
      <c r="AA2144" s="112"/>
    </row>
    <row r="2145" spans="3:27" x14ac:dyDescent="0.25">
      <c r="C2145" s="112"/>
      <c r="D2145" s="112"/>
      <c r="E2145" s="113"/>
      <c r="F2145" s="113"/>
      <c r="G2145" s="112"/>
      <c r="H2145" s="112"/>
      <c r="Z2145" s="112"/>
      <c r="AA2145" s="112"/>
    </row>
    <row r="2146" spans="3:27" x14ac:dyDescent="0.25">
      <c r="C2146" s="112"/>
      <c r="D2146" s="112"/>
      <c r="E2146" s="113"/>
      <c r="F2146" s="113"/>
      <c r="G2146" s="112"/>
      <c r="H2146" s="112"/>
      <c r="Z2146" s="112"/>
      <c r="AA2146" s="112"/>
    </row>
    <row r="2147" spans="3:27" x14ac:dyDescent="0.25">
      <c r="C2147" s="112"/>
      <c r="D2147" s="112"/>
      <c r="E2147" s="113"/>
      <c r="F2147" s="113"/>
      <c r="G2147" s="112"/>
      <c r="H2147" s="112"/>
      <c r="Z2147" s="112"/>
      <c r="AA2147" s="112"/>
    </row>
    <row r="2148" spans="3:27" x14ac:dyDescent="0.25">
      <c r="C2148" s="112"/>
      <c r="D2148" s="112"/>
      <c r="E2148" s="113"/>
      <c r="F2148" s="113"/>
      <c r="G2148" s="112"/>
      <c r="H2148" s="112"/>
      <c r="Z2148" s="112"/>
      <c r="AA2148" s="112"/>
    </row>
    <row r="2149" spans="3:27" x14ac:dyDescent="0.25">
      <c r="C2149" s="112"/>
      <c r="D2149" s="112"/>
      <c r="E2149" s="113"/>
      <c r="F2149" s="113"/>
      <c r="G2149" s="112"/>
      <c r="H2149" s="112"/>
      <c r="Z2149" s="112"/>
      <c r="AA2149" s="112"/>
    </row>
    <row r="2150" spans="3:27" x14ac:dyDescent="0.25">
      <c r="C2150" s="112"/>
      <c r="D2150" s="112"/>
      <c r="E2150" s="113"/>
      <c r="F2150" s="113"/>
      <c r="G2150" s="112"/>
      <c r="H2150" s="112"/>
      <c r="Z2150" s="112"/>
      <c r="AA2150" s="112"/>
    </row>
    <row r="2151" spans="3:27" x14ac:dyDescent="0.25">
      <c r="C2151" s="112"/>
      <c r="D2151" s="112"/>
      <c r="E2151" s="113"/>
      <c r="F2151" s="113"/>
      <c r="G2151" s="112"/>
      <c r="H2151" s="112"/>
      <c r="Z2151" s="112"/>
      <c r="AA2151" s="112"/>
    </row>
    <row r="2152" spans="3:27" x14ac:dyDescent="0.25">
      <c r="C2152" s="112"/>
      <c r="D2152" s="112"/>
      <c r="E2152" s="113"/>
      <c r="F2152" s="113"/>
      <c r="G2152" s="112"/>
      <c r="H2152" s="112"/>
      <c r="Z2152" s="112"/>
      <c r="AA2152" s="112"/>
    </row>
    <row r="2153" spans="3:27" x14ac:dyDescent="0.25">
      <c r="C2153" s="112"/>
      <c r="D2153" s="112"/>
      <c r="E2153" s="113"/>
      <c r="F2153" s="113"/>
      <c r="G2153" s="112"/>
      <c r="H2153" s="112"/>
      <c r="Z2153" s="112"/>
      <c r="AA2153" s="112"/>
    </row>
    <row r="2154" spans="3:27" x14ac:dyDescent="0.25">
      <c r="C2154" s="112"/>
      <c r="D2154" s="112"/>
      <c r="E2154" s="113"/>
      <c r="F2154" s="113"/>
      <c r="G2154" s="112"/>
      <c r="H2154" s="112"/>
      <c r="Z2154" s="112"/>
      <c r="AA2154" s="112"/>
    </row>
    <row r="2155" spans="3:27" x14ac:dyDescent="0.25">
      <c r="C2155" s="112"/>
      <c r="D2155" s="112"/>
      <c r="E2155" s="113"/>
      <c r="F2155" s="113"/>
      <c r="G2155" s="112"/>
      <c r="H2155" s="112"/>
      <c r="Z2155" s="112"/>
      <c r="AA2155" s="112"/>
    </row>
    <row r="2156" spans="3:27" x14ac:dyDescent="0.25">
      <c r="C2156" s="112"/>
      <c r="D2156" s="112"/>
      <c r="E2156" s="113"/>
      <c r="F2156" s="113"/>
      <c r="G2156" s="112"/>
      <c r="H2156" s="112"/>
      <c r="Z2156" s="112"/>
      <c r="AA2156" s="112"/>
    </row>
    <row r="2157" spans="3:27" x14ac:dyDescent="0.25">
      <c r="C2157" s="112"/>
      <c r="D2157" s="112"/>
      <c r="E2157" s="113"/>
      <c r="F2157" s="113"/>
      <c r="G2157" s="112"/>
      <c r="H2157" s="112"/>
      <c r="Z2157" s="112"/>
      <c r="AA2157" s="112"/>
    </row>
    <row r="2158" spans="3:27" x14ac:dyDescent="0.25">
      <c r="C2158" s="112"/>
      <c r="D2158" s="112"/>
      <c r="E2158" s="113"/>
      <c r="F2158" s="113"/>
      <c r="G2158" s="112"/>
      <c r="H2158" s="112"/>
      <c r="Z2158" s="112"/>
      <c r="AA2158" s="112"/>
    </row>
    <row r="2159" spans="3:27" x14ac:dyDescent="0.25">
      <c r="C2159" s="112"/>
      <c r="D2159" s="112"/>
      <c r="E2159" s="113"/>
      <c r="F2159" s="113"/>
      <c r="G2159" s="112"/>
      <c r="H2159" s="112"/>
      <c r="Z2159" s="112"/>
      <c r="AA2159" s="112"/>
    </row>
    <row r="2160" spans="3:27" x14ac:dyDescent="0.25">
      <c r="C2160" s="112"/>
      <c r="D2160" s="112"/>
      <c r="E2160" s="113"/>
      <c r="F2160" s="113"/>
      <c r="G2160" s="112"/>
      <c r="H2160" s="112"/>
      <c r="Z2160" s="112"/>
      <c r="AA2160" s="112"/>
    </row>
    <row r="2161" spans="3:27" x14ac:dyDescent="0.25">
      <c r="C2161" s="112"/>
      <c r="D2161" s="112"/>
      <c r="E2161" s="113"/>
      <c r="F2161" s="113"/>
      <c r="G2161" s="112"/>
      <c r="H2161" s="112"/>
      <c r="Z2161" s="112"/>
      <c r="AA2161" s="112"/>
    </row>
    <row r="2162" spans="3:27" x14ac:dyDescent="0.25">
      <c r="C2162" s="112"/>
      <c r="D2162" s="112"/>
      <c r="E2162" s="113"/>
      <c r="F2162" s="113"/>
      <c r="G2162" s="112"/>
      <c r="H2162" s="112"/>
      <c r="Z2162" s="112"/>
      <c r="AA2162" s="112"/>
    </row>
    <row r="2163" spans="3:27" x14ac:dyDescent="0.25">
      <c r="C2163" s="112"/>
      <c r="D2163" s="112"/>
      <c r="E2163" s="113"/>
      <c r="F2163" s="113"/>
      <c r="G2163" s="112"/>
      <c r="H2163" s="112"/>
      <c r="Z2163" s="112"/>
      <c r="AA2163" s="112"/>
    </row>
    <row r="2164" spans="3:27" x14ac:dyDescent="0.25">
      <c r="C2164" s="112"/>
      <c r="D2164" s="112"/>
      <c r="E2164" s="113"/>
      <c r="F2164" s="113"/>
      <c r="G2164" s="112"/>
      <c r="H2164" s="112"/>
      <c r="Z2164" s="112"/>
      <c r="AA2164" s="112"/>
    </row>
    <row r="2165" spans="3:27" x14ac:dyDescent="0.25">
      <c r="C2165" s="112"/>
      <c r="D2165" s="112"/>
      <c r="E2165" s="113"/>
      <c r="F2165" s="113"/>
      <c r="G2165" s="112"/>
      <c r="H2165" s="112"/>
      <c r="Z2165" s="112"/>
      <c r="AA2165" s="112"/>
    </row>
    <row r="2166" spans="3:27" x14ac:dyDescent="0.25">
      <c r="C2166" s="112"/>
      <c r="D2166" s="112"/>
      <c r="E2166" s="113"/>
      <c r="F2166" s="113"/>
      <c r="G2166" s="112"/>
      <c r="H2166" s="112"/>
      <c r="Z2166" s="112"/>
      <c r="AA2166" s="112"/>
    </row>
    <row r="2167" spans="3:27" x14ac:dyDescent="0.25">
      <c r="C2167" s="112"/>
      <c r="D2167" s="112"/>
      <c r="E2167" s="113"/>
      <c r="F2167" s="113"/>
      <c r="G2167" s="112"/>
      <c r="H2167" s="112"/>
      <c r="Z2167" s="112"/>
      <c r="AA2167" s="112"/>
    </row>
    <row r="2168" spans="3:27" x14ac:dyDescent="0.25">
      <c r="C2168" s="112"/>
      <c r="D2168" s="112"/>
      <c r="E2168" s="113"/>
      <c r="F2168" s="113"/>
      <c r="G2168" s="112"/>
      <c r="H2168" s="112"/>
      <c r="Z2168" s="112"/>
      <c r="AA2168" s="112"/>
    </row>
    <row r="2169" spans="3:27" x14ac:dyDescent="0.25">
      <c r="C2169" s="112"/>
      <c r="D2169" s="112"/>
      <c r="E2169" s="113"/>
      <c r="F2169" s="113"/>
      <c r="G2169" s="112"/>
      <c r="H2169" s="112"/>
      <c r="Z2169" s="112"/>
      <c r="AA2169" s="112"/>
    </row>
    <row r="2170" spans="3:27" x14ac:dyDescent="0.25">
      <c r="C2170" s="112"/>
      <c r="D2170" s="112"/>
      <c r="E2170" s="113"/>
      <c r="F2170" s="113"/>
      <c r="G2170" s="112"/>
      <c r="H2170" s="112"/>
      <c r="Z2170" s="112"/>
      <c r="AA2170" s="112"/>
    </row>
    <row r="2171" spans="3:27" x14ac:dyDescent="0.25">
      <c r="C2171" s="112"/>
      <c r="D2171" s="112"/>
      <c r="E2171" s="113"/>
      <c r="F2171" s="113"/>
      <c r="G2171" s="112"/>
      <c r="H2171" s="112"/>
      <c r="Z2171" s="112"/>
      <c r="AA2171" s="112"/>
    </row>
    <row r="2172" spans="3:27" x14ac:dyDescent="0.25">
      <c r="C2172" s="112"/>
      <c r="D2172" s="112"/>
      <c r="E2172" s="113"/>
      <c r="F2172" s="113"/>
      <c r="G2172" s="112"/>
      <c r="H2172" s="112"/>
      <c r="Z2172" s="112"/>
      <c r="AA2172" s="112"/>
    </row>
    <row r="2173" spans="3:27" x14ac:dyDescent="0.25">
      <c r="C2173" s="112"/>
      <c r="D2173" s="112"/>
      <c r="E2173" s="113"/>
      <c r="F2173" s="113"/>
      <c r="G2173" s="112"/>
      <c r="H2173" s="112"/>
      <c r="Z2173" s="112"/>
      <c r="AA2173" s="112"/>
    </row>
    <row r="2174" spans="3:27" x14ac:dyDescent="0.25">
      <c r="C2174" s="112"/>
      <c r="D2174" s="112"/>
      <c r="E2174" s="113"/>
      <c r="F2174" s="113"/>
      <c r="G2174" s="112"/>
      <c r="H2174" s="112"/>
      <c r="Z2174" s="112"/>
      <c r="AA2174" s="112"/>
    </row>
    <row r="2175" spans="3:27" x14ac:dyDescent="0.25">
      <c r="C2175" s="112"/>
      <c r="D2175" s="112"/>
      <c r="E2175" s="113"/>
      <c r="F2175" s="113"/>
      <c r="G2175" s="112"/>
      <c r="H2175" s="112"/>
      <c r="Z2175" s="112"/>
      <c r="AA2175" s="112"/>
    </row>
    <row r="2176" spans="3:27" x14ac:dyDescent="0.25">
      <c r="C2176" s="112"/>
      <c r="D2176" s="112"/>
      <c r="E2176" s="113"/>
      <c r="F2176" s="113"/>
      <c r="G2176" s="112"/>
      <c r="H2176" s="112"/>
      <c r="Z2176" s="112"/>
      <c r="AA2176" s="112"/>
    </row>
    <row r="2177" spans="3:27" x14ac:dyDescent="0.25">
      <c r="C2177" s="112"/>
      <c r="D2177" s="112"/>
      <c r="E2177" s="113"/>
      <c r="F2177" s="113"/>
      <c r="G2177" s="112"/>
      <c r="H2177" s="112"/>
      <c r="Z2177" s="112"/>
      <c r="AA2177" s="112"/>
    </row>
    <row r="2178" spans="3:27" x14ac:dyDescent="0.25">
      <c r="C2178" s="112"/>
      <c r="D2178" s="112"/>
      <c r="E2178" s="113"/>
      <c r="F2178" s="113"/>
      <c r="G2178" s="112"/>
      <c r="H2178" s="112"/>
      <c r="Z2178" s="112"/>
      <c r="AA2178" s="112"/>
    </row>
    <row r="2179" spans="3:27" x14ac:dyDescent="0.25">
      <c r="C2179" s="112"/>
      <c r="D2179" s="112"/>
      <c r="E2179" s="113"/>
      <c r="F2179" s="113"/>
      <c r="G2179" s="112"/>
      <c r="H2179" s="112"/>
      <c r="Z2179" s="112"/>
      <c r="AA2179" s="112"/>
    </row>
    <row r="2180" spans="3:27" x14ac:dyDescent="0.25">
      <c r="C2180" s="112"/>
      <c r="D2180" s="112"/>
      <c r="E2180" s="113"/>
      <c r="F2180" s="113"/>
      <c r="G2180" s="112"/>
      <c r="H2180" s="112"/>
      <c r="Z2180" s="112"/>
      <c r="AA2180" s="112"/>
    </row>
    <row r="2181" spans="3:27" x14ac:dyDescent="0.25">
      <c r="C2181" s="112"/>
      <c r="D2181" s="112"/>
      <c r="E2181" s="113"/>
      <c r="F2181" s="113"/>
      <c r="G2181" s="112"/>
      <c r="H2181" s="112"/>
      <c r="Z2181" s="112"/>
      <c r="AA2181" s="112"/>
    </row>
    <row r="2182" spans="3:27" x14ac:dyDescent="0.25">
      <c r="C2182" s="112"/>
      <c r="D2182" s="112"/>
      <c r="E2182" s="113"/>
      <c r="F2182" s="113"/>
      <c r="G2182" s="112"/>
      <c r="H2182" s="112"/>
      <c r="Z2182" s="112"/>
      <c r="AA2182" s="112"/>
    </row>
    <row r="2183" spans="3:27" x14ac:dyDescent="0.25">
      <c r="C2183" s="112"/>
      <c r="D2183" s="112"/>
      <c r="E2183" s="113"/>
      <c r="F2183" s="113"/>
      <c r="G2183" s="112"/>
      <c r="H2183" s="112"/>
      <c r="Z2183" s="112"/>
      <c r="AA2183" s="112"/>
    </row>
    <row r="2184" spans="3:27" x14ac:dyDescent="0.25">
      <c r="C2184" s="112"/>
      <c r="D2184" s="112"/>
      <c r="E2184" s="113"/>
      <c r="F2184" s="113"/>
      <c r="G2184" s="112"/>
      <c r="H2184" s="112"/>
      <c r="Z2184" s="112"/>
      <c r="AA2184" s="112"/>
    </row>
    <row r="2185" spans="3:27" x14ac:dyDescent="0.25">
      <c r="C2185" s="112"/>
      <c r="D2185" s="112"/>
      <c r="E2185" s="113"/>
      <c r="F2185" s="113"/>
      <c r="G2185" s="112"/>
      <c r="H2185" s="112"/>
      <c r="Z2185" s="112"/>
      <c r="AA2185" s="112"/>
    </row>
    <row r="2186" spans="3:27" x14ac:dyDescent="0.25">
      <c r="C2186" s="112"/>
      <c r="D2186" s="112"/>
      <c r="E2186" s="113"/>
      <c r="F2186" s="113"/>
      <c r="G2186" s="112"/>
      <c r="H2186" s="112"/>
      <c r="Z2186" s="112"/>
      <c r="AA2186" s="112"/>
    </row>
    <row r="2187" spans="3:27" x14ac:dyDescent="0.25">
      <c r="C2187" s="112"/>
      <c r="D2187" s="112"/>
      <c r="E2187" s="113"/>
      <c r="F2187" s="113"/>
      <c r="G2187" s="112"/>
      <c r="H2187" s="112"/>
      <c r="Z2187" s="112"/>
      <c r="AA2187" s="112"/>
    </row>
    <row r="2188" spans="3:27" x14ac:dyDescent="0.25">
      <c r="C2188" s="112"/>
      <c r="D2188" s="112"/>
      <c r="E2188" s="113"/>
      <c r="F2188" s="113"/>
      <c r="G2188" s="112"/>
      <c r="H2188" s="112"/>
      <c r="Z2188" s="112"/>
      <c r="AA2188" s="112"/>
    </row>
    <row r="2189" spans="3:27" x14ac:dyDescent="0.25">
      <c r="C2189" s="112"/>
      <c r="D2189" s="112"/>
      <c r="E2189" s="113"/>
      <c r="F2189" s="113"/>
      <c r="G2189" s="112"/>
      <c r="H2189" s="112"/>
      <c r="Z2189" s="112"/>
      <c r="AA2189" s="112"/>
    </row>
    <row r="2190" spans="3:27" x14ac:dyDescent="0.25">
      <c r="C2190" s="112"/>
      <c r="D2190" s="112"/>
      <c r="E2190" s="113"/>
      <c r="F2190" s="113"/>
      <c r="G2190" s="112"/>
      <c r="H2190" s="112"/>
      <c r="Z2190" s="112"/>
      <c r="AA2190" s="112"/>
    </row>
    <row r="2191" spans="3:27" x14ac:dyDescent="0.25">
      <c r="C2191" s="112"/>
      <c r="D2191" s="112"/>
      <c r="E2191" s="113"/>
      <c r="F2191" s="113"/>
      <c r="G2191" s="112"/>
      <c r="H2191" s="112"/>
      <c r="Z2191" s="112"/>
      <c r="AA2191" s="112"/>
    </row>
    <row r="2192" spans="3:27" x14ac:dyDescent="0.25">
      <c r="C2192" s="112"/>
      <c r="D2192" s="112"/>
      <c r="E2192" s="113"/>
      <c r="F2192" s="113"/>
      <c r="G2192" s="112"/>
      <c r="H2192" s="112"/>
      <c r="Z2192" s="112"/>
      <c r="AA2192" s="112"/>
    </row>
    <row r="2193" spans="3:27" x14ac:dyDescent="0.25">
      <c r="C2193" s="112"/>
      <c r="D2193" s="112"/>
      <c r="E2193" s="113"/>
      <c r="F2193" s="113"/>
      <c r="G2193" s="112"/>
      <c r="H2193" s="112"/>
      <c r="Z2193" s="112"/>
      <c r="AA2193" s="112"/>
    </row>
    <row r="2194" spans="3:27" x14ac:dyDescent="0.25">
      <c r="C2194" s="112"/>
      <c r="D2194" s="112"/>
      <c r="E2194" s="113"/>
      <c r="F2194" s="113"/>
      <c r="G2194" s="112"/>
      <c r="H2194" s="112"/>
      <c r="Z2194" s="112"/>
      <c r="AA2194" s="112"/>
    </row>
    <row r="2195" spans="3:27" x14ac:dyDescent="0.25">
      <c r="C2195" s="112"/>
      <c r="D2195" s="112"/>
      <c r="E2195" s="113"/>
      <c r="F2195" s="113"/>
      <c r="G2195" s="112"/>
      <c r="H2195" s="112"/>
      <c r="Z2195" s="112"/>
      <c r="AA2195" s="112"/>
    </row>
    <row r="2196" spans="3:27" x14ac:dyDescent="0.25">
      <c r="C2196" s="112"/>
      <c r="D2196" s="112"/>
      <c r="E2196" s="113"/>
      <c r="F2196" s="113"/>
      <c r="G2196" s="112"/>
      <c r="H2196" s="112"/>
      <c r="Z2196" s="112"/>
      <c r="AA2196" s="112"/>
    </row>
    <row r="2197" spans="3:27" x14ac:dyDescent="0.25">
      <c r="C2197" s="112"/>
      <c r="D2197" s="112"/>
      <c r="E2197" s="113"/>
      <c r="F2197" s="113"/>
      <c r="G2197" s="112"/>
      <c r="H2197" s="112"/>
      <c r="Z2197" s="112"/>
      <c r="AA2197" s="112"/>
    </row>
    <row r="2198" spans="3:27" x14ac:dyDescent="0.25">
      <c r="C2198" s="112"/>
      <c r="D2198" s="112"/>
      <c r="E2198" s="113"/>
      <c r="F2198" s="113"/>
      <c r="G2198" s="112"/>
      <c r="H2198" s="112"/>
      <c r="Z2198" s="112"/>
      <c r="AA2198" s="112"/>
    </row>
    <row r="2199" spans="3:27" x14ac:dyDescent="0.25">
      <c r="C2199" s="112"/>
      <c r="D2199" s="112"/>
      <c r="E2199" s="113"/>
      <c r="F2199" s="113"/>
      <c r="G2199" s="112"/>
      <c r="H2199" s="112"/>
      <c r="Z2199" s="112"/>
      <c r="AA2199" s="112"/>
    </row>
    <row r="2200" spans="3:27" x14ac:dyDescent="0.25">
      <c r="C2200" s="112"/>
      <c r="D2200" s="112"/>
      <c r="E2200" s="113"/>
      <c r="F2200" s="113"/>
      <c r="G2200" s="112"/>
      <c r="H2200" s="112"/>
      <c r="Z2200" s="112"/>
      <c r="AA2200" s="112"/>
    </row>
    <row r="2201" spans="3:27" x14ac:dyDescent="0.25">
      <c r="C2201" s="112"/>
      <c r="D2201" s="112"/>
      <c r="E2201" s="113"/>
      <c r="F2201" s="113"/>
      <c r="G2201" s="112"/>
      <c r="H2201" s="112"/>
      <c r="Z2201" s="112"/>
      <c r="AA2201" s="112"/>
    </row>
    <row r="2202" spans="3:27" x14ac:dyDescent="0.25">
      <c r="C2202" s="112"/>
      <c r="D2202" s="112"/>
      <c r="E2202" s="113"/>
      <c r="F2202" s="113"/>
      <c r="G2202" s="112"/>
      <c r="H2202" s="112"/>
      <c r="Z2202" s="112"/>
      <c r="AA2202" s="112"/>
    </row>
    <row r="2203" spans="3:27" x14ac:dyDescent="0.25">
      <c r="C2203" s="112"/>
      <c r="D2203" s="112"/>
      <c r="E2203" s="113"/>
      <c r="F2203" s="113"/>
      <c r="G2203" s="112"/>
      <c r="H2203" s="112"/>
      <c r="Z2203" s="112"/>
      <c r="AA2203" s="112"/>
    </row>
    <row r="2204" spans="3:27" x14ac:dyDescent="0.25">
      <c r="C2204" s="112"/>
      <c r="D2204" s="112"/>
      <c r="E2204" s="113"/>
      <c r="F2204" s="113"/>
      <c r="G2204" s="112"/>
      <c r="H2204" s="112"/>
      <c r="Z2204" s="112"/>
      <c r="AA2204" s="112"/>
    </row>
    <row r="2205" spans="3:27" x14ac:dyDescent="0.25">
      <c r="C2205" s="112"/>
      <c r="D2205" s="112"/>
      <c r="E2205" s="113"/>
      <c r="F2205" s="113"/>
      <c r="G2205" s="112"/>
      <c r="H2205" s="112"/>
      <c r="Z2205" s="112"/>
      <c r="AA2205" s="112"/>
    </row>
    <row r="2206" spans="3:27" x14ac:dyDescent="0.25">
      <c r="C2206" s="112"/>
      <c r="D2206" s="112"/>
      <c r="E2206" s="113"/>
      <c r="F2206" s="113"/>
      <c r="G2206" s="112"/>
      <c r="H2206" s="112"/>
      <c r="Z2206" s="112"/>
      <c r="AA2206" s="112"/>
    </row>
    <row r="2207" spans="3:27" x14ac:dyDescent="0.25">
      <c r="C2207" s="112"/>
      <c r="D2207" s="112"/>
      <c r="E2207" s="113"/>
      <c r="F2207" s="113"/>
      <c r="G2207" s="112"/>
      <c r="H2207" s="112"/>
      <c r="Z2207" s="112"/>
      <c r="AA2207" s="112"/>
    </row>
    <row r="2208" spans="3:27" x14ac:dyDescent="0.25">
      <c r="C2208" s="112"/>
      <c r="D2208" s="112"/>
      <c r="E2208" s="113"/>
      <c r="F2208" s="113"/>
      <c r="G2208" s="112"/>
      <c r="H2208" s="112"/>
      <c r="Z2208" s="112"/>
      <c r="AA2208" s="112"/>
    </row>
    <row r="2209" spans="3:27" x14ac:dyDescent="0.25">
      <c r="C2209" s="112"/>
      <c r="D2209" s="112"/>
      <c r="E2209" s="113"/>
      <c r="F2209" s="113"/>
      <c r="G2209" s="112"/>
      <c r="H2209" s="112"/>
      <c r="Z2209" s="112"/>
      <c r="AA2209" s="112"/>
    </row>
    <row r="2210" spans="3:27" x14ac:dyDescent="0.25">
      <c r="C2210" s="112"/>
      <c r="D2210" s="112"/>
      <c r="E2210" s="113"/>
      <c r="F2210" s="113"/>
      <c r="G2210" s="112"/>
      <c r="H2210" s="112"/>
      <c r="Z2210" s="112"/>
      <c r="AA2210" s="112"/>
    </row>
    <row r="2211" spans="3:27" x14ac:dyDescent="0.25">
      <c r="C2211" s="112"/>
      <c r="D2211" s="112"/>
      <c r="E2211" s="113"/>
      <c r="F2211" s="113"/>
      <c r="G2211" s="112"/>
      <c r="H2211" s="112"/>
      <c r="Z2211" s="112"/>
      <c r="AA2211" s="112"/>
    </row>
    <row r="2212" spans="3:27" x14ac:dyDescent="0.25">
      <c r="C2212" s="112"/>
      <c r="D2212" s="112"/>
      <c r="E2212" s="113"/>
      <c r="F2212" s="113"/>
      <c r="G2212" s="112"/>
      <c r="H2212" s="112"/>
      <c r="Z2212" s="112"/>
      <c r="AA2212" s="112"/>
    </row>
    <row r="2213" spans="3:27" x14ac:dyDescent="0.25">
      <c r="C2213" s="112"/>
      <c r="D2213" s="112"/>
      <c r="E2213" s="113"/>
      <c r="F2213" s="113"/>
      <c r="G2213" s="112"/>
      <c r="H2213" s="112"/>
      <c r="Z2213" s="112"/>
      <c r="AA2213" s="112"/>
    </row>
    <row r="2214" spans="3:27" x14ac:dyDescent="0.25">
      <c r="C2214" s="112"/>
      <c r="D2214" s="112"/>
      <c r="E2214" s="113"/>
      <c r="F2214" s="113"/>
      <c r="G2214" s="112"/>
      <c r="H2214" s="112"/>
      <c r="Z2214" s="112"/>
      <c r="AA2214" s="112"/>
    </row>
    <row r="2215" spans="3:27" x14ac:dyDescent="0.25">
      <c r="C2215" s="112"/>
      <c r="D2215" s="112"/>
      <c r="E2215" s="113"/>
      <c r="F2215" s="113"/>
      <c r="G2215" s="112"/>
      <c r="H2215" s="112"/>
      <c r="Z2215" s="112"/>
      <c r="AA2215" s="112"/>
    </row>
    <row r="2216" spans="3:27" x14ac:dyDescent="0.25">
      <c r="C2216" s="112"/>
      <c r="D2216" s="112"/>
      <c r="E2216" s="113"/>
      <c r="F2216" s="113"/>
      <c r="G2216" s="112"/>
      <c r="H2216" s="112"/>
      <c r="Z2216" s="112"/>
      <c r="AA2216" s="112"/>
    </row>
    <row r="2217" spans="3:27" x14ac:dyDescent="0.25">
      <c r="C2217" s="112"/>
      <c r="D2217" s="112"/>
      <c r="E2217" s="113"/>
      <c r="F2217" s="113"/>
      <c r="G2217" s="112"/>
      <c r="H2217" s="112"/>
      <c r="Z2217" s="112"/>
      <c r="AA2217" s="112"/>
    </row>
    <row r="2218" spans="3:27" x14ac:dyDescent="0.25">
      <c r="C2218" s="112"/>
      <c r="D2218" s="112"/>
      <c r="E2218" s="113"/>
      <c r="F2218" s="113"/>
      <c r="G2218" s="112"/>
      <c r="H2218" s="112"/>
      <c r="Z2218" s="112"/>
      <c r="AA2218" s="112"/>
    </row>
    <row r="2219" spans="3:27" x14ac:dyDescent="0.25">
      <c r="C2219" s="112"/>
      <c r="D2219" s="112"/>
      <c r="E2219" s="113"/>
      <c r="F2219" s="113"/>
      <c r="G2219" s="112"/>
      <c r="H2219" s="112"/>
      <c r="Z2219" s="112"/>
      <c r="AA2219" s="112"/>
    </row>
    <row r="2220" spans="3:27" x14ac:dyDescent="0.25">
      <c r="C2220" s="112"/>
      <c r="D2220" s="112"/>
      <c r="E2220" s="113"/>
      <c r="F2220" s="113"/>
      <c r="G2220" s="112"/>
      <c r="H2220" s="112"/>
      <c r="Z2220" s="112"/>
      <c r="AA2220" s="112"/>
    </row>
    <row r="2221" spans="3:27" x14ac:dyDescent="0.25">
      <c r="C2221" s="112"/>
      <c r="D2221" s="112"/>
      <c r="E2221" s="113"/>
      <c r="F2221" s="113"/>
      <c r="G2221" s="112"/>
      <c r="H2221" s="112"/>
      <c r="Z2221" s="112"/>
      <c r="AA2221" s="112"/>
    </row>
    <row r="2222" spans="3:27" x14ac:dyDescent="0.25">
      <c r="C2222" s="112"/>
      <c r="D2222" s="112"/>
      <c r="E2222" s="113"/>
      <c r="F2222" s="113"/>
      <c r="G2222" s="112"/>
      <c r="H2222" s="112"/>
      <c r="Z2222" s="112"/>
      <c r="AA2222" s="112"/>
    </row>
    <row r="2223" spans="3:27" x14ac:dyDescent="0.25">
      <c r="C2223" s="112"/>
      <c r="D2223" s="112"/>
      <c r="E2223" s="113"/>
      <c r="F2223" s="113"/>
      <c r="G2223" s="112"/>
      <c r="H2223" s="112"/>
      <c r="Z2223" s="112"/>
      <c r="AA2223" s="112"/>
    </row>
    <row r="2224" spans="3:27" x14ac:dyDescent="0.25">
      <c r="C2224" s="112"/>
      <c r="D2224" s="112"/>
      <c r="E2224" s="113"/>
      <c r="F2224" s="113"/>
      <c r="G2224" s="112"/>
      <c r="H2224" s="112"/>
      <c r="Z2224" s="112"/>
      <c r="AA2224" s="112"/>
    </row>
    <row r="2225" spans="3:27" x14ac:dyDescent="0.25">
      <c r="C2225" s="112"/>
      <c r="D2225" s="112"/>
      <c r="E2225" s="113"/>
      <c r="F2225" s="113"/>
      <c r="G2225" s="112"/>
      <c r="H2225" s="112"/>
      <c r="Z2225" s="112"/>
      <c r="AA2225" s="112"/>
    </row>
    <row r="2226" spans="3:27" x14ac:dyDescent="0.25">
      <c r="C2226" s="112"/>
      <c r="D2226" s="112"/>
      <c r="E2226" s="113"/>
      <c r="F2226" s="113"/>
      <c r="G2226" s="112"/>
      <c r="H2226" s="112"/>
      <c r="Z2226" s="112"/>
      <c r="AA2226" s="112"/>
    </row>
    <row r="2227" spans="3:27" x14ac:dyDescent="0.25">
      <c r="C2227" s="112"/>
      <c r="D2227" s="112"/>
      <c r="E2227" s="113"/>
      <c r="F2227" s="113"/>
      <c r="G2227" s="112"/>
      <c r="H2227" s="112"/>
      <c r="Z2227" s="112"/>
      <c r="AA2227" s="112"/>
    </row>
    <row r="2228" spans="3:27" x14ac:dyDescent="0.25">
      <c r="C2228" s="112"/>
      <c r="D2228" s="112"/>
      <c r="E2228" s="113"/>
      <c r="F2228" s="113"/>
      <c r="G2228" s="112"/>
      <c r="H2228" s="112"/>
      <c r="Z2228" s="112"/>
      <c r="AA2228" s="112"/>
    </row>
    <row r="2229" spans="3:27" x14ac:dyDescent="0.25">
      <c r="C2229" s="112"/>
      <c r="D2229" s="112"/>
      <c r="E2229" s="113"/>
      <c r="F2229" s="113"/>
      <c r="G2229" s="112"/>
      <c r="H2229" s="112"/>
      <c r="Z2229" s="112"/>
      <c r="AA2229" s="112"/>
    </row>
    <row r="2230" spans="3:27" x14ac:dyDescent="0.25">
      <c r="C2230" s="112"/>
      <c r="D2230" s="112"/>
      <c r="E2230" s="113"/>
      <c r="F2230" s="113"/>
      <c r="G2230" s="112"/>
      <c r="H2230" s="112"/>
      <c r="Z2230" s="112"/>
      <c r="AA2230" s="112"/>
    </row>
    <row r="2231" spans="3:27" x14ac:dyDescent="0.25">
      <c r="C2231" s="112"/>
      <c r="D2231" s="112"/>
      <c r="E2231" s="113"/>
      <c r="F2231" s="113"/>
      <c r="G2231" s="112"/>
      <c r="H2231" s="112"/>
      <c r="Z2231" s="112"/>
      <c r="AA2231" s="112"/>
    </row>
    <row r="2232" spans="3:27" x14ac:dyDescent="0.25">
      <c r="C2232" s="112"/>
      <c r="D2232" s="112"/>
      <c r="E2232" s="113"/>
      <c r="F2232" s="113"/>
      <c r="G2232" s="112"/>
      <c r="H2232" s="112"/>
      <c r="Z2232" s="112"/>
      <c r="AA2232" s="112"/>
    </row>
    <row r="2233" spans="3:27" x14ac:dyDescent="0.25">
      <c r="C2233" s="112"/>
      <c r="D2233" s="112"/>
      <c r="E2233" s="113"/>
      <c r="F2233" s="113"/>
      <c r="G2233" s="112"/>
      <c r="H2233" s="112"/>
      <c r="Z2233" s="112"/>
      <c r="AA2233" s="112"/>
    </row>
    <row r="2234" spans="3:27" x14ac:dyDescent="0.25">
      <c r="C2234" s="112"/>
      <c r="D2234" s="112"/>
      <c r="E2234" s="113"/>
      <c r="F2234" s="113"/>
      <c r="G2234" s="112"/>
      <c r="H2234" s="112"/>
      <c r="Z2234" s="112"/>
      <c r="AA2234" s="112"/>
    </row>
    <row r="2235" spans="3:27" x14ac:dyDescent="0.25">
      <c r="C2235" s="112"/>
      <c r="D2235" s="112"/>
      <c r="E2235" s="113"/>
      <c r="F2235" s="113"/>
      <c r="G2235" s="112"/>
      <c r="H2235" s="112"/>
      <c r="Z2235" s="112"/>
      <c r="AA2235" s="112"/>
    </row>
    <row r="2236" spans="3:27" x14ac:dyDescent="0.25">
      <c r="C2236" s="112"/>
      <c r="D2236" s="112"/>
      <c r="E2236" s="113"/>
      <c r="F2236" s="113"/>
      <c r="G2236" s="112"/>
      <c r="H2236" s="112"/>
      <c r="Z2236" s="112"/>
      <c r="AA2236" s="112"/>
    </row>
    <row r="2237" spans="3:27" x14ac:dyDescent="0.25">
      <c r="C2237" s="112"/>
      <c r="D2237" s="112"/>
      <c r="E2237" s="113"/>
      <c r="F2237" s="113"/>
      <c r="G2237" s="112"/>
      <c r="H2237" s="112"/>
      <c r="Z2237" s="112"/>
      <c r="AA2237" s="112"/>
    </row>
    <row r="2238" spans="3:27" x14ac:dyDescent="0.25">
      <c r="C2238" s="112"/>
      <c r="D2238" s="112"/>
      <c r="E2238" s="113"/>
      <c r="F2238" s="113"/>
      <c r="G2238" s="112"/>
      <c r="H2238" s="112"/>
      <c r="Z2238" s="112"/>
      <c r="AA2238" s="112"/>
    </row>
    <row r="2239" spans="3:27" x14ac:dyDescent="0.25">
      <c r="C2239" s="112"/>
      <c r="D2239" s="112"/>
      <c r="E2239" s="113"/>
      <c r="F2239" s="113"/>
      <c r="G2239" s="112"/>
      <c r="H2239" s="112"/>
      <c r="Z2239" s="112"/>
      <c r="AA2239" s="112"/>
    </row>
    <row r="2240" spans="3:27" x14ac:dyDescent="0.25">
      <c r="C2240" s="112"/>
      <c r="D2240" s="112"/>
      <c r="E2240" s="113"/>
      <c r="F2240" s="113"/>
      <c r="G2240" s="112"/>
      <c r="H2240" s="112"/>
      <c r="Z2240" s="112"/>
      <c r="AA2240" s="112"/>
    </row>
    <row r="2241" spans="3:27" x14ac:dyDescent="0.25">
      <c r="C2241" s="112"/>
      <c r="D2241" s="112"/>
      <c r="E2241" s="113"/>
      <c r="F2241" s="113"/>
      <c r="G2241" s="112"/>
      <c r="H2241" s="112"/>
      <c r="Z2241" s="112"/>
      <c r="AA2241" s="112"/>
    </row>
    <row r="2242" spans="3:27" x14ac:dyDescent="0.25">
      <c r="C2242" s="112"/>
      <c r="D2242" s="112"/>
      <c r="E2242" s="113"/>
      <c r="F2242" s="113"/>
      <c r="G2242" s="112"/>
      <c r="H2242" s="112"/>
      <c r="Z2242" s="112"/>
      <c r="AA2242" s="112"/>
    </row>
    <row r="2243" spans="3:27" x14ac:dyDescent="0.25">
      <c r="C2243" s="112"/>
      <c r="D2243" s="112"/>
      <c r="E2243" s="113"/>
      <c r="F2243" s="113"/>
      <c r="G2243" s="112"/>
      <c r="H2243" s="112"/>
      <c r="Z2243" s="112"/>
      <c r="AA2243" s="112"/>
    </row>
    <row r="2244" spans="3:27" x14ac:dyDescent="0.25">
      <c r="C2244" s="112"/>
      <c r="D2244" s="112"/>
      <c r="E2244" s="113"/>
      <c r="F2244" s="113"/>
      <c r="G2244" s="112"/>
      <c r="H2244" s="112"/>
      <c r="Z2244" s="112"/>
      <c r="AA2244" s="112"/>
    </row>
    <row r="2245" spans="3:27" x14ac:dyDescent="0.25">
      <c r="C2245" s="112"/>
      <c r="D2245" s="112"/>
      <c r="E2245" s="113"/>
      <c r="F2245" s="113"/>
      <c r="G2245" s="112"/>
      <c r="H2245" s="112"/>
      <c r="Z2245" s="112"/>
      <c r="AA2245" s="112"/>
    </row>
    <row r="2246" spans="3:27" x14ac:dyDescent="0.25">
      <c r="C2246" s="112"/>
      <c r="D2246" s="112"/>
      <c r="E2246" s="113"/>
      <c r="F2246" s="113"/>
      <c r="G2246" s="112"/>
      <c r="H2246" s="112"/>
      <c r="Z2246" s="112"/>
      <c r="AA2246" s="112"/>
    </row>
    <row r="2247" spans="3:27" x14ac:dyDescent="0.25">
      <c r="C2247" s="112"/>
      <c r="D2247" s="112"/>
      <c r="E2247" s="113"/>
      <c r="F2247" s="113"/>
      <c r="G2247" s="112"/>
      <c r="H2247" s="112"/>
      <c r="Z2247" s="112"/>
      <c r="AA2247" s="112"/>
    </row>
    <row r="2248" spans="3:27" x14ac:dyDescent="0.25">
      <c r="C2248" s="112"/>
      <c r="D2248" s="112"/>
      <c r="E2248" s="113"/>
      <c r="F2248" s="113"/>
      <c r="G2248" s="112"/>
      <c r="H2248" s="112"/>
      <c r="Z2248" s="112"/>
      <c r="AA2248" s="112"/>
    </row>
    <row r="2249" spans="3:27" x14ac:dyDescent="0.25">
      <c r="C2249" s="112"/>
      <c r="D2249" s="112"/>
      <c r="E2249" s="113"/>
      <c r="F2249" s="113"/>
      <c r="G2249" s="112"/>
      <c r="H2249" s="112"/>
      <c r="Z2249" s="112"/>
      <c r="AA2249" s="112"/>
    </row>
    <row r="2250" spans="3:27" x14ac:dyDescent="0.25">
      <c r="C2250" s="112"/>
      <c r="D2250" s="112"/>
      <c r="E2250" s="113"/>
      <c r="F2250" s="113"/>
      <c r="G2250" s="112"/>
      <c r="H2250" s="112"/>
      <c r="Z2250" s="112"/>
      <c r="AA2250" s="112"/>
    </row>
    <row r="2251" spans="3:27" x14ac:dyDescent="0.25">
      <c r="C2251" s="112"/>
      <c r="D2251" s="112"/>
      <c r="E2251" s="113"/>
      <c r="F2251" s="113"/>
      <c r="G2251" s="112"/>
      <c r="H2251" s="112"/>
      <c r="Z2251" s="112"/>
      <c r="AA2251" s="112"/>
    </row>
    <row r="2252" spans="3:27" x14ac:dyDescent="0.25">
      <c r="C2252" s="112"/>
      <c r="D2252" s="112"/>
      <c r="E2252" s="113"/>
      <c r="F2252" s="113"/>
      <c r="G2252" s="112"/>
      <c r="H2252" s="112"/>
      <c r="Z2252" s="112"/>
      <c r="AA2252" s="112"/>
    </row>
    <row r="2253" spans="3:27" x14ac:dyDescent="0.25">
      <c r="C2253" s="112"/>
      <c r="D2253" s="112"/>
      <c r="E2253" s="113"/>
      <c r="F2253" s="113"/>
      <c r="G2253" s="112"/>
      <c r="H2253" s="112"/>
      <c r="Z2253" s="112"/>
      <c r="AA2253" s="112"/>
    </row>
    <row r="2254" spans="3:27" x14ac:dyDescent="0.25">
      <c r="C2254" s="112"/>
      <c r="D2254" s="112"/>
      <c r="E2254" s="113"/>
      <c r="F2254" s="113"/>
      <c r="G2254" s="112"/>
      <c r="H2254" s="112"/>
      <c r="Z2254" s="112"/>
      <c r="AA2254" s="112"/>
    </row>
    <row r="2255" spans="3:27" x14ac:dyDescent="0.25">
      <c r="C2255" s="112"/>
      <c r="D2255" s="112"/>
      <c r="E2255" s="113"/>
      <c r="F2255" s="113"/>
      <c r="G2255" s="112"/>
      <c r="H2255" s="112"/>
      <c r="Z2255" s="112"/>
      <c r="AA2255" s="112"/>
    </row>
    <row r="2256" spans="3:27" x14ac:dyDescent="0.25">
      <c r="C2256" s="112"/>
      <c r="D2256" s="112"/>
      <c r="E2256" s="113"/>
      <c r="F2256" s="113"/>
      <c r="G2256" s="112"/>
      <c r="H2256" s="112"/>
      <c r="Z2256" s="112"/>
      <c r="AA2256" s="112"/>
    </row>
    <row r="2257" spans="3:27" x14ac:dyDescent="0.25">
      <c r="C2257" s="112"/>
      <c r="D2257" s="112"/>
      <c r="E2257" s="113"/>
      <c r="F2257" s="113"/>
      <c r="G2257" s="112"/>
      <c r="H2257" s="112"/>
      <c r="Z2257" s="112"/>
      <c r="AA2257" s="112"/>
    </row>
    <row r="2258" spans="3:27" x14ac:dyDescent="0.25">
      <c r="C2258" s="112"/>
      <c r="D2258" s="112"/>
      <c r="E2258" s="113"/>
      <c r="F2258" s="113"/>
      <c r="G2258" s="112"/>
      <c r="H2258" s="112"/>
      <c r="Z2258" s="112"/>
      <c r="AA2258" s="112"/>
    </row>
    <row r="2259" spans="3:27" x14ac:dyDescent="0.25">
      <c r="C2259" s="112"/>
      <c r="D2259" s="112"/>
      <c r="E2259" s="113"/>
      <c r="F2259" s="113"/>
      <c r="G2259" s="112"/>
      <c r="H2259" s="112"/>
      <c r="Z2259" s="112"/>
      <c r="AA2259" s="112"/>
    </row>
    <row r="2260" spans="3:27" x14ac:dyDescent="0.25">
      <c r="C2260" s="112"/>
      <c r="D2260" s="112"/>
      <c r="E2260" s="113"/>
      <c r="F2260" s="113"/>
      <c r="G2260" s="112"/>
      <c r="H2260" s="112"/>
      <c r="Z2260" s="112"/>
      <c r="AA2260" s="112"/>
    </row>
    <row r="2261" spans="3:27" x14ac:dyDescent="0.25">
      <c r="C2261" s="112"/>
      <c r="D2261" s="112"/>
      <c r="E2261" s="113"/>
      <c r="F2261" s="113"/>
      <c r="G2261" s="112"/>
      <c r="H2261" s="112"/>
      <c r="Z2261" s="112"/>
      <c r="AA2261" s="112"/>
    </row>
    <row r="2262" spans="3:27" x14ac:dyDescent="0.25">
      <c r="C2262" s="112"/>
      <c r="D2262" s="112"/>
      <c r="E2262" s="113"/>
      <c r="F2262" s="113"/>
      <c r="G2262" s="112"/>
      <c r="H2262" s="112"/>
      <c r="Z2262" s="112"/>
      <c r="AA2262" s="112"/>
    </row>
    <row r="2263" spans="3:27" x14ac:dyDescent="0.25">
      <c r="C2263" s="112"/>
      <c r="D2263" s="112"/>
      <c r="E2263" s="113"/>
      <c r="F2263" s="113"/>
      <c r="G2263" s="112"/>
      <c r="H2263" s="112"/>
      <c r="Z2263" s="112"/>
      <c r="AA2263" s="112"/>
    </row>
    <row r="2264" spans="3:27" x14ac:dyDescent="0.25">
      <c r="C2264" s="112"/>
      <c r="D2264" s="112"/>
      <c r="E2264" s="113"/>
      <c r="F2264" s="113"/>
      <c r="G2264" s="112"/>
      <c r="H2264" s="112"/>
      <c r="Z2264" s="112"/>
      <c r="AA2264" s="112"/>
    </row>
    <row r="2265" spans="3:27" x14ac:dyDescent="0.25">
      <c r="C2265" s="112"/>
      <c r="D2265" s="112"/>
      <c r="E2265" s="113"/>
      <c r="F2265" s="113"/>
      <c r="G2265" s="112"/>
      <c r="H2265" s="112"/>
      <c r="Z2265" s="112"/>
      <c r="AA2265" s="112"/>
    </row>
    <row r="2266" spans="3:27" x14ac:dyDescent="0.25">
      <c r="C2266" s="112"/>
      <c r="D2266" s="112"/>
      <c r="E2266" s="113"/>
      <c r="F2266" s="113"/>
      <c r="G2266" s="112"/>
      <c r="H2266" s="112"/>
      <c r="Z2266" s="112"/>
      <c r="AA2266" s="112"/>
    </row>
    <row r="2267" spans="3:27" x14ac:dyDescent="0.25">
      <c r="C2267" s="112"/>
      <c r="D2267" s="112"/>
      <c r="E2267" s="113"/>
      <c r="F2267" s="113"/>
      <c r="G2267" s="112"/>
      <c r="H2267" s="112"/>
      <c r="Z2267" s="112"/>
      <c r="AA2267" s="112"/>
    </row>
    <row r="2268" spans="3:27" x14ac:dyDescent="0.25">
      <c r="C2268" s="112"/>
      <c r="D2268" s="112"/>
      <c r="E2268" s="113"/>
      <c r="F2268" s="113"/>
      <c r="G2268" s="112"/>
      <c r="H2268" s="112"/>
      <c r="Z2268" s="112"/>
      <c r="AA2268" s="112"/>
    </row>
    <row r="2269" spans="3:27" x14ac:dyDescent="0.25">
      <c r="C2269" s="112"/>
      <c r="D2269" s="112"/>
      <c r="E2269" s="113"/>
      <c r="F2269" s="113"/>
      <c r="G2269" s="112"/>
      <c r="H2269" s="112"/>
      <c r="Z2269" s="112"/>
      <c r="AA2269" s="112"/>
    </row>
    <row r="2270" spans="3:27" x14ac:dyDescent="0.25">
      <c r="C2270" s="112"/>
      <c r="D2270" s="112"/>
      <c r="E2270" s="113"/>
      <c r="F2270" s="113"/>
      <c r="G2270" s="112"/>
      <c r="H2270" s="112"/>
      <c r="Z2270" s="112"/>
      <c r="AA2270" s="112"/>
    </row>
    <row r="2271" spans="3:27" x14ac:dyDescent="0.25">
      <c r="C2271" s="112"/>
      <c r="D2271" s="112"/>
      <c r="E2271" s="113"/>
      <c r="F2271" s="113"/>
      <c r="G2271" s="112"/>
      <c r="H2271" s="112"/>
      <c r="Z2271" s="112"/>
      <c r="AA2271" s="112"/>
    </row>
    <row r="2272" spans="3:27" x14ac:dyDescent="0.25">
      <c r="C2272" s="112"/>
      <c r="D2272" s="112"/>
      <c r="E2272" s="113"/>
      <c r="F2272" s="113"/>
      <c r="G2272" s="112"/>
      <c r="H2272" s="112"/>
      <c r="Z2272" s="112"/>
      <c r="AA2272" s="112"/>
    </row>
    <row r="2273" spans="3:27" x14ac:dyDescent="0.25">
      <c r="C2273" s="112"/>
      <c r="D2273" s="112"/>
      <c r="E2273" s="113"/>
      <c r="F2273" s="113"/>
      <c r="G2273" s="112"/>
      <c r="H2273" s="112"/>
      <c r="Z2273" s="112"/>
      <c r="AA2273" s="112"/>
    </row>
    <row r="2274" spans="3:27" x14ac:dyDescent="0.25">
      <c r="C2274" s="112"/>
      <c r="D2274" s="112"/>
      <c r="E2274" s="113"/>
      <c r="F2274" s="113"/>
      <c r="G2274" s="112"/>
      <c r="H2274" s="112"/>
      <c r="Z2274" s="112"/>
      <c r="AA2274" s="112"/>
    </row>
    <row r="2275" spans="3:27" x14ac:dyDescent="0.25">
      <c r="C2275" s="112"/>
      <c r="D2275" s="112"/>
      <c r="E2275" s="113"/>
      <c r="F2275" s="113"/>
      <c r="G2275" s="112"/>
      <c r="H2275" s="112"/>
      <c r="Z2275" s="112"/>
      <c r="AA2275" s="112"/>
    </row>
    <row r="2276" spans="3:27" x14ac:dyDescent="0.25">
      <c r="C2276" s="112"/>
      <c r="D2276" s="112"/>
      <c r="E2276" s="113"/>
      <c r="F2276" s="113"/>
      <c r="G2276" s="112"/>
      <c r="H2276" s="112"/>
      <c r="Z2276" s="112"/>
      <c r="AA2276" s="112"/>
    </row>
    <row r="2277" spans="3:27" x14ac:dyDescent="0.25">
      <c r="C2277" s="112"/>
      <c r="D2277" s="112"/>
      <c r="E2277" s="113"/>
      <c r="F2277" s="113"/>
      <c r="G2277" s="112"/>
      <c r="H2277" s="112"/>
      <c r="Z2277" s="112"/>
      <c r="AA2277" s="112"/>
    </row>
    <row r="2278" spans="3:27" x14ac:dyDescent="0.25">
      <c r="C2278" s="112"/>
      <c r="D2278" s="112"/>
      <c r="E2278" s="113"/>
      <c r="F2278" s="113"/>
      <c r="G2278" s="112"/>
      <c r="H2278" s="112"/>
      <c r="Z2278" s="112"/>
      <c r="AA2278" s="112"/>
    </row>
    <row r="2279" spans="3:27" x14ac:dyDescent="0.25">
      <c r="C2279" s="112"/>
      <c r="D2279" s="112"/>
      <c r="E2279" s="113"/>
      <c r="F2279" s="113"/>
      <c r="G2279" s="112"/>
      <c r="H2279" s="112"/>
      <c r="Z2279" s="112"/>
      <c r="AA2279" s="112"/>
    </row>
    <row r="2280" spans="3:27" x14ac:dyDescent="0.25">
      <c r="C2280" s="112"/>
      <c r="D2280" s="112"/>
      <c r="E2280" s="113"/>
      <c r="F2280" s="113"/>
      <c r="G2280" s="112"/>
      <c r="H2280" s="112"/>
      <c r="Z2280" s="112"/>
      <c r="AA2280" s="112"/>
    </row>
    <row r="2281" spans="3:27" x14ac:dyDescent="0.25">
      <c r="C2281" s="112"/>
      <c r="D2281" s="112"/>
      <c r="E2281" s="113"/>
      <c r="F2281" s="113"/>
      <c r="G2281" s="112"/>
      <c r="H2281" s="112"/>
      <c r="Z2281" s="112"/>
      <c r="AA2281" s="112"/>
    </row>
    <row r="2282" spans="3:27" x14ac:dyDescent="0.25">
      <c r="C2282" s="112"/>
      <c r="D2282" s="112"/>
      <c r="E2282" s="113"/>
      <c r="F2282" s="113"/>
      <c r="G2282" s="112"/>
      <c r="H2282" s="112"/>
      <c r="Z2282" s="112"/>
      <c r="AA2282" s="112"/>
    </row>
    <row r="2283" spans="3:27" x14ac:dyDescent="0.25">
      <c r="C2283" s="112"/>
      <c r="D2283" s="112"/>
      <c r="E2283" s="113"/>
      <c r="F2283" s="113"/>
      <c r="G2283" s="112"/>
      <c r="H2283" s="112"/>
      <c r="Z2283" s="112"/>
      <c r="AA2283" s="112"/>
    </row>
    <row r="2284" spans="3:27" x14ac:dyDescent="0.25">
      <c r="C2284" s="112"/>
      <c r="D2284" s="112"/>
      <c r="E2284" s="113"/>
      <c r="F2284" s="113"/>
      <c r="G2284" s="112"/>
      <c r="H2284" s="112"/>
      <c r="Z2284" s="112"/>
      <c r="AA2284" s="112"/>
    </row>
    <row r="2285" spans="3:27" x14ac:dyDescent="0.25">
      <c r="C2285" s="112"/>
      <c r="D2285" s="112"/>
      <c r="E2285" s="113"/>
      <c r="F2285" s="113"/>
      <c r="G2285" s="112"/>
      <c r="H2285" s="112"/>
      <c r="Z2285" s="112"/>
      <c r="AA2285" s="112"/>
    </row>
    <row r="2286" spans="3:27" x14ac:dyDescent="0.25">
      <c r="C2286" s="112"/>
      <c r="D2286" s="112"/>
      <c r="E2286" s="113"/>
      <c r="F2286" s="113"/>
      <c r="G2286" s="112"/>
      <c r="H2286" s="112"/>
      <c r="Z2286" s="112"/>
      <c r="AA2286" s="112"/>
    </row>
    <row r="2287" spans="3:27" x14ac:dyDescent="0.25">
      <c r="C2287" s="112"/>
      <c r="D2287" s="112"/>
      <c r="E2287" s="113"/>
      <c r="F2287" s="113"/>
      <c r="G2287" s="112"/>
      <c r="H2287" s="112"/>
      <c r="Z2287" s="112"/>
      <c r="AA2287" s="112"/>
    </row>
    <row r="2288" spans="3:27" x14ac:dyDescent="0.25">
      <c r="C2288" s="112"/>
      <c r="D2288" s="112"/>
      <c r="E2288" s="113"/>
      <c r="F2288" s="113"/>
      <c r="G2288" s="112"/>
      <c r="H2288" s="112"/>
      <c r="Z2288" s="112"/>
      <c r="AA2288" s="112"/>
    </row>
    <row r="2289" spans="3:27" x14ac:dyDescent="0.25">
      <c r="C2289" s="112"/>
      <c r="D2289" s="112"/>
      <c r="E2289" s="113"/>
      <c r="F2289" s="113"/>
      <c r="G2289" s="112"/>
      <c r="H2289" s="112"/>
      <c r="Z2289" s="112"/>
      <c r="AA2289" s="112"/>
    </row>
    <row r="2290" spans="3:27" x14ac:dyDescent="0.25">
      <c r="C2290" s="112"/>
      <c r="D2290" s="112"/>
      <c r="E2290" s="113"/>
      <c r="F2290" s="113"/>
      <c r="G2290" s="112"/>
      <c r="H2290" s="112"/>
      <c r="Z2290" s="112"/>
      <c r="AA2290" s="112"/>
    </row>
    <row r="2291" spans="3:27" x14ac:dyDescent="0.25">
      <c r="C2291" s="112"/>
      <c r="D2291" s="112"/>
      <c r="E2291" s="113"/>
      <c r="F2291" s="113"/>
      <c r="G2291" s="112"/>
      <c r="H2291" s="112"/>
      <c r="Z2291" s="112"/>
      <c r="AA2291" s="112"/>
    </row>
    <row r="2292" spans="3:27" x14ac:dyDescent="0.25">
      <c r="C2292" s="112"/>
      <c r="D2292" s="112"/>
      <c r="E2292" s="113"/>
      <c r="F2292" s="113"/>
      <c r="G2292" s="112"/>
      <c r="H2292" s="112"/>
      <c r="Z2292" s="112"/>
      <c r="AA2292" s="112"/>
    </row>
    <row r="2293" spans="3:27" x14ac:dyDescent="0.25">
      <c r="C2293" s="112"/>
      <c r="D2293" s="112"/>
      <c r="E2293" s="113"/>
      <c r="F2293" s="113"/>
      <c r="G2293" s="112"/>
      <c r="H2293" s="112"/>
      <c r="Z2293" s="112"/>
      <c r="AA2293" s="112"/>
    </row>
    <row r="2294" spans="3:27" x14ac:dyDescent="0.25">
      <c r="C2294" s="112"/>
      <c r="D2294" s="112"/>
      <c r="E2294" s="113"/>
      <c r="F2294" s="113"/>
      <c r="G2294" s="112"/>
      <c r="H2294" s="112"/>
      <c r="Z2294" s="112"/>
      <c r="AA2294" s="112"/>
    </row>
    <row r="2295" spans="3:27" x14ac:dyDescent="0.25">
      <c r="C2295" s="112"/>
      <c r="D2295" s="112"/>
      <c r="E2295" s="113"/>
      <c r="F2295" s="113"/>
      <c r="G2295" s="112"/>
      <c r="H2295" s="112"/>
      <c r="Z2295" s="112"/>
      <c r="AA2295" s="112"/>
    </row>
    <row r="2296" spans="3:27" x14ac:dyDescent="0.25">
      <c r="C2296" s="112"/>
      <c r="D2296" s="112"/>
      <c r="E2296" s="113"/>
      <c r="F2296" s="113"/>
      <c r="G2296" s="112"/>
      <c r="H2296" s="112"/>
      <c r="Z2296" s="112"/>
      <c r="AA2296" s="112"/>
    </row>
    <row r="2297" spans="3:27" x14ac:dyDescent="0.25">
      <c r="C2297" s="112"/>
      <c r="D2297" s="112"/>
      <c r="E2297" s="113"/>
      <c r="F2297" s="113"/>
      <c r="G2297" s="112"/>
      <c r="H2297" s="112"/>
      <c r="Z2297" s="112"/>
      <c r="AA2297" s="112"/>
    </row>
    <row r="2298" spans="3:27" x14ac:dyDescent="0.25">
      <c r="C2298" s="112"/>
      <c r="D2298" s="112"/>
      <c r="E2298" s="113"/>
      <c r="F2298" s="113"/>
      <c r="G2298" s="112"/>
      <c r="H2298" s="112"/>
      <c r="Z2298" s="112"/>
      <c r="AA2298" s="112"/>
    </row>
    <row r="2299" spans="3:27" x14ac:dyDescent="0.25">
      <c r="C2299" s="112"/>
      <c r="D2299" s="112"/>
      <c r="E2299" s="113"/>
      <c r="F2299" s="113"/>
      <c r="G2299" s="112"/>
      <c r="H2299" s="112"/>
      <c r="Z2299" s="112"/>
      <c r="AA2299" s="112"/>
    </row>
    <row r="2300" spans="3:27" x14ac:dyDescent="0.25">
      <c r="C2300" s="112"/>
      <c r="D2300" s="112"/>
      <c r="E2300" s="113"/>
      <c r="F2300" s="113"/>
      <c r="G2300" s="112"/>
      <c r="H2300" s="112"/>
      <c r="Z2300" s="112"/>
      <c r="AA2300" s="112"/>
    </row>
    <row r="2301" spans="3:27" x14ac:dyDescent="0.25">
      <c r="C2301" s="112"/>
      <c r="D2301" s="112"/>
      <c r="E2301" s="113"/>
      <c r="F2301" s="113"/>
      <c r="G2301" s="112"/>
      <c r="H2301" s="112"/>
      <c r="Z2301" s="112"/>
      <c r="AA2301" s="112"/>
    </row>
    <row r="2302" spans="3:27" x14ac:dyDescent="0.25">
      <c r="C2302" s="112"/>
      <c r="D2302" s="112"/>
      <c r="E2302" s="113"/>
      <c r="F2302" s="113"/>
      <c r="G2302" s="112"/>
      <c r="H2302" s="112"/>
      <c r="Z2302" s="112"/>
      <c r="AA2302" s="112"/>
    </row>
    <row r="2303" spans="3:27" x14ac:dyDescent="0.25">
      <c r="C2303" s="112"/>
      <c r="D2303" s="112"/>
      <c r="E2303" s="113"/>
      <c r="F2303" s="113"/>
      <c r="G2303" s="112"/>
      <c r="H2303" s="112"/>
      <c r="Z2303" s="112"/>
      <c r="AA2303" s="112"/>
    </row>
    <row r="2304" spans="3:27" x14ac:dyDescent="0.25">
      <c r="C2304" s="112"/>
      <c r="D2304" s="112"/>
      <c r="E2304" s="113"/>
      <c r="F2304" s="113"/>
      <c r="G2304" s="112"/>
      <c r="H2304" s="112"/>
      <c r="Z2304" s="112"/>
      <c r="AA2304" s="112"/>
    </row>
    <row r="2305" spans="3:27" x14ac:dyDescent="0.25">
      <c r="C2305" s="112"/>
      <c r="D2305" s="112"/>
      <c r="E2305" s="113"/>
      <c r="F2305" s="113"/>
      <c r="G2305" s="112"/>
      <c r="H2305" s="112"/>
      <c r="Z2305" s="112"/>
      <c r="AA2305" s="112"/>
    </row>
    <row r="2306" spans="3:27" x14ac:dyDescent="0.25">
      <c r="C2306" s="112"/>
      <c r="D2306" s="112"/>
      <c r="E2306" s="113"/>
      <c r="F2306" s="113"/>
      <c r="G2306" s="112"/>
      <c r="H2306" s="112"/>
      <c r="Z2306" s="112"/>
      <c r="AA2306" s="112"/>
    </row>
    <row r="2307" spans="3:27" x14ac:dyDescent="0.25">
      <c r="C2307" s="112"/>
      <c r="D2307" s="112"/>
      <c r="E2307" s="113"/>
      <c r="F2307" s="113"/>
      <c r="G2307" s="112"/>
      <c r="H2307" s="112"/>
      <c r="Z2307" s="112"/>
      <c r="AA2307" s="112"/>
    </row>
    <row r="2308" spans="3:27" x14ac:dyDescent="0.25">
      <c r="C2308" s="112"/>
      <c r="D2308" s="112"/>
      <c r="E2308" s="113"/>
      <c r="F2308" s="113"/>
      <c r="G2308" s="112"/>
      <c r="H2308" s="112"/>
      <c r="Z2308" s="112"/>
      <c r="AA2308" s="112"/>
    </row>
    <row r="2309" spans="3:27" x14ac:dyDescent="0.25">
      <c r="C2309" s="112"/>
      <c r="D2309" s="112"/>
      <c r="E2309" s="113"/>
      <c r="F2309" s="113"/>
      <c r="G2309" s="112"/>
      <c r="H2309" s="112"/>
      <c r="Z2309" s="112"/>
      <c r="AA2309" s="112"/>
    </row>
    <row r="2310" spans="3:27" x14ac:dyDescent="0.25">
      <c r="C2310" s="112"/>
      <c r="D2310" s="112"/>
      <c r="E2310" s="113"/>
      <c r="F2310" s="113"/>
      <c r="G2310" s="112"/>
      <c r="H2310" s="112"/>
      <c r="Z2310" s="112"/>
      <c r="AA2310" s="112"/>
    </row>
    <row r="2311" spans="3:27" x14ac:dyDescent="0.25">
      <c r="C2311" s="112"/>
      <c r="D2311" s="112"/>
      <c r="E2311" s="113"/>
      <c r="F2311" s="113"/>
      <c r="G2311" s="112"/>
      <c r="H2311" s="112"/>
      <c r="Z2311" s="112"/>
      <c r="AA2311" s="112"/>
    </row>
    <row r="2312" spans="3:27" x14ac:dyDescent="0.25">
      <c r="C2312" s="112"/>
      <c r="D2312" s="112"/>
      <c r="E2312" s="113"/>
      <c r="F2312" s="113"/>
      <c r="G2312" s="112"/>
      <c r="H2312" s="112"/>
      <c r="Z2312" s="112"/>
      <c r="AA2312" s="112"/>
    </row>
    <row r="2313" spans="3:27" x14ac:dyDescent="0.25">
      <c r="C2313" s="112"/>
      <c r="D2313" s="112"/>
      <c r="E2313" s="113"/>
      <c r="F2313" s="113"/>
      <c r="G2313" s="112"/>
      <c r="H2313" s="112"/>
      <c r="Z2313" s="112"/>
      <c r="AA2313" s="112"/>
    </row>
    <row r="2314" spans="3:27" x14ac:dyDescent="0.25">
      <c r="C2314" s="112"/>
      <c r="D2314" s="112"/>
      <c r="E2314" s="113"/>
      <c r="F2314" s="113"/>
      <c r="G2314" s="112"/>
      <c r="H2314" s="112"/>
      <c r="Z2314" s="112"/>
      <c r="AA2314" s="112"/>
    </row>
    <row r="2315" spans="3:27" x14ac:dyDescent="0.25">
      <c r="C2315" s="112"/>
      <c r="D2315" s="112"/>
      <c r="E2315" s="113"/>
      <c r="F2315" s="113"/>
      <c r="G2315" s="112"/>
      <c r="H2315" s="112"/>
      <c r="Z2315" s="112"/>
      <c r="AA2315" s="112"/>
    </row>
    <row r="2316" spans="3:27" x14ac:dyDescent="0.25">
      <c r="C2316" s="112"/>
      <c r="D2316" s="112"/>
      <c r="E2316" s="113"/>
      <c r="F2316" s="113"/>
      <c r="G2316" s="112"/>
      <c r="H2316" s="112"/>
      <c r="Z2316" s="112"/>
      <c r="AA2316" s="112"/>
    </row>
    <row r="2317" spans="3:27" x14ac:dyDescent="0.25">
      <c r="C2317" s="112"/>
      <c r="D2317" s="112"/>
      <c r="E2317" s="113"/>
      <c r="F2317" s="113"/>
      <c r="G2317" s="112"/>
      <c r="H2317" s="112"/>
      <c r="Z2317" s="112"/>
      <c r="AA2317" s="112"/>
    </row>
    <row r="2318" spans="3:27" x14ac:dyDescent="0.25">
      <c r="C2318" s="112"/>
      <c r="D2318" s="112"/>
      <c r="E2318" s="113"/>
      <c r="F2318" s="113"/>
      <c r="G2318" s="112"/>
      <c r="H2318" s="112"/>
      <c r="Z2318" s="112"/>
      <c r="AA2318" s="112"/>
    </row>
    <row r="2319" spans="3:27" x14ac:dyDescent="0.25">
      <c r="C2319" s="112"/>
      <c r="D2319" s="112"/>
      <c r="E2319" s="113"/>
      <c r="F2319" s="113"/>
      <c r="G2319" s="112"/>
      <c r="H2319" s="112"/>
      <c r="Z2319" s="112"/>
      <c r="AA2319" s="112"/>
    </row>
    <row r="2320" spans="3:27" x14ac:dyDescent="0.25">
      <c r="C2320" s="112"/>
      <c r="D2320" s="112"/>
      <c r="E2320" s="113"/>
      <c r="F2320" s="113"/>
      <c r="G2320" s="112"/>
      <c r="H2320" s="112"/>
      <c r="Z2320" s="112"/>
      <c r="AA2320" s="112"/>
    </row>
    <row r="2321" spans="3:27" x14ac:dyDescent="0.25">
      <c r="C2321" s="112"/>
      <c r="D2321" s="112"/>
      <c r="E2321" s="113"/>
      <c r="F2321" s="113"/>
      <c r="G2321" s="112"/>
      <c r="H2321" s="112"/>
      <c r="Z2321" s="112"/>
      <c r="AA2321" s="112"/>
    </row>
    <row r="2322" spans="3:27" x14ac:dyDescent="0.25">
      <c r="C2322" s="112"/>
      <c r="D2322" s="112"/>
      <c r="E2322" s="113"/>
      <c r="F2322" s="113"/>
      <c r="G2322" s="112"/>
      <c r="H2322" s="112"/>
      <c r="Z2322" s="112"/>
      <c r="AA2322" s="112"/>
    </row>
    <row r="2323" spans="3:27" x14ac:dyDescent="0.25">
      <c r="C2323" s="112"/>
      <c r="D2323" s="112"/>
      <c r="E2323" s="113"/>
      <c r="F2323" s="113"/>
      <c r="G2323" s="112"/>
      <c r="H2323" s="112"/>
      <c r="Z2323" s="112"/>
      <c r="AA2323" s="112"/>
    </row>
    <row r="2324" spans="3:27" x14ac:dyDescent="0.25">
      <c r="C2324" s="112"/>
      <c r="D2324" s="112"/>
      <c r="E2324" s="113"/>
      <c r="F2324" s="113"/>
      <c r="G2324" s="112"/>
      <c r="H2324" s="112"/>
      <c r="Z2324" s="112"/>
      <c r="AA2324" s="112"/>
    </row>
    <row r="2325" spans="3:27" x14ac:dyDescent="0.25">
      <c r="C2325" s="112"/>
      <c r="D2325" s="112"/>
      <c r="E2325" s="113"/>
      <c r="F2325" s="113"/>
      <c r="G2325" s="112"/>
      <c r="H2325" s="112"/>
      <c r="Z2325" s="112"/>
      <c r="AA2325" s="112"/>
    </row>
    <row r="2326" spans="3:27" x14ac:dyDescent="0.25">
      <c r="C2326" s="112"/>
      <c r="D2326" s="112"/>
      <c r="E2326" s="113"/>
      <c r="F2326" s="113"/>
      <c r="G2326" s="112"/>
      <c r="H2326" s="112"/>
      <c r="Z2326" s="112"/>
      <c r="AA2326" s="112"/>
    </row>
    <row r="2327" spans="3:27" x14ac:dyDescent="0.25">
      <c r="C2327" s="112"/>
      <c r="D2327" s="112"/>
      <c r="E2327" s="113"/>
      <c r="F2327" s="113"/>
      <c r="G2327" s="112"/>
      <c r="H2327" s="112"/>
      <c r="Z2327" s="112"/>
      <c r="AA2327" s="112"/>
    </row>
    <row r="2328" spans="3:27" x14ac:dyDescent="0.25">
      <c r="C2328" s="112"/>
      <c r="D2328" s="112"/>
      <c r="E2328" s="113"/>
      <c r="F2328" s="113"/>
      <c r="G2328" s="112"/>
      <c r="H2328" s="112"/>
      <c r="Z2328" s="112"/>
      <c r="AA2328" s="112"/>
    </row>
    <row r="2329" spans="3:27" x14ac:dyDescent="0.25">
      <c r="C2329" s="112"/>
      <c r="D2329" s="112"/>
      <c r="E2329" s="113"/>
      <c r="F2329" s="113"/>
      <c r="G2329" s="112"/>
      <c r="H2329" s="112"/>
      <c r="Z2329" s="112"/>
      <c r="AA2329" s="112"/>
    </row>
    <row r="2330" spans="3:27" x14ac:dyDescent="0.25">
      <c r="C2330" s="112"/>
      <c r="D2330" s="112"/>
      <c r="E2330" s="113"/>
      <c r="F2330" s="113"/>
      <c r="G2330" s="112"/>
      <c r="H2330" s="112"/>
      <c r="Z2330" s="112"/>
      <c r="AA2330" s="112"/>
    </row>
    <row r="2331" spans="3:27" x14ac:dyDescent="0.25">
      <c r="C2331" s="112"/>
      <c r="D2331" s="112"/>
      <c r="E2331" s="113"/>
      <c r="F2331" s="113"/>
      <c r="G2331" s="112"/>
      <c r="H2331" s="112"/>
      <c r="Z2331" s="112"/>
      <c r="AA2331" s="112"/>
    </row>
    <row r="2332" spans="3:27" x14ac:dyDescent="0.25">
      <c r="C2332" s="112"/>
      <c r="D2332" s="112"/>
      <c r="E2332" s="113"/>
      <c r="F2332" s="113"/>
      <c r="G2332" s="112"/>
      <c r="H2332" s="112"/>
      <c r="Z2332" s="112"/>
      <c r="AA2332" s="112"/>
    </row>
    <row r="2333" spans="3:27" x14ac:dyDescent="0.25">
      <c r="C2333" s="112"/>
      <c r="D2333" s="112"/>
      <c r="E2333" s="113"/>
      <c r="F2333" s="113"/>
      <c r="G2333" s="112"/>
      <c r="H2333" s="112"/>
      <c r="Z2333" s="112"/>
      <c r="AA2333" s="112"/>
    </row>
    <row r="2334" spans="3:27" x14ac:dyDescent="0.25">
      <c r="C2334" s="112"/>
      <c r="D2334" s="112"/>
      <c r="E2334" s="113"/>
      <c r="F2334" s="113"/>
      <c r="G2334" s="112"/>
      <c r="H2334" s="112"/>
      <c r="Z2334" s="112"/>
      <c r="AA2334" s="112"/>
    </row>
    <row r="2335" spans="3:27" x14ac:dyDescent="0.25">
      <c r="C2335" s="112"/>
      <c r="D2335" s="112"/>
      <c r="E2335" s="113"/>
      <c r="F2335" s="113"/>
      <c r="G2335" s="112"/>
      <c r="H2335" s="112"/>
      <c r="Z2335" s="112"/>
      <c r="AA2335" s="112"/>
    </row>
    <row r="2336" spans="3:27" x14ac:dyDescent="0.25">
      <c r="C2336" s="112"/>
      <c r="D2336" s="112"/>
      <c r="E2336" s="113"/>
      <c r="F2336" s="113"/>
      <c r="G2336" s="112"/>
      <c r="H2336" s="112"/>
      <c r="Z2336" s="112"/>
      <c r="AA2336" s="112"/>
    </row>
    <row r="2337" spans="3:27" x14ac:dyDescent="0.25">
      <c r="C2337" s="112"/>
      <c r="D2337" s="112"/>
      <c r="E2337" s="113"/>
      <c r="F2337" s="113"/>
      <c r="G2337" s="112"/>
      <c r="H2337" s="112"/>
      <c r="Z2337" s="112"/>
      <c r="AA2337" s="112"/>
    </row>
    <row r="2338" spans="3:27" x14ac:dyDescent="0.25">
      <c r="C2338" s="112"/>
      <c r="D2338" s="112"/>
      <c r="E2338" s="113"/>
      <c r="F2338" s="113"/>
      <c r="G2338" s="112"/>
      <c r="H2338" s="112"/>
      <c r="Z2338" s="112"/>
      <c r="AA2338" s="112"/>
    </row>
    <row r="2339" spans="3:27" x14ac:dyDescent="0.25">
      <c r="C2339" s="112"/>
      <c r="D2339" s="112"/>
      <c r="E2339" s="113"/>
      <c r="F2339" s="113"/>
      <c r="G2339" s="112"/>
      <c r="H2339" s="112"/>
      <c r="Z2339" s="112"/>
      <c r="AA2339" s="112"/>
    </row>
    <row r="2340" spans="3:27" x14ac:dyDescent="0.25">
      <c r="C2340" s="112"/>
      <c r="D2340" s="112"/>
      <c r="E2340" s="113"/>
      <c r="F2340" s="113"/>
      <c r="G2340" s="112"/>
      <c r="H2340" s="112"/>
      <c r="Z2340" s="112"/>
      <c r="AA2340" s="112"/>
    </row>
    <row r="2341" spans="3:27" x14ac:dyDescent="0.25">
      <c r="C2341" s="112"/>
      <c r="D2341" s="112"/>
      <c r="E2341" s="113"/>
      <c r="F2341" s="113"/>
      <c r="G2341" s="112"/>
      <c r="H2341" s="112"/>
      <c r="Z2341" s="112"/>
      <c r="AA2341" s="112"/>
    </row>
    <row r="2342" spans="3:27" x14ac:dyDescent="0.25">
      <c r="C2342" s="112"/>
      <c r="D2342" s="112"/>
      <c r="E2342" s="113"/>
      <c r="F2342" s="113"/>
      <c r="G2342" s="112"/>
      <c r="H2342" s="112"/>
      <c r="Z2342" s="112"/>
      <c r="AA2342" s="112"/>
    </row>
    <row r="2343" spans="3:27" x14ac:dyDescent="0.25">
      <c r="C2343" s="112"/>
      <c r="D2343" s="112"/>
      <c r="E2343" s="113"/>
      <c r="F2343" s="113"/>
      <c r="G2343" s="112"/>
      <c r="H2343" s="112"/>
      <c r="Z2343" s="112"/>
      <c r="AA2343" s="112"/>
    </row>
    <row r="2344" spans="3:27" x14ac:dyDescent="0.25">
      <c r="C2344" s="112"/>
      <c r="D2344" s="112"/>
      <c r="E2344" s="113"/>
      <c r="F2344" s="113"/>
      <c r="G2344" s="112"/>
      <c r="H2344" s="112"/>
      <c r="Z2344" s="112"/>
      <c r="AA2344" s="112"/>
    </row>
    <row r="2345" spans="3:27" x14ac:dyDescent="0.25">
      <c r="C2345" s="112"/>
      <c r="D2345" s="112"/>
      <c r="E2345" s="113"/>
      <c r="F2345" s="113"/>
      <c r="G2345" s="112"/>
      <c r="H2345" s="112"/>
      <c r="Z2345" s="112"/>
      <c r="AA2345" s="112"/>
    </row>
    <row r="2346" spans="3:27" x14ac:dyDescent="0.25">
      <c r="C2346" s="112"/>
      <c r="D2346" s="112"/>
      <c r="E2346" s="113"/>
      <c r="F2346" s="113"/>
      <c r="G2346" s="112"/>
      <c r="H2346" s="112"/>
      <c r="Z2346" s="112"/>
      <c r="AA2346" s="112"/>
    </row>
    <row r="2347" spans="3:27" x14ac:dyDescent="0.25">
      <c r="C2347" s="112"/>
      <c r="D2347" s="112"/>
      <c r="E2347" s="113"/>
      <c r="F2347" s="113"/>
      <c r="G2347" s="112"/>
      <c r="H2347" s="112"/>
      <c r="Z2347" s="112"/>
      <c r="AA2347" s="112"/>
    </row>
    <row r="2348" spans="3:27" x14ac:dyDescent="0.25">
      <c r="C2348" s="112"/>
      <c r="D2348" s="112"/>
      <c r="E2348" s="113"/>
      <c r="F2348" s="113"/>
      <c r="G2348" s="112"/>
      <c r="H2348" s="112"/>
      <c r="Z2348" s="112"/>
      <c r="AA2348" s="112"/>
    </row>
    <row r="2349" spans="3:27" x14ac:dyDescent="0.25">
      <c r="C2349" s="112"/>
      <c r="D2349" s="112"/>
      <c r="E2349" s="113"/>
      <c r="F2349" s="113"/>
      <c r="G2349" s="112"/>
      <c r="H2349" s="112"/>
      <c r="Z2349" s="112"/>
      <c r="AA2349" s="112"/>
    </row>
    <row r="2350" spans="3:27" x14ac:dyDescent="0.25">
      <c r="C2350" s="112"/>
      <c r="D2350" s="112"/>
      <c r="E2350" s="113"/>
      <c r="F2350" s="113"/>
      <c r="G2350" s="112"/>
      <c r="H2350" s="112"/>
      <c r="Z2350" s="112"/>
      <c r="AA2350" s="112"/>
    </row>
    <row r="2351" spans="3:27" x14ac:dyDescent="0.25">
      <c r="C2351" s="112"/>
      <c r="D2351" s="112"/>
      <c r="E2351" s="113"/>
      <c r="F2351" s="113"/>
      <c r="G2351" s="112"/>
      <c r="H2351" s="112"/>
      <c r="Z2351" s="112"/>
      <c r="AA2351" s="112"/>
    </row>
    <row r="2352" spans="3:27" x14ac:dyDescent="0.25">
      <c r="C2352" s="112"/>
      <c r="D2352" s="112"/>
      <c r="E2352" s="113"/>
      <c r="F2352" s="113"/>
      <c r="G2352" s="112"/>
      <c r="H2352" s="112"/>
      <c r="Z2352" s="112"/>
      <c r="AA2352" s="112"/>
    </row>
    <row r="2353" spans="3:27" x14ac:dyDescent="0.25">
      <c r="C2353" s="112"/>
      <c r="D2353" s="112"/>
      <c r="E2353" s="113"/>
      <c r="F2353" s="113"/>
      <c r="G2353" s="112"/>
      <c r="H2353" s="112"/>
      <c r="Z2353" s="112"/>
      <c r="AA2353" s="112"/>
    </row>
    <row r="2354" spans="3:27" x14ac:dyDescent="0.25">
      <c r="C2354" s="112"/>
      <c r="D2354" s="112"/>
      <c r="E2354" s="113"/>
      <c r="F2354" s="113"/>
      <c r="G2354" s="112"/>
      <c r="H2354" s="112"/>
      <c r="Z2354" s="112"/>
      <c r="AA2354" s="112"/>
    </row>
    <row r="2355" spans="3:27" x14ac:dyDescent="0.25">
      <c r="C2355" s="112"/>
      <c r="D2355" s="112"/>
      <c r="E2355" s="113"/>
      <c r="F2355" s="113"/>
      <c r="G2355" s="112"/>
      <c r="H2355" s="112"/>
      <c r="Z2355" s="112"/>
      <c r="AA2355" s="112"/>
    </row>
    <row r="2356" spans="3:27" x14ac:dyDescent="0.25">
      <c r="C2356" s="112"/>
      <c r="D2356" s="112"/>
      <c r="E2356" s="113"/>
      <c r="F2356" s="113"/>
      <c r="G2356" s="112"/>
      <c r="H2356" s="112"/>
      <c r="Z2356" s="112"/>
      <c r="AA2356" s="112"/>
    </row>
    <row r="2357" spans="3:27" x14ac:dyDescent="0.25">
      <c r="C2357" s="112"/>
      <c r="D2357" s="112"/>
      <c r="E2357" s="113"/>
      <c r="F2357" s="113"/>
      <c r="G2357" s="112"/>
      <c r="H2357" s="112"/>
      <c r="Z2357" s="112"/>
      <c r="AA2357" s="112"/>
    </row>
    <row r="2358" spans="3:27" x14ac:dyDescent="0.25">
      <c r="C2358" s="112"/>
      <c r="D2358" s="112"/>
      <c r="E2358" s="113"/>
      <c r="F2358" s="113"/>
      <c r="G2358" s="112"/>
      <c r="H2358" s="112"/>
      <c r="Z2358" s="112"/>
      <c r="AA2358" s="112"/>
    </row>
    <row r="2359" spans="3:27" x14ac:dyDescent="0.25">
      <c r="C2359" s="112"/>
      <c r="D2359" s="112"/>
      <c r="E2359" s="113"/>
      <c r="F2359" s="113"/>
      <c r="G2359" s="112"/>
      <c r="H2359" s="112"/>
      <c r="Z2359" s="112"/>
      <c r="AA2359" s="112"/>
    </row>
    <row r="2360" spans="3:27" x14ac:dyDescent="0.25">
      <c r="C2360" s="112"/>
      <c r="D2360" s="112"/>
      <c r="E2360" s="113"/>
      <c r="F2360" s="113"/>
      <c r="G2360" s="112"/>
      <c r="H2360" s="112"/>
      <c r="Z2360" s="112"/>
      <c r="AA2360" s="112"/>
    </row>
    <row r="2361" spans="3:27" x14ac:dyDescent="0.25">
      <c r="C2361" s="112"/>
      <c r="D2361" s="112"/>
      <c r="E2361" s="113"/>
      <c r="F2361" s="113"/>
      <c r="G2361" s="112"/>
      <c r="H2361" s="112"/>
      <c r="Z2361" s="112"/>
      <c r="AA2361" s="112"/>
    </row>
    <row r="2362" spans="3:27" x14ac:dyDescent="0.25">
      <c r="C2362" s="112"/>
      <c r="D2362" s="112"/>
      <c r="E2362" s="113"/>
      <c r="F2362" s="113"/>
      <c r="G2362" s="112"/>
      <c r="H2362" s="112"/>
      <c r="Z2362" s="112"/>
      <c r="AA2362" s="112"/>
    </row>
    <row r="2363" spans="3:27" x14ac:dyDescent="0.25">
      <c r="C2363" s="112"/>
      <c r="D2363" s="112"/>
      <c r="E2363" s="113"/>
      <c r="F2363" s="113"/>
      <c r="G2363" s="112"/>
      <c r="H2363" s="112"/>
      <c r="Z2363" s="112"/>
      <c r="AA2363" s="112"/>
    </row>
    <row r="2364" spans="3:27" x14ac:dyDescent="0.25">
      <c r="C2364" s="112"/>
      <c r="D2364" s="112"/>
      <c r="E2364" s="113"/>
      <c r="F2364" s="113"/>
      <c r="G2364" s="112"/>
      <c r="H2364" s="112"/>
      <c r="Z2364" s="112"/>
      <c r="AA2364" s="112"/>
    </row>
    <row r="2365" spans="3:27" x14ac:dyDescent="0.25">
      <c r="C2365" s="112"/>
      <c r="D2365" s="112"/>
      <c r="E2365" s="113"/>
      <c r="F2365" s="113"/>
      <c r="G2365" s="112"/>
      <c r="H2365" s="112"/>
      <c r="Z2365" s="112"/>
      <c r="AA2365" s="112"/>
    </row>
    <row r="2366" spans="3:27" x14ac:dyDescent="0.25">
      <c r="C2366" s="112"/>
      <c r="D2366" s="112"/>
      <c r="E2366" s="113"/>
      <c r="F2366" s="113"/>
      <c r="G2366" s="112"/>
      <c r="H2366" s="112"/>
      <c r="Z2366" s="112"/>
      <c r="AA2366" s="112"/>
    </row>
    <row r="2367" spans="3:27" x14ac:dyDescent="0.25">
      <c r="C2367" s="112"/>
      <c r="D2367" s="112"/>
      <c r="E2367" s="113"/>
      <c r="F2367" s="113"/>
      <c r="G2367" s="112"/>
      <c r="H2367" s="112"/>
      <c r="Z2367" s="112"/>
      <c r="AA2367" s="112"/>
    </row>
    <row r="2368" spans="3:27" x14ac:dyDescent="0.25">
      <c r="C2368" s="112"/>
      <c r="D2368" s="112"/>
      <c r="E2368" s="113"/>
      <c r="F2368" s="113"/>
      <c r="G2368" s="112"/>
      <c r="H2368" s="112"/>
      <c r="Z2368" s="112"/>
      <c r="AA2368" s="112"/>
    </row>
    <row r="2369" spans="3:27" x14ac:dyDescent="0.25">
      <c r="C2369" s="112"/>
      <c r="D2369" s="112"/>
      <c r="E2369" s="113"/>
      <c r="F2369" s="113"/>
      <c r="G2369" s="112"/>
      <c r="H2369" s="112"/>
      <c r="Z2369" s="112"/>
      <c r="AA2369" s="112"/>
    </row>
    <row r="2370" spans="3:27" x14ac:dyDescent="0.25">
      <c r="C2370" s="112"/>
      <c r="D2370" s="112"/>
      <c r="E2370" s="113"/>
      <c r="F2370" s="113"/>
      <c r="G2370" s="112"/>
      <c r="H2370" s="112"/>
      <c r="Z2370" s="112"/>
      <c r="AA2370" s="112"/>
    </row>
    <row r="2371" spans="3:27" x14ac:dyDescent="0.25">
      <c r="C2371" s="112"/>
      <c r="D2371" s="112"/>
      <c r="E2371" s="113"/>
      <c r="F2371" s="113"/>
      <c r="G2371" s="112"/>
      <c r="H2371" s="112"/>
      <c r="Z2371" s="112"/>
      <c r="AA2371" s="112"/>
    </row>
    <row r="2372" spans="3:27" x14ac:dyDescent="0.25">
      <c r="C2372" s="112"/>
      <c r="D2372" s="112"/>
      <c r="E2372" s="113"/>
      <c r="F2372" s="113"/>
      <c r="G2372" s="112"/>
      <c r="H2372" s="112"/>
      <c r="Z2372" s="112"/>
      <c r="AA2372" s="112"/>
    </row>
    <row r="2373" spans="3:27" x14ac:dyDescent="0.25">
      <c r="C2373" s="112"/>
      <c r="D2373" s="112"/>
      <c r="E2373" s="113"/>
      <c r="F2373" s="113"/>
      <c r="G2373" s="112"/>
      <c r="H2373" s="112"/>
      <c r="Z2373" s="112"/>
      <c r="AA2373" s="112"/>
    </row>
    <row r="2374" spans="3:27" x14ac:dyDescent="0.25">
      <c r="C2374" s="112"/>
      <c r="D2374" s="112"/>
      <c r="E2374" s="113"/>
      <c r="F2374" s="113"/>
      <c r="G2374" s="112"/>
      <c r="H2374" s="112"/>
      <c r="Z2374" s="112"/>
      <c r="AA2374" s="112"/>
    </row>
    <row r="2375" spans="3:27" x14ac:dyDescent="0.25">
      <c r="C2375" s="112"/>
      <c r="D2375" s="112"/>
      <c r="E2375" s="113"/>
      <c r="F2375" s="113"/>
      <c r="G2375" s="112"/>
      <c r="H2375" s="112"/>
      <c r="Z2375" s="112"/>
      <c r="AA2375" s="112"/>
    </row>
    <row r="2376" spans="3:27" x14ac:dyDescent="0.25">
      <c r="C2376" s="112"/>
      <c r="D2376" s="112"/>
      <c r="E2376" s="113"/>
      <c r="F2376" s="113"/>
      <c r="G2376" s="112"/>
      <c r="H2376" s="112"/>
      <c r="Z2376" s="112"/>
      <c r="AA2376" s="112"/>
    </row>
    <row r="2377" spans="3:27" x14ac:dyDescent="0.25">
      <c r="C2377" s="112"/>
      <c r="D2377" s="112"/>
      <c r="E2377" s="113"/>
      <c r="F2377" s="113"/>
      <c r="G2377" s="112"/>
      <c r="H2377" s="112"/>
      <c r="Z2377" s="112"/>
      <c r="AA2377" s="112"/>
    </row>
    <row r="2378" spans="3:27" x14ac:dyDescent="0.25">
      <c r="C2378" s="112"/>
      <c r="D2378" s="112"/>
      <c r="E2378" s="113"/>
      <c r="F2378" s="113"/>
      <c r="G2378" s="112"/>
      <c r="H2378" s="112"/>
      <c r="Z2378" s="112"/>
      <c r="AA2378" s="112"/>
    </row>
    <row r="2379" spans="3:27" x14ac:dyDescent="0.25">
      <c r="C2379" s="112"/>
      <c r="D2379" s="112"/>
      <c r="E2379" s="113"/>
      <c r="F2379" s="113"/>
      <c r="G2379" s="112"/>
      <c r="H2379" s="112"/>
      <c r="Z2379" s="112"/>
      <c r="AA2379" s="112"/>
    </row>
    <row r="2380" spans="3:27" x14ac:dyDescent="0.25">
      <c r="C2380" s="112"/>
      <c r="D2380" s="112"/>
      <c r="E2380" s="113"/>
      <c r="F2380" s="113"/>
      <c r="G2380" s="112"/>
      <c r="H2380" s="112"/>
      <c r="Z2380" s="112"/>
      <c r="AA2380" s="112"/>
    </row>
    <row r="2381" spans="3:27" x14ac:dyDescent="0.25">
      <c r="C2381" s="112"/>
      <c r="D2381" s="112"/>
      <c r="E2381" s="113"/>
      <c r="F2381" s="113"/>
      <c r="G2381" s="112"/>
      <c r="H2381" s="112"/>
      <c r="Z2381" s="112"/>
      <c r="AA2381" s="112"/>
    </row>
    <row r="2382" spans="3:27" x14ac:dyDescent="0.25">
      <c r="C2382" s="112"/>
      <c r="D2382" s="112"/>
      <c r="E2382" s="113"/>
      <c r="F2382" s="113"/>
      <c r="G2382" s="112"/>
      <c r="H2382" s="112"/>
      <c r="Z2382" s="112"/>
      <c r="AA2382" s="112"/>
    </row>
    <row r="2383" spans="3:27" x14ac:dyDescent="0.25">
      <c r="C2383" s="112"/>
      <c r="D2383" s="112"/>
      <c r="E2383" s="113"/>
      <c r="F2383" s="113"/>
      <c r="G2383" s="112"/>
      <c r="H2383" s="112"/>
      <c r="Z2383" s="112"/>
      <c r="AA2383" s="112"/>
    </row>
    <row r="2384" spans="3:27" x14ac:dyDescent="0.25">
      <c r="C2384" s="112"/>
      <c r="D2384" s="112"/>
      <c r="E2384" s="113"/>
      <c r="F2384" s="113"/>
      <c r="G2384" s="112"/>
      <c r="H2384" s="112"/>
      <c r="Z2384" s="112"/>
      <c r="AA2384" s="112"/>
    </row>
    <row r="2385" spans="3:27" x14ac:dyDescent="0.25">
      <c r="C2385" s="112"/>
      <c r="D2385" s="112"/>
      <c r="E2385" s="113"/>
      <c r="F2385" s="113"/>
      <c r="G2385" s="112"/>
      <c r="H2385" s="112"/>
      <c r="Z2385" s="112"/>
      <c r="AA2385" s="112"/>
    </row>
    <row r="2386" spans="3:27" x14ac:dyDescent="0.25">
      <c r="C2386" s="112"/>
      <c r="D2386" s="112"/>
      <c r="E2386" s="113"/>
      <c r="F2386" s="113"/>
      <c r="G2386" s="112"/>
      <c r="H2386" s="112"/>
      <c r="Z2386" s="112"/>
      <c r="AA2386" s="112"/>
    </row>
    <row r="2387" spans="3:27" x14ac:dyDescent="0.25">
      <c r="C2387" s="112"/>
      <c r="D2387" s="112"/>
      <c r="E2387" s="113"/>
      <c r="F2387" s="113"/>
      <c r="G2387" s="112"/>
      <c r="H2387" s="112"/>
      <c r="Z2387" s="112"/>
      <c r="AA2387" s="112"/>
    </row>
    <row r="2388" spans="3:27" x14ac:dyDescent="0.25">
      <c r="C2388" s="112"/>
      <c r="D2388" s="112"/>
      <c r="E2388" s="113"/>
      <c r="F2388" s="113"/>
      <c r="G2388" s="112"/>
      <c r="H2388" s="112"/>
      <c r="Z2388" s="112"/>
      <c r="AA2388" s="112"/>
    </row>
    <row r="2389" spans="3:27" x14ac:dyDescent="0.25">
      <c r="C2389" s="112"/>
      <c r="D2389" s="112"/>
      <c r="E2389" s="113"/>
      <c r="F2389" s="113"/>
      <c r="G2389" s="112"/>
      <c r="H2389" s="112"/>
      <c r="Z2389" s="112"/>
      <c r="AA2389" s="112"/>
    </row>
    <row r="2390" spans="3:27" x14ac:dyDescent="0.25">
      <c r="C2390" s="112"/>
      <c r="D2390" s="112"/>
      <c r="E2390" s="113"/>
      <c r="F2390" s="113"/>
      <c r="G2390" s="112"/>
      <c r="H2390" s="112"/>
      <c r="Z2390" s="112"/>
      <c r="AA2390" s="112"/>
    </row>
    <row r="2391" spans="3:27" x14ac:dyDescent="0.25">
      <c r="C2391" s="112"/>
      <c r="D2391" s="112"/>
      <c r="E2391" s="113"/>
      <c r="F2391" s="113"/>
      <c r="G2391" s="112"/>
      <c r="H2391" s="112"/>
      <c r="Z2391" s="112"/>
      <c r="AA2391" s="112"/>
    </row>
    <row r="2392" spans="3:27" x14ac:dyDescent="0.25">
      <c r="C2392" s="112"/>
      <c r="D2392" s="112"/>
      <c r="E2392" s="113"/>
      <c r="F2392" s="113"/>
      <c r="G2392" s="112"/>
      <c r="H2392" s="112"/>
      <c r="Z2392" s="112"/>
      <c r="AA2392" s="112"/>
    </row>
    <row r="2393" spans="3:27" x14ac:dyDescent="0.25">
      <c r="C2393" s="112"/>
      <c r="D2393" s="112"/>
      <c r="E2393" s="113"/>
      <c r="F2393" s="113"/>
      <c r="G2393" s="112"/>
      <c r="H2393" s="112"/>
      <c r="Z2393" s="112"/>
      <c r="AA2393" s="112"/>
    </row>
    <row r="2394" spans="3:27" x14ac:dyDescent="0.25">
      <c r="C2394" s="112"/>
      <c r="D2394" s="112"/>
      <c r="E2394" s="113"/>
      <c r="F2394" s="113"/>
      <c r="G2394" s="112"/>
      <c r="H2394" s="112"/>
      <c r="Z2394" s="112"/>
      <c r="AA2394" s="112"/>
    </row>
    <row r="2395" spans="3:27" x14ac:dyDescent="0.25">
      <c r="C2395" s="112"/>
      <c r="D2395" s="112"/>
      <c r="E2395" s="113"/>
      <c r="F2395" s="113"/>
      <c r="G2395" s="112"/>
      <c r="H2395" s="112"/>
      <c r="Z2395" s="112"/>
      <c r="AA2395" s="112"/>
    </row>
    <row r="2396" spans="3:27" x14ac:dyDescent="0.25">
      <c r="C2396" s="112"/>
      <c r="D2396" s="112"/>
      <c r="E2396" s="113"/>
      <c r="F2396" s="113"/>
      <c r="G2396" s="112"/>
      <c r="H2396" s="112"/>
      <c r="Z2396" s="112"/>
      <c r="AA2396" s="112"/>
    </row>
    <row r="2397" spans="3:27" x14ac:dyDescent="0.25">
      <c r="C2397" s="112"/>
      <c r="D2397" s="112"/>
      <c r="E2397" s="113"/>
      <c r="F2397" s="113"/>
      <c r="G2397" s="112"/>
      <c r="H2397" s="112"/>
      <c r="Z2397" s="112"/>
      <c r="AA2397" s="112"/>
    </row>
    <row r="2398" spans="3:27" x14ac:dyDescent="0.25">
      <c r="C2398" s="112"/>
      <c r="D2398" s="112"/>
      <c r="E2398" s="113"/>
      <c r="F2398" s="113"/>
      <c r="G2398" s="112"/>
      <c r="H2398" s="112"/>
      <c r="Z2398" s="112"/>
      <c r="AA2398" s="112"/>
    </row>
    <row r="2399" spans="3:27" x14ac:dyDescent="0.25">
      <c r="C2399" s="112"/>
      <c r="D2399" s="112"/>
      <c r="E2399" s="113"/>
      <c r="F2399" s="113"/>
      <c r="G2399" s="112"/>
      <c r="H2399" s="112"/>
      <c r="Z2399" s="112"/>
      <c r="AA2399" s="112"/>
    </row>
    <row r="2400" spans="3:27" x14ac:dyDescent="0.25">
      <c r="C2400" s="112"/>
      <c r="D2400" s="112"/>
      <c r="E2400" s="113"/>
      <c r="F2400" s="113"/>
      <c r="G2400" s="112"/>
      <c r="H2400" s="112"/>
      <c r="Z2400" s="112"/>
      <c r="AA2400" s="112"/>
    </row>
    <row r="2401" spans="3:27" x14ac:dyDescent="0.25">
      <c r="C2401" s="112"/>
      <c r="D2401" s="112"/>
      <c r="E2401" s="113"/>
      <c r="F2401" s="113"/>
      <c r="G2401" s="112"/>
      <c r="H2401" s="112"/>
      <c r="Z2401" s="112"/>
      <c r="AA2401" s="112"/>
    </row>
    <row r="2402" spans="3:27" x14ac:dyDescent="0.25">
      <c r="C2402" s="112"/>
      <c r="D2402" s="112"/>
      <c r="E2402" s="113"/>
      <c r="F2402" s="113"/>
      <c r="G2402" s="112"/>
      <c r="H2402" s="112"/>
      <c r="Z2402" s="112"/>
      <c r="AA2402" s="112"/>
    </row>
    <row r="2403" spans="3:27" x14ac:dyDescent="0.25">
      <c r="C2403" s="112"/>
      <c r="D2403" s="112"/>
      <c r="E2403" s="113"/>
      <c r="F2403" s="113"/>
      <c r="G2403" s="112"/>
      <c r="H2403" s="112"/>
      <c r="Z2403" s="112"/>
      <c r="AA2403" s="112"/>
    </row>
    <row r="2404" spans="3:27" x14ac:dyDescent="0.25">
      <c r="C2404" s="112"/>
      <c r="D2404" s="112"/>
      <c r="E2404" s="113"/>
      <c r="F2404" s="113"/>
      <c r="G2404" s="112"/>
      <c r="H2404" s="112"/>
      <c r="Z2404" s="112"/>
      <c r="AA2404" s="112"/>
    </row>
    <row r="2405" spans="3:27" x14ac:dyDescent="0.25">
      <c r="C2405" s="112"/>
      <c r="D2405" s="112"/>
      <c r="E2405" s="113"/>
      <c r="F2405" s="113"/>
      <c r="G2405" s="112"/>
      <c r="H2405" s="112"/>
      <c r="Z2405" s="112"/>
      <c r="AA2405" s="112"/>
    </row>
    <row r="2406" spans="3:27" x14ac:dyDescent="0.25">
      <c r="C2406" s="112"/>
      <c r="D2406" s="112"/>
      <c r="E2406" s="113"/>
      <c r="F2406" s="113"/>
      <c r="G2406" s="112"/>
      <c r="H2406" s="112"/>
      <c r="Z2406" s="112"/>
      <c r="AA2406" s="112"/>
    </row>
    <row r="2407" spans="3:27" x14ac:dyDescent="0.25">
      <c r="C2407" s="112"/>
      <c r="D2407" s="112"/>
      <c r="E2407" s="113"/>
      <c r="F2407" s="113"/>
      <c r="G2407" s="112"/>
      <c r="H2407" s="112"/>
      <c r="Z2407" s="112"/>
      <c r="AA2407" s="112"/>
    </row>
    <row r="2408" spans="3:27" x14ac:dyDescent="0.25">
      <c r="C2408" s="112"/>
      <c r="D2408" s="112"/>
      <c r="E2408" s="113"/>
      <c r="F2408" s="113"/>
      <c r="G2408" s="112"/>
      <c r="H2408" s="112"/>
      <c r="Z2408" s="112"/>
      <c r="AA2408" s="112"/>
    </row>
    <row r="2409" spans="3:27" x14ac:dyDescent="0.25">
      <c r="C2409" s="112"/>
      <c r="D2409" s="112"/>
      <c r="E2409" s="113"/>
      <c r="F2409" s="113"/>
      <c r="G2409" s="112"/>
      <c r="H2409" s="112"/>
      <c r="Z2409" s="112"/>
      <c r="AA2409" s="112"/>
    </row>
    <row r="2410" spans="3:27" x14ac:dyDescent="0.25">
      <c r="C2410" s="112"/>
      <c r="D2410" s="112"/>
      <c r="E2410" s="113"/>
      <c r="F2410" s="113"/>
      <c r="G2410" s="112"/>
      <c r="H2410" s="112"/>
      <c r="Z2410" s="112"/>
      <c r="AA2410" s="112"/>
    </row>
    <row r="2411" spans="3:27" x14ac:dyDescent="0.25">
      <c r="C2411" s="112"/>
      <c r="D2411" s="112"/>
      <c r="E2411" s="113"/>
      <c r="F2411" s="113"/>
      <c r="G2411" s="112"/>
      <c r="H2411" s="112"/>
      <c r="Z2411" s="112"/>
      <c r="AA2411" s="112"/>
    </row>
    <row r="2412" spans="3:27" x14ac:dyDescent="0.25">
      <c r="C2412" s="112"/>
      <c r="D2412" s="112"/>
      <c r="E2412" s="113"/>
      <c r="F2412" s="113"/>
      <c r="G2412" s="112"/>
      <c r="H2412" s="112"/>
      <c r="Z2412" s="112"/>
      <c r="AA2412" s="112"/>
    </row>
    <row r="2413" spans="3:27" x14ac:dyDescent="0.25">
      <c r="C2413" s="112"/>
      <c r="D2413" s="112"/>
      <c r="E2413" s="113"/>
      <c r="F2413" s="113"/>
      <c r="G2413" s="112"/>
      <c r="H2413" s="112"/>
      <c r="Z2413" s="112"/>
      <c r="AA2413" s="112"/>
    </row>
    <row r="2414" spans="3:27" x14ac:dyDescent="0.25">
      <c r="C2414" s="112"/>
      <c r="D2414" s="112"/>
      <c r="E2414" s="113"/>
      <c r="F2414" s="113"/>
      <c r="G2414" s="112"/>
      <c r="H2414" s="112"/>
      <c r="Z2414" s="112"/>
      <c r="AA2414" s="112"/>
    </row>
    <row r="2415" spans="3:27" x14ac:dyDescent="0.25">
      <c r="C2415" s="112"/>
      <c r="D2415" s="112"/>
      <c r="E2415" s="113"/>
      <c r="F2415" s="113"/>
      <c r="G2415" s="112"/>
      <c r="H2415" s="112"/>
      <c r="Z2415" s="112"/>
      <c r="AA2415" s="112"/>
    </row>
    <row r="2416" spans="3:27" x14ac:dyDescent="0.25">
      <c r="C2416" s="112"/>
      <c r="D2416" s="112"/>
      <c r="E2416" s="113"/>
      <c r="F2416" s="113"/>
      <c r="G2416" s="112"/>
      <c r="H2416" s="112"/>
      <c r="Z2416" s="112"/>
      <c r="AA2416" s="112"/>
    </row>
    <row r="2417" spans="3:27" x14ac:dyDescent="0.25">
      <c r="C2417" s="112"/>
      <c r="D2417" s="112"/>
      <c r="E2417" s="113"/>
      <c r="F2417" s="113"/>
      <c r="G2417" s="112"/>
      <c r="H2417" s="112"/>
      <c r="Z2417" s="112"/>
      <c r="AA2417" s="112"/>
    </row>
    <row r="2418" spans="3:27" x14ac:dyDescent="0.25">
      <c r="C2418" s="112"/>
      <c r="D2418" s="112"/>
      <c r="E2418" s="113"/>
      <c r="F2418" s="113"/>
      <c r="G2418" s="112"/>
      <c r="H2418" s="112"/>
      <c r="Z2418" s="112"/>
      <c r="AA2418" s="112"/>
    </row>
    <row r="2419" spans="3:27" x14ac:dyDescent="0.25">
      <c r="C2419" s="112"/>
      <c r="D2419" s="112"/>
      <c r="E2419" s="113"/>
      <c r="F2419" s="113"/>
      <c r="G2419" s="112"/>
      <c r="H2419" s="112"/>
      <c r="Z2419" s="112"/>
      <c r="AA2419" s="112"/>
    </row>
    <row r="2420" spans="3:27" x14ac:dyDescent="0.25">
      <c r="C2420" s="112"/>
      <c r="D2420" s="112"/>
      <c r="E2420" s="113"/>
      <c r="F2420" s="113"/>
      <c r="G2420" s="112"/>
      <c r="H2420" s="112"/>
      <c r="Z2420" s="112"/>
      <c r="AA2420" s="112"/>
    </row>
    <row r="2421" spans="3:27" x14ac:dyDescent="0.25">
      <c r="C2421" s="112"/>
      <c r="D2421" s="112"/>
      <c r="E2421" s="113"/>
      <c r="F2421" s="113"/>
      <c r="G2421" s="112"/>
      <c r="H2421" s="112"/>
      <c r="Z2421" s="112"/>
      <c r="AA2421" s="112"/>
    </row>
    <row r="2422" spans="3:27" x14ac:dyDescent="0.25">
      <c r="C2422" s="112"/>
      <c r="D2422" s="112"/>
      <c r="E2422" s="113"/>
      <c r="F2422" s="113"/>
      <c r="G2422" s="112"/>
      <c r="H2422" s="112"/>
      <c r="Z2422" s="112"/>
      <c r="AA2422" s="112"/>
    </row>
    <row r="2423" spans="3:27" x14ac:dyDescent="0.25">
      <c r="C2423" s="112"/>
      <c r="D2423" s="112"/>
      <c r="E2423" s="113"/>
      <c r="F2423" s="113"/>
      <c r="G2423" s="112"/>
      <c r="H2423" s="112"/>
      <c r="Z2423" s="112"/>
      <c r="AA2423" s="112"/>
    </row>
    <row r="2424" spans="3:27" x14ac:dyDescent="0.25">
      <c r="C2424" s="112"/>
      <c r="D2424" s="112"/>
      <c r="E2424" s="113"/>
      <c r="F2424" s="113"/>
      <c r="G2424" s="112"/>
      <c r="H2424" s="112"/>
      <c r="Z2424" s="112"/>
      <c r="AA2424" s="112"/>
    </row>
    <row r="2425" spans="3:27" x14ac:dyDescent="0.25">
      <c r="C2425" s="112"/>
      <c r="D2425" s="112"/>
      <c r="E2425" s="113"/>
      <c r="F2425" s="113"/>
      <c r="G2425" s="112"/>
      <c r="H2425" s="112"/>
      <c r="Z2425" s="112"/>
      <c r="AA2425" s="112"/>
    </row>
    <row r="2426" spans="3:27" x14ac:dyDescent="0.25">
      <c r="C2426" s="112"/>
      <c r="D2426" s="112"/>
      <c r="E2426" s="113"/>
      <c r="F2426" s="113"/>
      <c r="G2426" s="112"/>
      <c r="H2426" s="112"/>
      <c r="Z2426" s="112"/>
      <c r="AA2426" s="112"/>
    </row>
    <row r="2427" spans="3:27" x14ac:dyDescent="0.25">
      <c r="C2427" s="112"/>
      <c r="D2427" s="112"/>
      <c r="E2427" s="113"/>
      <c r="F2427" s="113"/>
      <c r="G2427" s="112"/>
      <c r="H2427" s="112"/>
      <c r="Z2427" s="112"/>
      <c r="AA2427" s="112"/>
    </row>
    <row r="2428" spans="3:27" x14ac:dyDescent="0.25">
      <c r="C2428" s="112"/>
      <c r="D2428" s="112"/>
      <c r="E2428" s="113"/>
      <c r="F2428" s="113"/>
      <c r="G2428" s="112"/>
      <c r="H2428" s="112"/>
      <c r="Z2428" s="112"/>
      <c r="AA2428" s="112"/>
    </row>
    <row r="2429" spans="3:27" x14ac:dyDescent="0.25">
      <c r="C2429" s="112"/>
      <c r="D2429" s="112"/>
      <c r="E2429" s="113"/>
      <c r="F2429" s="113"/>
      <c r="G2429" s="112"/>
      <c r="H2429" s="112"/>
      <c r="Z2429" s="112"/>
      <c r="AA2429" s="112"/>
    </row>
    <row r="2430" spans="3:27" x14ac:dyDescent="0.25">
      <c r="C2430" s="112"/>
      <c r="D2430" s="112"/>
      <c r="E2430" s="113"/>
      <c r="F2430" s="113"/>
      <c r="G2430" s="112"/>
      <c r="H2430" s="112"/>
      <c r="Z2430" s="112"/>
      <c r="AA2430" s="112"/>
    </row>
    <row r="2431" spans="3:27" x14ac:dyDescent="0.25">
      <c r="C2431" s="112"/>
      <c r="D2431" s="112"/>
      <c r="E2431" s="113"/>
      <c r="F2431" s="113"/>
      <c r="G2431" s="112"/>
      <c r="H2431" s="112"/>
      <c r="Z2431" s="112"/>
      <c r="AA2431" s="112"/>
    </row>
    <row r="2432" spans="3:27" x14ac:dyDescent="0.25">
      <c r="C2432" s="112"/>
      <c r="D2432" s="112"/>
      <c r="E2432" s="113"/>
      <c r="F2432" s="113"/>
      <c r="G2432" s="112"/>
      <c r="H2432" s="112"/>
      <c r="Z2432" s="112"/>
      <c r="AA2432" s="112"/>
    </row>
    <row r="2433" spans="3:27" x14ac:dyDescent="0.25">
      <c r="C2433" s="112"/>
      <c r="D2433" s="112"/>
      <c r="E2433" s="113"/>
      <c r="F2433" s="113"/>
      <c r="G2433" s="112"/>
      <c r="H2433" s="112"/>
      <c r="Z2433" s="112"/>
      <c r="AA2433" s="112"/>
    </row>
    <row r="2434" spans="3:27" x14ac:dyDescent="0.25">
      <c r="C2434" s="112"/>
      <c r="D2434" s="112"/>
      <c r="E2434" s="113"/>
      <c r="F2434" s="113"/>
      <c r="G2434" s="112"/>
      <c r="H2434" s="112"/>
      <c r="Z2434" s="112"/>
      <c r="AA2434" s="112"/>
    </row>
    <row r="2435" spans="3:27" x14ac:dyDescent="0.25">
      <c r="C2435" s="112"/>
      <c r="D2435" s="112"/>
      <c r="E2435" s="113"/>
      <c r="F2435" s="113"/>
      <c r="G2435" s="112"/>
      <c r="H2435" s="112"/>
      <c r="Z2435" s="112"/>
      <c r="AA2435" s="112"/>
    </row>
    <row r="2436" spans="3:27" x14ac:dyDescent="0.25">
      <c r="C2436" s="112"/>
      <c r="D2436" s="112"/>
      <c r="E2436" s="113"/>
      <c r="F2436" s="113"/>
      <c r="G2436" s="112"/>
      <c r="H2436" s="112"/>
      <c r="Z2436" s="112"/>
      <c r="AA2436" s="112"/>
    </row>
    <row r="2437" spans="3:27" x14ac:dyDescent="0.25">
      <c r="C2437" s="112"/>
      <c r="D2437" s="112"/>
      <c r="E2437" s="113"/>
      <c r="F2437" s="113"/>
      <c r="G2437" s="112"/>
      <c r="H2437" s="112"/>
      <c r="Z2437" s="112"/>
      <c r="AA2437" s="112"/>
    </row>
    <row r="2438" spans="3:27" x14ac:dyDescent="0.25">
      <c r="C2438" s="112"/>
      <c r="D2438" s="112"/>
      <c r="E2438" s="113"/>
      <c r="F2438" s="113"/>
      <c r="G2438" s="112"/>
      <c r="H2438" s="112"/>
      <c r="Z2438" s="112"/>
      <c r="AA2438" s="112"/>
    </row>
    <row r="2439" spans="3:27" x14ac:dyDescent="0.25">
      <c r="C2439" s="112"/>
      <c r="D2439" s="112"/>
      <c r="E2439" s="113"/>
      <c r="F2439" s="113"/>
      <c r="G2439" s="112"/>
      <c r="H2439" s="112"/>
      <c r="Z2439" s="112"/>
      <c r="AA2439" s="112"/>
    </row>
    <row r="2440" spans="3:27" x14ac:dyDescent="0.25">
      <c r="C2440" s="112"/>
      <c r="D2440" s="112"/>
      <c r="E2440" s="113"/>
      <c r="F2440" s="113"/>
      <c r="G2440" s="112"/>
      <c r="H2440" s="112"/>
      <c r="Z2440" s="112"/>
      <c r="AA2440" s="112"/>
    </row>
    <row r="2441" spans="3:27" x14ac:dyDescent="0.25">
      <c r="C2441" s="112"/>
      <c r="D2441" s="112"/>
      <c r="E2441" s="113"/>
      <c r="F2441" s="113"/>
      <c r="G2441" s="112"/>
      <c r="H2441" s="112"/>
      <c r="Z2441" s="112"/>
      <c r="AA2441" s="112"/>
    </row>
    <row r="2442" spans="3:27" x14ac:dyDescent="0.25">
      <c r="C2442" s="112"/>
      <c r="D2442" s="112"/>
      <c r="E2442" s="113"/>
      <c r="F2442" s="113"/>
      <c r="G2442" s="112"/>
      <c r="H2442" s="112"/>
      <c r="Z2442" s="112"/>
      <c r="AA2442" s="112"/>
    </row>
    <row r="2443" spans="3:27" x14ac:dyDescent="0.25">
      <c r="C2443" s="112"/>
      <c r="D2443" s="112"/>
      <c r="E2443" s="113"/>
      <c r="F2443" s="113"/>
      <c r="G2443" s="112"/>
      <c r="H2443" s="112"/>
      <c r="Z2443" s="112"/>
      <c r="AA2443" s="112"/>
    </row>
    <row r="2444" spans="3:27" x14ac:dyDescent="0.25">
      <c r="C2444" s="112"/>
      <c r="D2444" s="112"/>
      <c r="E2444" s="113"/>
      <c r="F2444" s="113"/>
      <c r="G2444" s="112"/>
      <c r="H2444" s="112"/>
      <c r="Z2444" s="112"/>
      <c r="AA2444" s="112"/>
    </row>
    <row r="2445" spans="3:27" x14ac:dyDescent="0.25">
      <c r="C2445" s="112"/>
      <c r="D2445" s="112"/>
      <c r="E2445" s="113"/>
      <c r="F2445" s="113"/>
      <c r="G2445" s="112"/>
      <c r="H2445" s="112"/>
      <c r="Z2445" s="112"/>
      <c r="AA2445" s="112"/>
    </row>
    <row r="2446" spans="3:27" x14ac:dyDescent="0.25">
      <c r="C2446" s="112"/>
      <c r="D2446" s="112"/>
      <c r="E2446" s="113"/>
      <c r="F2446" s="113"/>
      <c r="G2446" s="112"/>
      <c r="H2446" s="112"/>
      <c r="Z2446" s="112"/>
      <c r="AA2446" s="112"/>
    </row>
    <row r="2447" spans="3:27" x14ac:dyDescent="0.25">
      <c r="C2447" s="112"/>
      <c r="D2447" s="112"/>
      <c r="E2447" s="113"/>
      <c r="F2447" s="113"/>
      <c r="G2447" s="112"/>
      <c r="H2447" s="112"/>
      <c r="Z2447" s="112"/>
      <c r="AA2447" s="112"/>
    </row>
    <row r="2448" spans="3:27" x14ac:dyDescent="0.25">
      <c r="C2448" s="112"/>
      <c r="D2448" s="112"/>
      <c r="E2448" s="113"/>
      <c r="F2448" s="113"/>
      <c r="G2448" s="112"/>
      <c r="H2448" s="112"/>
      <c r="Z2448" s="112"/>
      <c r="AA2448" s="112"/>
    </row>
    <row r="2449" spans="3:27" x14ac:dyDescent="0.25">
      <c r="C2449" s="112"/>
      <c r="D2449" s="112"/>
      <c r="E2449" s="113"/>
      <c r="F2449" s="113"/>
      <c r="G2449" s="112"/>
      <c r="H2449" s="112"/>
      <c r="Z2449" s="112"/>
      <c r="AA2449" s="112"/>
    </row>
    <row r="2450" spans="3:27" x14ac:dyDescent="0.25">
      <c r="C2450" s="112"/>
      <c r="D2450" s="112"/>
      <c r="E2450" s="113"/>
      <c r="F2450" s="113"/>
      <c r="G2450" s="112"/>
      <c r="H2450" s="112"/>
      <c r="Z2450" s="112"/>
      <c r="AA2450" s="112"/>
    </row>
    <row r="2451" spans="3:27" x14ac:dyDescent="0.25">
      <c r="C2451" s="112"/>
      <c r="D2451" s="112"/>
      <c r="E2451" s="113"/>
      <c r="F2451" s="113"/>
      <c r="G2451" s="112"/>
      <c r="H2451" s="112"/>
      <c r="Z2451" s="112"/>
      <c r="AA2451" s="112"/>
    </row>
    <row r="2452" spans="3:27" x14ac:dyDescent="0.25">
      <c r="C2452" s="112"/>
      <c r="D2452" s="112"/>
      <c r="E2452" s="113"/>
      <c r="F2452" s="113"/>
      <c r="G2452" s="112"/>
      <c r="H2452" s="112"/>
      <c r="Z2452" s="112"/>
      <c r="AA2452" s="112"/>
    </row>
    <row r="2453" spans="3:27" x14ac:dyDescent="0.25">
      <c r="C2453" s="112"/>
      <c r="D2453" s="112"/>
      <c r="E2453" s="113"/>
      <c r="F2453" s="113"/>
      <c r="G2453" s="112"/>
      <c r="H2453" s="112"/>
      <c r="Z2453" s="112"/>
      <c r="AA2453" s="112"/>
    </row>
    <row r="2454" spans="3:27" x14ac:dyDescent="0.25">
      <c r="C2454" s="112"/>
      <c r="D2454" s="112"/>
      <c r="E2454" s="113"/>
      <c r="F2454" s="113"/>
      <c r="G2454" s="112"/>
      <c r="H2454" s="112"/>
      <c r="Z2454" s="112"/>
      <c r="AA2454" s="112"/>
    </row>
    <row r="2455" spans="3:27" x14ac:dyDescent="0.25">
      <c r="C2455" s="112"/>
      <c r="D2455" s="112"/>
      <c r="E2455" s="113"/>
      <c r="F2455" s="113"/>
      <c r="G2455" s="112"/>
      <c r="H2455" s="112"/>
      <c r="Z2455" s="112"/>
      <c r="AA2455" s="112"/>
    </row>
    <row r="2456" spans="3:27" x14ac:dyDescent="0.25">
      <c r="C2456" s="112"/>
      <c r="D2456" s="112"/>
      <c r="E2456" s="113"/>
      <c r="F2456" s="113"/>
      <c r="G2456" s="112"/>
      <c r="H2456" s="112"/>
      <c r="Z2456" s="112"/>
      <c r="AA2456" s="112"/>
    </row>
    <row r="2457" spans="3:27" x14ac:dyDescent="0.25">
      <c r="C2457" s="112"/>
      <c r="D2457" s="112"/>
      <c r="E2457" s="113"/>
      <c r="F2457" s="113"/>
      <c r="G2457" s="112"/>
      <c r="H2457" s="112"/>
      <c r="Z2457" s="112"/>
      <c r="AA2457" s="112"/>
    </row>
    <row r="2458" spans="3:27" x14ac:dyDescent="0.25">
      <c r="C2458" s="112"/>
      <c r="D2458" s="112"/>
      <c r="E2458" s="113"/>
      <c r="F2458" s="113"/>
      <c r="G2458" s="112"/>
      <c r="H2458" s="112"/>
      <c r="Z2458" s="112"/>
      <c r="AA2458" s="112"/>
    </row>
    <row r="2459" spans="3:27" x14ac:dyDescent="0.25">
      <c r="C2459" s="112"/>
      <c r="D2459" s="112"/>
      <c r="E2459" s="113"/>
      <c r="F2459" s="113"/>
      <c r="G2459" s="112"/>
      <c r="H2459" s="112"/>
      <c r="Z2459" s="112"/>
      <c r="AA2459" s="112"/>
    </row>
    <row r="2460" spans="3:27" x14ac:dyDescent="0.25">
      <c r="C2460" s="112"/>
      <c r="D2460" s="112"/>
      <c r="E2460" s="113"/>
      <c r="F2460" s="113"/>
      <c r="G2460" s="112"/>
      <c r="H2460" s="112"/>
      <c r="Z2460" s="112"/>
      <c r="AA2460" s="112"/>
    </row>
    <row r="2461" spans="3:27" x14ac:dyDescent="0.25">
      <c r="C2461" s="112"/>
      <c r="D2461" s="112"/>
      <c r="E2461" s="113"/>
      <c r="F2461" s="113"/>
      <c r="G2461" s="112"/>
      <c r="H2461" s="112"/>
      <c r="Z2461" s="112"/>
      <c r="AA2461" s="112"/>
    </row>
    <row r="2462" spans="3:27" x14ac:dyDescent="0.25">
      <c r="C2462" s="112"/>
      <c r="D2462" s="112"/>
      <c r="E2462" s="113"/>
      <c r="F2462" s="113"/>
      <c r="G2462" s="112"/>
      <c r="H2462" s="112"/>
      <c r="Z2462" s="112"/>
      <c r="AA2462" s="112"/>
    </row>
    <row r="2463" spans="3:27" x14ac:dyDescent="0.25">
      <c r="C2463" s="112"/>
      <c r="D2463" s="112"/>
      <c r="E2463" s="113"/>
      <c r="F2463" s="113"/>
      <c r="G2463" s="112"/>
      <c r="H2463" s="112"/>
      <c r="Z2463" s="112"/>
      <c r="AA2463" s="112"/>
    </row>
    <row r="2464" spans="3:27" x14ac:dyDescent="0.25">
      <c r="C2464" s="112"/>
      <c r="D2464" s="112"/>
      <c r="E2464" s="113"/>
      <c r="F2464" s="113"/>
      <c r="G2464" s="112"/>
      <c r="H2464" s="112"/>
      <c r="Z2464" s="112"/>
      <c r="AA2464" s="112"/>
    </row>
    <row r="2465" spans="3:27" x14ac:dyDescent="0.25">
      <c r="C2465" s="112"/>
      <c r="D2465" s="112"/>
      <c r="E2465" s="113"/>
      <c r="F2465" s="113"/>
      <c r="G2465" s="112"/>
      <c r="H2465" s="112"/>
      <c r="Z2465" s="112"/>
      <c r="AA2465" s="112"/>
    </row>
    <row r="2466" spans="3:27" x14ac:dyDescent="0.25">
      <c r="C2466" s="112"/>
      <c r="D2466" s="112"/>
      <c r="E2466" s="113"/>
      <c r="F2466" s="113"/>
      <c r="G2466" s="112"/>
      <c r="H2466" s="112"/>
      <c r="Z2466" s="112"/>
      <c r="AA2466" s="112"/>
    </row>
    <row r="2467" spans="3:27" x14ac:dyDescent="0.25">
      <c r="C2467" s="112"/>
      <c r="D2467" s="112"/>
      <c r="E2467" s="113"/>
      <c r="F2467" s="113"/>
      <c r="G2467" s="112"/>
      <c r="H2467" s="112"/>
      <c r="Z2467" s="112"/>
      <c r="AA2467" s="112"/>
    </row>
    <row r="2468" spans="3:27" x14ac:dyDescent="0.25">
      <c r="C2468" s="112"/>
      <c r="D2468" s="112"/>
      <c r="E2468" s="113"/>
      <c r="F2468" s="113"/>
      <c r="G2468" s="112"/>
      <c r="H2468" s="112"/>
      <c r="Z2468" s="112"/>
      <c r="AA2468" s="112"/>
    </row>
    <row r="2469" spans="3:27" x14ac:dyDescent="0.25">
      <c r="C2469" s="112"/>
      <c r="D2469" s="112"/>
      <c r="E2469" s="113"/>
      <c r="F2469" s="113"/>
      <c r="G2469" s="112"/>
      <c r="H2469" s="112"/>
      <c r="Z2469" s="112"/>
      <c r="AA2469" s="112"/>
    </row>
    <row r="2470" spans="3:27" x14ac:dyDescent="0.25">
      <c r="C2470" s="112"/>
      <c r="D2470" s="112"/>
      <c r="E2470" s="113"/>
      <c r="F2470" s="113"/>
      <c r="G2470" s="112"/>
      <c r="H2470" s="112"/>
      <c r="Z2470" s="112"/>
      <c r="AA2470" s="112"/>
    </row>
    <row r="2471" spans="3:27" x14ac:dyDescent="0.25">
      <c r="C2471" s="112"/>
      <c r="D2471" s="112"/>
      <c r="E2471" s="113"/>
      <c r="F2471" s="113"/>
      <c r="G2471" s="112"/>
      <c r="H2471" s="112"/>
      <c r="Z2471" s="112"/>
      <c r="AA2471" s="112"/>
    </row>
    <row r="2472" spans="3:27" x14ac:dyDescent="0.25">
      <c r="C2472" s="112"/>
      <c r="D2472" s="112"/>
      <c r="E2472" s="113"/>
      <c r="F2472" s="113"/>
      <c r="G2472" s="112"/>
      <c r="H2472" s="112"/>
      <c r="Z2472" s="112"/>
      <c r="AA2472" s="112"/>
    </row>
    <row r="2473" spans="3:27" x14ac:dyDescent="0.25">
      <c r="C2473" s="112"/>
      <c r="D2473" s="112"/>
      <c r="E2473" s="113"/>
      <c r="F2473" s="113"/>
      <c r="G2473" s="112"/>
      <c r="H2473" s="112"/>
      <c r="Z2473" s="112"/>
      <c r="AA2473" s="112"/>
    </row>
    <row r="2474" spans="3:27" x14ac:dyDescent="0.25">
      <c r="C2474" s="112"/>
      <c r="D2474" s="112"/>
      <c r="E2474" s="113"/>
      <c r="F2474" s="113"/>
      <c r="G2474" s="112"/>
      <c r="H2474" s="112"/>
      <c r="Z2474" s="112"/>
      <c r="AA2474" s="112"/>
    </row>
    <row r="2475" spans="3:27" x14ac:dyDescent="0.25">
      <c r="C2475" s="112"/>
      <c r="D2475" s="112"/>
      <c r="E2475" s="113"/>
      <c r="F2475" s="113"/>
      <c r="G2475" s="112"/>
      <c r="H2475" s="112"/>
      <c r="Z2475" s="112"/>
      <c r="AA2475" s="112"/>
    </row>
    <row r="2476" spans="3:27" x14ac:dyDescent="0.25">
      <c r="C2476" s="112"/>
      <c r="D2476" s="112"/>
      <c r="E2476" s="113"/>
      <c r="F2476" s="113"/>
      <c r="G2476" s="112"/>
      <c r="H2476" s="112"/>
      <c r="Z2476" s="112"/>
      <c r="AA2476" s="112"/>
    </row>
    <row r="2477" spans="3:27" x14ac:dyDescent="0.25">
      <c r="C2477" s="112"/>
      <c r="D2477" s="112"/>
      <c r="E2477" s="113"/>
      <c r="F2477" s="113"/>
      <c r="G2477" s="112"/>
      <c r="H2477" s="112"/>
      <c r="Z2477" s="112"/>
      <c r="AA2477" s="112"/>
    </row>
    <row r="2478" spans="3:27" x14ac:dyDescent="0.25">
      <c r="C2478" s="112"/>
      <c r="D2478" s="112"/>
      <c r="E2478" s="113"/>
      <c r="F2478" s="113"/>
      <c r="G2478" s="112"/>
      <c r="H2478" s="112"/>
      <c r="Z2478" s="112"/>
      <c r="AA2478" s="112"/>
    </row>
    <row r="2479" spans="3:27" x14ac:dyDescent="0.25">
      <c r="C2479" s="112"/>
      <c r="D2479" s="112"/>
      <c r="E2479" s="113"/>
      <c r="F2479" s="113"/>
      <c r="G2479" s="112"/>
      <c r="H2479" s="112"/>
      <c r="Z2479" s="112"/>
      <c r="AA2479" s="112"/>
    </row>
    <row r="2480" spans="3:27" x14ac:dyDescent="0.25">
      <c r="C2480" s="112"/>
      <c r="D2480" s="112"/>
      <c r="E2480" s="113"/>
      <c r="F2480" s="113"/>
      <c r="G2480" s="112"/>
      <c r="H2480" s="112"/>
      <c r="Z2480" s="112"/>
      <c r="AA2480" s="112"/>
    </row>
    <row r="2481" spans="3:27" x14ac:dyDescent="0.25">
      <c r="C2481" s="112"/>
      <c r="D2481" s="112"/>
      <c r="E2481" s="113"/>
      <c r="F2481" s="113"/>
      <c r="G2481" s="112"/>
      <c r="H2481" s="112"/>
      <c r="Z2481" s="112"/>
      <c r="AA2481" s="112"/>
    </row>
    <row r="2482" spans="3:27" x14ac:dyDescent="0.25">
      <c r="C2482" s="112"/>
      <c r="D2482" s="112"/>
      <c r="E2482" s="113"/>
      <c r="F2482" s="113"/>
      <c r="G2482" s="112"/>
      <c r="H2482" s="112"/>
      <c r="Z2482" s="112"/>
      <c r="AA2482" s="112"/>
    </row>
    <row r="2483" spans="3:27" x14ac:dyDescent="0.25">
      <c r="C2483" s="112"/>
      <c r="D2483" s="112"/>
      <c r="E2483" s="113"/>
      <c r="F2483" s="113"/>
      <c r="G2483" s="112"/>
      <c r="H2483" s="112"/>
      <c r="Z2483" s="112"/>
      <c r="AA2483" s="112"/>
    </row>
    <row r="2484" spans="3:27" x14ac:dyDescent="0.25">
      <c r="C2484" s="112"/>
      <c r="D2484" s="112"/>
      <c r="E2484" s="113"/>
      <c r="F2484" s="113"/>
      <c r="G2484" s="112"/>
      <c r="H2484" s="112"/>
      <c r="Z2484" s="112"/>
      <c r="AA2484" s="112"/>
    </row>
    <row r="2485" spans="3:27" x14ac:dyDescent="0.25">
      <c r="C2485" s="112"/>
      <c r="D2485" s="112"/>
      <c r="E2485" s="113"/>
      <c r="F2485" s="113"/>
      <c r="G2485" s="112"/>
      <c r="H2485" s="112"/>
      <c r="Z2485" s="112"/>
      <c r="AA2485" s="112"/>
    </row>
    <row r="2486" spans="3:27" x14ac:dyDescent="0.25">
      <c r="C2486" s="112"/>
      <c r="D2486" s="112"/>
      <c r="E2486" s="113"/>
      <c r="F2486" s="113"/>
      <c r="G2486" s="112"/>
      <c r="H2486" s="112"/>
      <c r="Z2486" s="112"/>
      <c r="AA2486" s="112"/>
    </row>
    <row r="2487" spans="3:27" x14ac:dyDescent="0.25">
      <c r="C2487" s="112"/>
      <c r="D2487" s="112"/>
      <c r="E2487" s="113"/>
      <c r="F2487" s="113"/>
      <c r="G2487" s="112"/>
      <c r="H2487" s="112"/>
      <c r="Z2487" s="112"/>
      <c r="AA2487" s="112"/>
    </row>
    <row r="2488" spans="3:27" x14ac:dyDescent="0.25">
      <c r="C2488" s="112"/>
      <c r="D2488" s="112"/>
      <c r="E2488" s="113"/>
      <c r="F2488" s="113"/>
      <c r="G2488" s="112"/>
      <c r="H2488" s="112"/>
      <c r="Z2488" s="112"/>
      <c r="AA2488" s="112"/>
    </row>
    <row r="2489" spans="3:27" x14ac:dyDescent="0.25">
      <c r="C2489" s="112"/>
      <c r="D2489" s="112"/>
      <c r="E2489" s="113"/>
      <c r="F2489" s="113"/>
      <c r="G2489" s="112"/>
      <c r="H2489" s="112"/>
      <c r="Z2489" s="112"/>
      <c r="AA2489" s="112"/>
    </row>
    <row r="2490" spans="3:27" x14ac:dyDescent="0.25">
      <c r="C2490" s="112"/>
      <c r="D2490" s="112"/>
      <c r="E2490" s="113"/>
      <c r="F2490" s="113"/>
      <c r="G2490" s="112"/>
      <c r="H2490" s="112"/>
      <c r="Z2490" s="112"/>
      <c r="AA2490" s="112"/>
    </row>
    <row r="2491" spans="3:27" x14ac:dyDescent="0.25">
      <c r="C2491" s="112"/>
      <c r="D2491" s="112"/>
      <c r="E2491" s="113"/>
      <c r="F2491" s="113"/>
      <c r="G2491" s="112"/>
      <c r="H2491" s="112"/>
      <c r="Z2491" s="112"/>
      <c r="AA2491" s="112"/>
    </row>
    <row r="2492" spans="3:27" x14ac:dyDescent="0.25">
      <c r="C2492" s="112"/>
      <c r="D2492" s="112"/>
      <c r="E2492" s="113"/>
      <c r="F2492" s="113"/>
      <c r="G2492" s="112"/>
      <c r="H2492" s="112"/>
      <c r="Z2492" s="112"/>
      <c r="AA2492" s="112"/>
    </row>
    <row r="2493" spans="3:27" x14ac:dyDescent="0.25">
      <c r="C2493" s="112"/>
      <c r="D2493" s="112"/>
      <c r="E2493" s="113"/>
      <c r="F2493" s="113"/>
      <c r="G2493" s="112"/>
      <c r="H2493" s="112"/>
      <c r="Z2493" s="112"/>
      <c r="AA2493" s="112"/>
    </row>
    <row r="2494" spans="3:27" x14ac:dyDescent="0.25">
      <c r="C2494" s="112"/>
      <c r="D2494" s="112"/>
      <c r="E2494" s="113"/>
      <c r="F2494" s="113"/>
      <c r="G2494" s="112"/>
      <c r="H2494" s="112"/>
      <c r="Z2494" s="112"/>
      <c r="AA2494" s="112"/>
    </row>
    <row r="2495" spans="3:27" x14ac:dyDescent="0.25">
      <c r="C2495" s="112"/>
      <c r="D2495" s="112"/>
      <c r="E2495" s="113"/>
      <c r="F2495" s="113"/>
      <c r="G2495" s="112"/>
      <c r="H2495" s="112"/>
      <c r="Z2495" s="112"/>
      <c r="AA2495" s="112"/>
    </row>
    <row r="2496" spans="3:27" x14ac:dyDescent="0.25">
      <c r="C2496" s="112"/>
      <c r="D2496" s="112"/>
      <c r="E2496" s="113"/>
      <c r="F2496" s="113"/>
      <c r="G2496" s="112"/>
      <c r="H2496" s="112"/>
      <c r="Z2496" s="112"/>
      <c r="AA2496" s="112"/>
    </row>
    <row r="2497" spans="3:27" x14ac:dyDescent="0.25">
      <c r="C2497" s="112"/>
      <c r="D2497" s="112"/>
      <c r="E2497" s="113"/>
      <c r="F2497" s="113"/>
      <c r="G2497" s="112"/>
      <c r="H2497" s="112"/>
      <c r="Z2497" s="112"/>
      <c r="AA2497" s="112"/>
    </row>
    <row r="2498" spans="3:27" x14ac:dyDescent="0.25">
      <c r="C2498" s="112"/>
      <c r="D2498" s="112"/>
      <c r="E2498" s="113"/>
      <c r="F2498" s="113"/>
      <c r="G2498" s="112"/>
      <c r="H2498" s="112"/>
      <c r="Z2498" s="112"/>
      <c r="AA2498" s="112"/>
    </row>
    <row r="2499" spans="3:27" x14ac:dyDescent="0.25">
      <c r="C2499" s="112"/>
      <c r="D2499" s="112"/>
      <c r="E2499" s="113"/>
      <c r="F2499" s="113"/>
      <c r="G2499" s="112"/>
      <c r="H2499" s="112"/>
      <c r="Z2499" s="112"/>
      <c r="AA2499" s="112"/>
    </row>
    <row r="2500" spans="3:27" x14ac:dyDescent="0.25">
      <c r="C2500" s="112"/>
      <c r="D2500" s="112"/>
      <c r="E2500" s="113"/>
      <c r="F2500" s="113"/>
      <c r="G2500" s="112"/>
      <c r="H2500" s="112"/>
      <c r="Z2500" s="112"/>
      <c r="AA2500" s="112"/>
    </row>
    <row r="2501" spans="3:27" x14ac:dyDescent="0.25">
      <c r="C2501" s="112"/>
      <c r="D2501" s="112"/>
      <c r="E2501" s="113"/>
      <c r="F2501" s="113"/>
      <c r="G2501" s="112"/>
      <c r="H2501" s="112"/>
      <c r="Z2501" s="112"/>
      <c r="AA2501" s="112"/>
    </row>
    <row r="2502" spans="3:27" x14ac:dyDescent="0.25">
      <c r="C2502" s="112"/>
      <c r="D2502" s="112"/>
      <c r="E2502" s="113"/>
      <c r="F2502" s="113"/>
      <c r="G2502" s="112"/>
      <c r="H2502" s="112"/>
      <c r="Z2502" s="112"/>
      <c r="AA2502" s="112"/>
    </row>
    <row r="2503" spans="3:27" x14ac:dyDescent="0.25">
      <c r="C2503" s="112"/>
      <c r="D2503" s="112"/>
      <c r="E2503" s="113"/>
      <c r="F2503" s="113"/>
      <c r="G2503" s="112"/>
      <c r="H2503" s="112"/>
      <c r="Z2503" s="112"/>
      <c r="AA2503" s="112"/>
    </row>
    <row r="2504" spans="3:27" x14ac:dyDescent="0.25">
      <c r="C2504" s="112"/>
      <c r="D2504" s="112"/>
      <c r="E2504" s="113"/>
      <c r="F2504" s="113"/>
      <c r="G2504" s="112"/>
      <c r="H2504" s="112"/>
      <c r="Z2504" s="112"/>
      <c r="AA2504" s="112"/>
    </row>
    <row r="2505" spans="3:27" x14ac:dyDescent="0.25">
      <c r="C2505" s="112"/>
      <c r="D2505" s="112"/>
      <c r="E2505" s="113"/>
      <c r="F2505" s="113"/>
      <c r="G2505" s="112"/>
      <c r="H2505" s="112"/>
      <c r="Z2505" s="112"/>
      <c r="AA2505" s="112"/>
    </row>
    <row r="2506" spans="3:27" x14ac:dyDescent="0.25">
      <c r="C2506" s="112"/>
      <c r="D2506" s="112"/>
      <c r="E2506" s="113"/>
      <c r="F2506" s="113"/>
      <c r="G2506" s="112"/>
      <c r="H2506" s="112"/>
      <c r="Z2506" s="112"/>
      <c r="AA2506" s="112"/>
    </row>
    <row r="2507" spans="3:27" x14ac:dyDescent="0.25">
      <c r="C2507" s="112"/>
      <c r="D2507" s="112"/>
      <c r="E2507" s="113"/>
      <c r="F2507" s="113"/>
      <c r="G2507" s="112"/>
      <c r="H2507" s="112"/>
      <c r="Z2507" s="112"/>
      <c r="AA2507" s="112"/>
    </row>
    <row r="2508" spans="3:27" x14ac:dyDescent="0.25">
      <c r="C2508" s="112"/>
      <c r="D2508" s="112"/>
      <c r="E2508" s="113"/>
      <c r="F2508" s="113"/>
      <c r="G2508" s="112"/>
      <c r="H2508" s="112"/>
      <c r="Z2508" s="112"/>
      <c r="AA2508" s="112"/>
    </row>
    <row r="2509" spans="3:27" x14ac:dyDescent="0.25">
      <c r="C2509" s="112"/>
      <c r="D2509" s="112"/>
      <c r="E2509" s="113"/>
      <c r="F2509" s="113"/>
      <c r="G2509" s="112"/>
      <c r="H2509" s="112"/>
      <c r="Z2509" s="112"/>
      <c r="AA2509" s="112"/>
    </row>
    <row r="2510" spans="3:27" x14ac:dyDescent="0.25">
      <c r="C2510" s="112"/>
      <c r="D2510" s="112"/>
      <c r="E2510" s="113"/>
      <c r="F2510" s="113"/>
      <c r="G2510" s="112"/>
      <c r="H2510" s="112"/>
      <c r="Z2510" s="112"/>
      <c r="AA2510" s="112"/>
    </row>
    <row r="2511" spans="3:27" x14ac:dyDescent="0.25">
      <c r="C2511" s="112"/>
      <c r="D2511" s="112"/>
      <c r="E2511" s="113"/>
      <c r="F2511" s="113"/>
      <c r="G2511" s="112"/>
      <c r="H2511" s="112"/>
      <c r="Z2511" s="112"/>
      <c r="AA2511" s="112"/>
    </row>
    <row r="2512" spans="3:27" x14ac:dyDescent="0.25">
      <c r="C2512" s="112"/>
      <c r="D2512" s="112"/>
      <c r="E2512" s="113"/>
      <c r="F2512" s="113"/>
      <c r="G2512" s="112"/>
      <c r="H2512" s="112"/>
      <c r="Z2512" s="112"/>
      <c r="AA2512" s="112"/>
    </row>
    <row r="2513" spans="3:27" x14ac:dyDescent="0.25">
      <c r="C2513" s="112"/>
      <c r="D2513" s="112"/>
      <c r="E2513" s="113"/>
      <c r="F2513" s="113"/>
      <c r="G2513" s="112"/>
      <c r="H2513" s="112"/>
      <c r="Z2513" s="112"/>
      <c r="AA2513" s="112"/>
    </row>
    <row r="2514" spans="3:27" x14ac:dyDescent="0.25">
      <c r="C2514" s="112"/>
      <c r="D2514" s="112"/>
      <c r="E2514" s="113"/>
      <c r="F2514" s="113"/>
      <c r="G2514" s="112"/>
      <c r="H2514" s="112"/>
      <c r="Z2514" s="112"/>
      <c r="AA2514" s="112"/>
    </row>
    <row r="2515" spans="3:27" x14ac:dyDescent="0.25">
      <c r="C2515" s="112"/>
      <c r="D2515" s="112"/>
      <c r="E2515" s="113"/>
      <c r="F2515" s="113"/>
      <c r="G2515" s="112"/>
      <c r="H2515" s="112"/>
      <c r="Z2515" s="112"/>
      <c r="AA2515" s="112"/>
    </row>
    <row r="2516" spans="3:27" x14ac:dyDescent="0.25">
      <c r="C2516" s="112"/>
      <c r="D2516" s="112"/>
      <c r="E2516" s="113"/>
      <c r="F2516" s="113"/>
      <c r="G2516" s="112"/>
      <c r="H2516" s="112"/>
      <c r="Z2516" s="112"/>
      <c r="AA2516" s="112"/>
    </row>
    <row r="2517" spans="3:27" x14ac:dyDescent="0.25">
      <c r="C2517" s="112"/>
      <c r="D2517" s="112"/>
      <c r="E2517" s="113"/>
      <c r="F2517" s="113"/>
      <c r="G2517" s="112"/>
      <c r="H2517" s="112"/>
      <c r="Z2517" s="112"/>
      <c r="AA2517" s="112"/>
    </row>
    <row r="2518" spans="3:27" x14ac:dyDescent="0.25">
      <c r="C2518" s="112"/>
      <c r="D2518" s="112"/>
      <c r="E2518" s="113"/>
      <c r="F2518" s="113"/>
      <c r="G2518" s="112"/>
      <c r="H2518" s="112"/>
      <c r="Z2518" s="112"/>
      <c r="AA2518" s="112"/>
    </row>
    <row r="2519" spans="3:27" x14ac:dyDescent="0.25">
      <c r="C2519" s="112"/>
      <c r="D2519" s="112"/>
      <c r="E2519" s="113"/>
      <c r="F2519" s="113"/>
      <c r="G2519" s="112"/>
      <c r="H2519" s="112"/>
      <c r="Z2519" s="112"/>
      <c r="AA2519" s="112"/>
    </row>
    <row r="2520" spans="3:27" x14ac:dyDescent="0.25">
      <c r="C2520" s="112"/>
      <c r="D2520" s="112"/>
      <c r="E2520" s="113"/>
      <c r="F2520" s="113"/>
      <c r="G2520" s="112"/>
      <c r="H2520" s="112"/>
      <c r="Z2520" s="112"/>
      <c r="AA2520" s="112"/>
    </row>
    <row r="2521" spans="3:27" x14ac:dyDescent="0.25">
      <c r="C2521" s="112"/>
      <c r="D2521" s="112"/>
      <c r="E2521" s="113"/>
      <c r="F2521" s="113"/>
      <c r="G2521" s="112"/>
      <c r="H2521" s="112"/>
      <c r="Z2521" s="112"/>
      <c r="AA2521" s="112"/>
    </row>
    <row r="2522" spans="3:27" x14ac:dyDescent="0.25">
      <c r="C2522" s="112"/>
      <c r="D2522" s="112"/>
      <c r="E2522" s="113"/>
      <c r="F2522" s="113"/>
      <c r="G2522" s="112"/>
      <c r="H2522" s="112"/>
      <c r="Z2522" s="112"/>
      <c r="AA2522" s="112"/>
    </row>
    <row r="2523" spans="3:27" x14ac:dyDescent="0.25">
      <c r="C2523" s="112"/>
      <c r="D2523" s="112"/>
      <c r="E2523" s="113"/>
      <c r="F2523" s="113"/>
      <c r="G2523" s="112"/>
      <c r="H2523" s="112"/>
      <c r="Z2523" s="112"/>
      <c r="AA2523" s="112"/>
    </row>
    <row r="2524" spans="3:27" x14ac:dyDescent="0.25">
      <c r="C2524" s="112"/>
      <c r="D2524" s="112"/>
      <c r="E2524" s="113"/>
      <c r="F2524" s="113"/>
      <c r="G2524" s="112"/>
      <c r="H2524" s="112"/>
      <c r="Z2524" s="112"/>
      <c r="AA2524" s="112"/>
    </row>
    <row r="2525" spans="3:27" x14ac:dyDescent="0.25">
      <c r="C2525" s="112"/>
      <c r="D2525" s="112"/>
      <c r="E2525" s="113"/>
      <c r="F2525" s="113"/>
      <c r="G2525" s="112"/>
      <c r="H2525" s="112"/>
      <c r="Z2525" s="112"/>
      <c r="AA2525" s="112"/>
    </row>
    <row r="2526" spans="3:27" x14ac:dyDescent="0.25">
      <c r="C2526" s="112"/>
      <c r="D2526" s="112"/>
      <c r="E2526" s="113"/>
      <c r="F2526" s="113"/>
      <c r="G2526" s="112"/>
      <c r="H2526" s="112"/>
      <c r="Z2526" s="112"/>
      <c r="AA2526" s="112"/>
    </row>
    <row r="2527" spans="3:27" x14ac:dyDescent="0.25">
      <c r="C2527" s="112"/>
      <c r="D2527" s="112"/>
      <c r="E2527" s="113"/>
      <c r="F2527" s="113"/>
      <c r="G2527" s="112"/>
      <c r="H2527" s="112"/>
      <c r="Z2527" s="112"/>
      <c r="AA2527" s="112"/>
    </row>
    <row r="2528" spans="3:27" x14ac:dyDescent="0.25">
      <c r="C2528" s="112"/>
      <c r="D2528" s="112"/>
      <c r="E2528" s="113"/>
      <c r="F2528" s="113"/>
      <c r="G2528" s="112"/>
      <c r="H2528" s="112"/>
      <c r="Z2528" s="112"/>
      <c r="AA2528" s="112"/>
    </row>
    <row r="2529" spans="3:27" x14ac:dyDescent="0.25">
      <c r="C2529" s="112"/>
      <c r="D2529" s="112"/>
      <c r="E2529" s="113"/>
      <c r="F2529" s="113"/>
      <c r="G2529" s="112"/>
      <c r="H2529" s="112"/>
      <c r="Z2529" s="112"/>
      <c r="AA2529" s="112"/>
    </row>
    <row r="2530" spans="3:27" x14ac:dyDescent="0.25">
      <c r="C2530" s="112"/>
      <c r="D2530" s="112"/>
      <c r="E2530" s="113"/>
      <c r="F2530" s="113"/>
      <c r="G2530" s="112"/>
      <c r="H2530" s="112"/>
      <c r="Z2530" s="112"/>
      <c r="AA2530" s="112"/>
    </row>
    <row r="2531" spans="3:27" x14ac:dyDescent="0.25">
      <c r="C2531" s="112"/>
      <c r="D2531" s="112"/>
      <c r="E2531" s="113"/>
      <c r="F2531" s="113"/>
      <c r="G2531" s="112"/>
      <c r="H2531" s="112"/>
      <c r="Z2531" s="112"/>
      <c r="AA2531" s="112"/>
    </row>
    <row r="2532" spans="3:27" x14ac:dyDescent="0.25">
      <c r="C2532" s="112"/>
      <c r="D2532" s="112"/>
      <c r="E2532" s="113"/>
      <c r="F2532" s="113"/>
      <c r="G2532" s="112"/>
      <c r="H2532" s="112"/>
      <c r="Z2532" s="112"/>
      <c r="AA2532" s="112"/>
    </row>
    <row r="2533" spans="3:27" x14ac:dyDescent="0.25">
      <c r="C2533" s="112"/>
      <c r="D2533" s="112"/>
      <c r="E2533" s="113"/>
      <c r="F2533" s="113"/>
      <c r="G2533" s="112"/>
      <c r="H2533" s="112"/>
      <c r="Z2533" s="112"/>
      <c r="AA2533" s="112"/>
    </row>
    <row r="2534" spans="3:27" x14ac:dyDescent="0.25">
      <c r="C2534" s="112"/>
      <c r="D2534" s="112"/>
      <c r="E2534" s="113"/>
      <c r="F2534" s="113"/>
      <c r="G2534" s="112"/>
      <c r="H2534" s="112"/>
      <c r="Z2534" s="112"/>
      <c r="AA2534" s="112"/>
    </row>
    <row r="2535" spans="3:27" x14ac:dyDescent="0.25">
      <c r="C2535" s="112"/>
      <c r="D2535" s="112"/>
      <c r="E2535" s="113"/>
      <c r="F2535" s="113"/>
      <c r="G2535" s="112"/>
      <c r="H2535" s="112"/>
      <c r="Z2535" s="112"/>
      <c r="AA2535" s="112"/>
    </row>
    <row r="2536" spans="3:27" x14ac:dyDescent="0.25">
      <c r="C2536" s="112"/>
      <c r="D2536" s="112"/>
      <c r="E2536" s="113"/>
      <c r="F2536" s="113"/>
      <c r="G2536" s="112"/>
      <c r="H2536" s="112"/>
      <c r="Z2536" s="112"/>
      <c r="AA2536" s="112"/>
    </row>
    <row r="2537" spans="3:27" x14ac:dyDescent="0.25">
      <c r="C2537" s="112"/>
      <c r="D2537" s="112"/>
      <c r="E2537" s="113"/>
      <c r="F2537" s="113"/>
      <c r="G2537" s="112"/>
      <c r="H2537" s="112"/>
      <c r="Z2537" s="112"/>
      <c r="AA2537" s="112"/>
    </row>
    <row r="2538" spans="3:27" x14ac:dyDescent="0.25">
      <c r="C2538" s="112"/>
      <c r="D2538" s="112"/>
      <c r="E2538" s="113"/>
      <c r="F2538" s="113"/>
      <c r="G2538" s="112"/>
      <c r="H2538" s="112"/>
      <c r="Z2538" s="112"/>
      <c r="AA2538" s="112"/>
    </row>
    <row r="2539" spans="3:27" x14ac:dyDescent="0.25">
      <c r="C2539" s="112"/>
      <c r="D2539" s="112"/>
      <c r="E2539" s="113"/>
      <c r="F2539" s="113"/>
      <c r="G2539" s="112"/>
      <c r="H2539" s="112"/>
      <c r="Z2539" s="112"/>
      <c r="AA2539" s="112"/>
    </row>
    <row r="2540" spans="3:27" x14ac:dyDescent="0.25">
      <c r="C2540" s="112"/>
      <c r="D2540" s="112"/>
      <c r="E2540" s="113"/>
      <c r="F2540" s="113"/>
      <c r="G2540" s="112"/>
      <c r="H2540" s="112"/>
      <c r="Z2540" s="112"/>
      <c r="AA2540" s="112"/>
    </row>
    <row r="2541" spans="3:27" x14ac:dyDescent="0.25">
      <c r="C2541" s="112"/>
      <c r="D2541" s="112"/>
      <c r="E2541" s="113"/>
      <c r="F2541" s="113"/>
      <c r="G2541" s="112"/>
      <c r="H2541" s="112"/>
      <c r="Z2541" s="112"/>
      <c r="AA2541" s="112"/>
    </row>
    <row r="2542" spans="3:27" x14ac:dyDescent="0.25">
      <c r="C2542" s="112"/>
      <c r="D2542" s="112"/>
      <c r="E2542" s="113"/>
      <c r="F2542" s="113"/>
      <c r="G2542" s="112"/>
      <c r="H2542" s="112"/>
      <c r="Z2542" s="112"/>
      <c r="AA2542" s="112"/>
    </row>
    <row r="2543" spans="3:27" x14ac:dyDescent="0.25">
      <c r="C2543" s="112"/>
      <c r="D2543" s="112"/>
      <c r="E2543" s="113"/>
      <c r="F2543" s="113"/>
      <c r="G2543" s="112"/>
      <c r="H2543" s="112"/>
      <c r="Z2543" s="112"/>
      <c r="AA2543" s="112"/>
    </row>
    <row r="2544" spans="3:27" x14ac:dyDescent="0.25">
      <c r="C2544" s="112"/>
      <c r="D2544" s="112"/>
      <c r="E2544" s="113"/>
      <c r="F2544" s="113"/>
      <c r="G2544" s="112"/>
      <c r="H2544" s="112"/>
      <c r="Z2544" s="112"/>
      <c r="AA2544" s="112"/>
    </row>
    <row r="2545" spans="3:27" x14ac:dyDescent="0.25">
      <c r="C2545" s="112"/>
      <c r="D2545" s="112"/>
      <c r="E2545" s="113"/>
      <c r="F2545" s="113"/>
      <c r="G2545" s="112"/>
      <c r="H2545" s="112"/>
      <c r="Z2545" s="112"/>
      <c r="AA2545" s="112"/>
    </row>
    <row r="2546" spans="3:27" x14ac:dyDescent="0.25">
      <c r="C2546" s="112"/>
      <c r="D2546" s="112"/>
      <c r="E2546" s="113"/>
      <c r="F2546" s="113"/>
      <c r="G2546" s="112"/>
      <c r="H2546" s="112"/>
      <c r="Z2546" s="112"/>
      <c r="AA2546" s="112"/>
    </row>
    <row r="2547" spans="3:27" x14ac:dyDescent="0.25">
      <c r="C2547" s="112"/>
      <c r="D2547" s="112"/>
      <c r="E2547" s="113"/>
      <c r="F2547" s="113"/>
      <c r="G2547" s="112"/>
      <c r="H2547" s="112"/>
      <c r="Z2547" s="112"/>
      <c r="AA2547" s="112"/>
    </row>
    <row r="2548" spans="3:27" x14ac:dyDescent="0.25">
      <c r="C2548" s="112"/>
      <c r="D2548" s="112"/>
      <c r="E2548" s="113"/>
      <c r="F2548" s="113"/>
      <c r="G2548" s="112"/>
      <c r="H2548" s="112"/>
      <c r="Z2548" s="112"/>
      <c r="AA2548" s="112"/>
    </row>
    <row r="2549" spans="3:27" x14ac:dyDescent="0.25">
      <c r="C2549" s="112"/>
      <c r="D2549" s="112"/>
      <c r="E2549" s="113"/>
      <c r="F2549" s="113"/>
      <c r="G2549" s="112"/>
      <c r="H2549" s="112"/>
      <c r="Z2549" s="112"/>
      <c r="AA2549" s="112"/>
    </row>
    <row r="2550" spans="3:27" x14ac:dyDescent="0.25">
      <c r="C2550" s="112"/>
      <c r="D2550" s="112"/>
      <c r="E2550" s="113"/>
      <c r="F2550" s="113"/>
      <c r="G2550" s="112"/>
      <c r="H2550" s="112"/>
      <c r="Z2550" s="112"/>
      <c r="AA2550" s="112"/>
    </row>
    <row r="2551" spans="3:27" x14ac:dyDescent="0.25">
      <c r="C2551" s="112"/>
      <c r="D2551" s="112"/>
      <c r="E2551" s="113"/>
      <c r="F2551" s="113"/>
      <c r="G2551" s="112"/>
      <c r="H2551" s="112"/>
      <c r="Z2551" s="112"/>
      <c r="AA2551" s="112"/>
    </row>
    <row r="2552" spans="3:27" x14ac:dyDescent="0.25">
      <c r="C2552" s="112"/>
      <c r="D2552" s="112"/>
      <c r="E2552" s="113"/>
      <c r="F2552" s="113"/>
      <c r="G2552" s="112"/>
      <c r="H2552" s="112"/>
      <c r="Z2552" s="112"/>
      <c r="AA2552" s="112"/>
    </row>
    <row r="2553" spans="3:27" x14ac:dyDescent="0.25">
      <c r="C2553" s="112"/>
      <c r="D2553" s="112"/>
      <c r="E2553" s="113"/>
      <c r="F2553" s="113"/>
      <c r="G2553" s="112"/>
      <c r="H2553" s="112"/>
      <c r="Z2553" s="112"/>
      <c r="AA2553" s="112"/>
    </row>
    <row r="2554" spans="3:27" x14ac:dyDescent="0.25">
      <c r="C2554" s="112"/>
      <c r="D2554" s="112"/>
      <c r="E2554" s="113"/>
      <c r="F2554" s="113"/>
      <c r="G2554" s="112"/>
      <c r="H2554" s="112"/>
      <c r="Z2554" s="112"/>
      <c r="AA2554" s="112"/>
    </row>
    <row r="2555" spans="3:27" x14ac:dyDescent="0.25">
      <c r="C2555" s="112"/>
      <c r="D2555" s="112"/>
      <c r="E2555" s="113"/>
      <c r="F2555" s="113"/>
      <c r="G2555" s="112"/>
      <c r="H2555" s="112"/>
      <c r="Z2555" s="112"/>
      <c r="AA2555" s="112"/>
    </row>
    <row r="2556" spans="3:27" x14ac:dyDescent="0.25">
      <c r="C2556" s="112"/>
      <c r="D2556" s="112"/>
      <c r="E2556" s="113"/>
      <c r="F2556" s="113"/>
      <c r="G2556" s="112"/>
      <c r="H2556" s="112"/>
      <c r="Z2556" s="112"/>
      <c r="AA2556" s="112"/>
    </row>
    <row r="2557" spans="3:27" x14ac:dyDescent="0.25">
      <c r="C2557" s="112"/>
      <c r="D2557" s="112"/>
      <c r="E2557" s="113"/>
      <c r="F2557" s="113"/>
      <c r="G2557" s="112"/>
      <c r="H2557" s="112"/>
      <c r="Z2557" s="112"/>
      <c r="AA2557" s="112"/>
    </row>
    <row r="2558" spans="3:27" x14ac:dyDescent="0.25">
      <c r="C2558" s="112"/>
      <c r="D2558" s="112"/>
      <c r="E2558" s="113"/>
      <c r="F2558" s="113"/>
      <c r="G2558" s="112"/>
      <c r="H2558" s="112"/>
      <c r="Z2558" s="112"/>
      <c r="AA2558" s="112"/>
    </row>
    <row r="2559" spans="3:27" x14ac:dyDescent="0.25">
      <c r="C2559" s="112"/>
      <c r="D2559" s="112"/>
      <c r="E2559" s="113"/>
      <c r="F2559" s="113"/>
      <c r="G2559" s="112"/>
      <c r="H2559" s="112"/>
      <c r="Z2559" s="112"/>
      <c r="AA2559" s="112"/>
    </row>
    <row r="2560" spans="3:27" x14ac:dyDescent="0.25">
      <c r="C2560" s="112"/>
      <c r="D2560" s="112"/>
      <c r="E2560" s="113"/>
      <c r="F2560" s="113"/>
      <c r="G2560" s="112"/>
      <c r="H2560" s="112"/>
      <c r="Z2560" s="112"/>
      <c r="AA2560" s="112"/>
    </row>
    <row r="2561" spans="3:27" x14ac:dyDescent="0.25">
      <c r="C2561" s="112"/>
      <c r="D2561" s="112"/>
      <c r="E2561" s="113"/>
      <c r="F2561" s="113"/>
      <c r="G2561" s="112"/>
      <c r="H2561" s="112"/>
      <c r="Z2561" s="112"/>
      <c r="AA2561" s="112"/>
    </row>
    <row r="2562" spans="3:27" x14ac:dyDescent="0.25">
      <c r="C2562" s="112"/>
      <c r="D2562" s="112"/>
      <c r="E2562" s="113"/>
      <c r="F2562" s="113"/>
      <c r="G2562" s="112"/>
      <c r="H2562" s="112"/>
      <c r="Z2562" s="112"/>
      <c r="AA2562" s="112"/>
    </row>
    <row r="2563" spans="3:27" x14ac:dyDescent="0.25">
      <c r="C2563" s="112"/>
      <c r="D2563" s="112"/>
      <c r="E2563" s="113"/>
      <c r="F2563" s="113"/>
      <c r="G2563" s="112"/>
      <c r="H2563" s="112"/>
      <c r="Z2563" s="112"/>
      <c r="AA2563" s="112"/>
    </row>
    <row r="2564" spans="3:27" x14ac:dyDescent="0.25">
      <c r="C2564" s="112"/>
      <c r="D2564" s="112"/>
      <c r="E2564" s="113"/>
      <c r="F2564" s="113"/>
      <c r="G2564" s="112"/>
      <c r="H2564" s="112"/>
      <c r="Z2564" s="112"/>
      <c r="AA2564" s="112"/>
    </row>
    <row r="2565" spans="3:27" x14ac:dyDescent="0.25">
      <c r="C2565" s="112"/>
      <c r="D2565" s="112"/>
      <c r="E2565" s="113"/>
      <c r="F2565" s="113"/>
      <c r="G2565" s="112"/>
      <c r="H2565" s="112"/>
      <c r="Z2565" s="112"/>
      <c r="AA2565" s="112"/>
    </row>
    <row r="2566" spans="3:27" x14ac:dyDescent="0.25">
      <c r="C2566" s="112"/>
      <c r="D2566" s="112"/>
      <c r="E2566" s="113"/>
      <c r="F2566" s="113"/>
      <c r="G2566" s="112"/>
      <c r="H2566" s="112"/>
      <c r="Z2566" s="112"/>
      <c r="AA2566" s="112"/>
    </row>
    <row r="2567" spans="3:27" x14ac:dyDescent="0.25">
      <c r="C2567" s="112"/>
      <c r="D2567" s="112"/>
      <c r="E2567" s="113"/>
      <c r="F2567" s="113"/>
      <c r="G2567" s="112"/>
      <c r="H2567" s="112"/>
      <c r="Z2567" s="112"/>
      <c r="AA2567" s="112"/>
    </row>
    <row r="2568" spans="3:27" x14ac:dyDescent="0.25">
      <c r="C2568" s="112"/>
      <c r="D2568" s="112"/>
      <c r="E2568" s="113"/>
      <c r="F2568" s="113"/>
      <c r="G2568" s="112"/>
      <c r="H2568" s="112"/>
      <c r="Z2568" s="112"/>
      <c r="AA2568" s="112"/>
    </row>
    <row r="2569" spans="3:27" x14ac:dyDescent="0.25">
      <c r="C2569" s="112"/>
      <c r="D2569" s="112"/>
      <c r="E2569" s="113"/>
      <c r="F2569" s="113"/>
      <c r="G2569" s="112"/>
      <c r="H2569" s="112"/>
      <c r="Z2569" s="112"/>
      <c r="AA2569" s="112"/>
    </row>
    <row r="2570" spans="3:27" x14ac:dyDescent="0.25">
      <c r="C2570" s="112"/>
      <c r="D2570" s="112"/>
      <c r="E2570" s="113"/>
      <c r="F2570" s="113"/>
      <c r="G2570" s="112"/>
      <c r="H2570" s="112"/>
      <c r="Z2570" s="112"/>
      <c r="AA2570" s="112"/>
    </row>
    <row r="2571" spans="3:27" x14ac:dyDescent="0.25">
      <c r="C2571" s="112"/>
      <c r="D2571" s="112"/>
      <c r="E2571" s="113"/>
      <c r="F2571" s="113"/>
      <c r="G2571" s="112"/>
      <c r="H2571" s="112"/>
      <c r="Z2571" s="112"/>
      <c r="AA2571" s="112"/>
    </row>
    <row r="2572" spans="3:27" x14ac:dyDescent="0.25">
      <c r="C2572" s="112"/>
      <c r="D2572" s="112"/>
      <c r="E2572" s="113"/>
      <c r="F2572" s="113"/>
      <c r="G2572" s="112"/>
      <c r="H2572" s="112"/>
      <c r="Z2572" s="112"/>
      <c r="AA2572" s="112"/>
    </row>
    <row r="2573" spans="3:27" x14ac:dyDescent="0.25">
      <c r="C2573" s="112"/>
      <c r="D2573" s="112"/>
      <c r="E2573" s="113"/>
      <c r="F2573" s="113"/>
      <c r="G2573" s="112"/>
      <c r="H2573" s="112"/>
      <c r="Z2573" s="112"/>
      <c r="AA2573" s="112"/>
    </row>
    <row r="2574" spans="3:27" x14ac:dyDescent="0.25">
      <c r="C2574" s="112"/>
      <c r="D2574" s="112"/>
      <c r="E2574" s="113"/>
      <c r="F2574" s="113"/>
      <c r="G2574" s="112"/>
      <c r="H2574" s="112"/>
      <c r="Z2574" s="112"/>
      <c r="AA2574" s="112"/>
    </row>
    <row r="2575" spans="3:27" x14ac:dyDescent="0.25">
      <c r="C2575" s="112"/>
      <c r="D2575" s="112"/>
      <c r="E2575" s="113"/>
      <c r="F2575" s="113"/>
      <c r="G2575" s="112"/>
      <c r="H2575" s="112"/>
      <c r="Z2575" s="112"/>
      <c r="AA2575" s="112"/>
    </row>
    <row r="2576" spans="3:27" x14ac:dyDescent="0.25">
      <c r="C2576" s="112"/>
      <c r="D2576" s="112"/>
      <c r="E2576" s="113"/>
      <c r="F2576" s="113"/>
      <c r="G2576" s="112"/>
      <c r="H2576" s="112"/>
      <c r="Z2576" s="112"/>
      <c r="AA2576" s="112"/>
    </row>
    <row r="2577" spans="3:27" x14ac:dyDescent="0.25">
      <c r="C2577" s="112"/>
      <c r="D2577" s="112"/>
      <c r="E2577" s="113"/>
      <c r="F2577" s="113"/>
      <c r="G2577" s="112"/>
      <c r="H2577" s="112"/>
      <c r="Z2577" s="112"/>
      <c r="AA2577" s="112"/>
    </row>
    <row r="2578" spans="3:27" x14ac:dyDescent="0.25">
      <c r="C2578" s="112"/>
      <c r="D2578" s="112"/>
      <c r="E2578" s="113"/>
      <c r="F2578" s="113"/>
      <c r="G2578" s="112"/>
      <c r="H2578" s="112"/>
      <c r="Z2578" s="112"/>
      <c r="AA2578" s="112"/>
    </row>
    <row r="2579" spans="3:27" x14ac:dyDescent="0.25">
      <c r="C2579" s="112"/>
      <c r="D2579" s="112"/>
      <c r="E2579" s="113"/>
      <c r="F2579" s="113"/>
      <c r="G2579" s="112"/>
      <c r="H2579" s="112"/>
      <c r="Z2579" s="112"/>
      <c r="AA2579" s="112"/>
    </row>
    <row r="2580" spans="3:27" x14ac:dyDescent="0.25">
      <c r="C2580" s="112"/>
      <c r="D2580" s="112"/>
      <c r="E2580" s="113"/>
      <c r="F2580" s="113"/>
      <c r="G2580" s="112"/>
      <c r="H2580" s="112"/>
      <c r="Z2580" s="112"/>
      <c r="AA2580" s="112"/>
    </row>
    <row r="2581" spans="3:27" x14ac:dyDescent="0.25">
      <c r="C2581" s="112"/>
      <c r="D2581" s="112"/>
      <c r="E2581" s="113"/>
      <c r="F2581" s="113"/>
      <c r="G2581" s="112"/>
      <c r="H2581" s="112"/>
      <c r="Z2581" s="112"/>
      <c r="AA2581" s="112"/>
    </row>
    <row r="2582" spans="3:27" x14ac:dyDescent="0.25">
      <c r="C2582" s="112"/>
      <c r="D2582" s="112"/>
      <c r="E2582" s="113"/>
      <c r="F2582" s="113"/>
      <c r="G2582" s="112"/>
      <c r="H2582" s="112"/>
      <c r="Z2582" s="112"/>
      <c r="AA2582" s="112"/>
    </row>
    <row r="2583" spans="3:27" x14ac:dyDescent="0.25">
      <c r="C2583" s="112"/>
      <c r="D2583" s="112"/>
      <c r="E2583" s="113"/>
      <c r="F2583" s="113"/>
      <c r="G2583" s="112"/>
      <c r="H2583" s="112"/>
      <c r="Z2583" s="112"/>
      <c r="AA2583" s="112"/>
    </row>
    <row r="2584" spans="3:27" x14ac:dyDescent="0.25">
      <c r="C2584" s="112"/>
      <c r="D2584" s="112"/>
      <c r="E2584" s="113"/>
      <c r="F2584" s="113"/>
      <c r="G2584" s="112"/>
      <c r="H2584" s="112"/>
      <c r="Z2584" s="112"/>
      <c r="AA2584" s="112"/>
    </row>
    <row r="2585" spans="3:27" x14ac:dyDescent="0.25">
      <c r="C2585" s="112"/>
      <c r="D2585" s="112"/>
      <c r="E2585" s="113"/>
      <c r="F2585" s="113"/>
      <c r="G2585" s="112"/>
      <c r="H2585" s="112"/>
      <c r="Z2585" s="112"/>
      <c r="AA2585" s="112"/>
    </row>
    <row r="2586" spans="3:27" x14ac:dyDescent="0.25">
      <c r="C2586" s="112"/>
      <c r="D2586" s="112"/>
      <c r="E2586" s="113"/>
      <c r="F2586" s="113"/>
      <c r="G2586" s="112"/>
      <c r="H2586" s="112"/>
      <c r="Z2586" s="112"/>
      <c r="AA2586" s="112"/>
    </row>
    <row r="2587" spans="3:27" x14ac:dyDescent="0.25">
      <c r="C2587" s="112"/>
      <c r="D2587" s="112"/>
      <c r="E2587" s="113"/>
      <c r="F2587" s="113"/>
      <c r="G2587" s="112"/>
      <c r="H2587" s="112"/>
      <c r="Z2587" s="112"/>
      <c r="AA2587" s="112"/>
    </row>
    <row r="2588" spans="3:27" x14ac:dyDescent="0.25">
      <c r="C2588" s="112"/>
      <c r="D2588" s="112"/>
      <c r="E2588" s="113"/>
      <c r="F2588" s="113"/>
      <c r="G2588" s="112"/>
      <c r="H2588" s="112"/>
      <c r="Z2588" s="112"/>
      <c r="AA2588" s="112"/>
    </row>
    <row r="2589" spans="3:27" x14ac:dyDescent="0.25">
      <c r="C2589" s="112"/>
      <c r="D2589" s="112"/>
      <c r="E2589" s="113"/>
      <c r="F2589" s="113"/>
      <c r="G2589" s="112"/>
      <c r="H2589" s="112"/>
      <c r="Z2589" s="112"/>
      <c r="AA2589" s="112"/>
    </row>
    <row r="2590" spans="3:27" x14ac:dyDescent="0.25">
      <c r="C2590" s="112"/>
      <c r="D2590" s="112"/>
      <c r="E2590" s="113"/>
      <c r="F2590" s="113"/>
      <c r="G2590" s="112"/>
      <c r="H2590" s="112"/>
      <c r="Z2590" s="112"/>
      <c r="AA2590" s="112"/>
    </row>
    <row r="2591" spans="3:27" x14ac:dyDescent="0.25">
      <c r="C2591" s="112"/>
      <c r="D2591" s="112"/>
      <c r="E2591" s="113"/>
      <c r="F2591" s="113"/>
      <c r="G2591" s="112"/>
      <c r="H2591" s="112"/>
      <c r="Z2591" s="112"/>
      <c r="AA2591" s="112"/>
    </row>
    <row r="2592" spans="3:27" x14ac:dyDescent="0.25">
      <c r="C2592" s="112"/>
      <c r="D2592" s="112"/>
      <c r="E2592" s="113"/>
      <c r="F2592" s="113"/>
      <c r="G2592" s="112"/>
      <c r="H2592" s="112"/>
      <c r="Z2592" s="112"/>
      <c r="AA2592" s="112"/>
    </row>
    <row r="2593" spans="3:27" x14ac:dyDescent="0.25">
      <c r="C2593" s="112"/>
      <c r="D2593" s="112"/>
      <c r="E2593" s="113"/>
      <c r="F2593" s="113"/>
      <c r="G2593" s="112"/>
      <c r="H2593" s="112"/>
      <c r="Z2593" s="112"/>
      <c r="AA2593" s="112"/>
    </row>
    <row r="2594" spans="3:27" x14ac:dyDescent="0.25">
      <c r="C2594" s="112"/>
      <c r="D2594" s="112"/>
      <c r="E2594" s="113"/>
      <c r="F2594" s="113"/>
      <c r="G2594" s="112"/>
      <c r="H2594" s="112"/>
      <c r="Z2594" s="112"/>
      <c r="AA2594" s="112"/>
    </row>
    <row r="2595" spans="3:27" x14ac:dyDescent="0.25">
      <c r="C2595" s="112"/>
      <c r="D2595" s="112"/>
      <c r="E2595" s="113"/>
      <c r="F2595" s="113"/>
      <c r="G2595" s="112"/>
      <c r="H2595" s="112"/>
      <c r="Z2595" s="112"/>
      <c r="AA2595" s="112"/>
    </row>
    <row r="2596" spans="3:27" x14ac:dyDescent="0.25">
      <c r="C2596" s="112"/>
      <c r="D2596" s="112"/>
      <c r="E2596" s="113"/>
      <c r="F2596" s="113"/>
      <c r="G2596" s="112"/>
      <c r="H2596" s="112"/>
      <c r="Z2596" s="112"/>
      <c r="AA2596" s="112"/>
    </row>
    <row r="2597" spans="3:27" x14ac:dyDescent="0.25">
      <c r="C2597" s="112"/>
      <c r="D2597" s="112"/>
      <c r="E2597" s="113"/>
      <c r="F2597" s="113"/>
      <c r="G2597" s="112"/>
      <c r="H2597" s="112"/>
      <c r="Z2597" s="112"/>
      <c r="AA2597" s="112"/>
    </row>
    <row r="2598" spans="3:27" x14ac:dyDescent="0.25">
      <c r="C2598" s="112"/>
      <c r="D2598" s="112"/>
      <c r="E2598" s="113"/>
      <c r="F2598" s="113"/>
      <c r="G2598" s="112"/>
      <c r="H2598" s="112"/>
      <c r="Z2598" s="112"/>
      <c r="AA2598" s="112"/>
    </row>
    <row r="2599" spans="3:27" x14ac:dyDescent="0.25">
      <c r="C2599" s="112"/>
      <c r="D2599" s="112"/>
      <c r="E2599" s="113"/>
      <c r="F2599" s="113"/>
      <c r="G2599" s="112"/>
      <c r="H2599" s="112"/>
      <c r="Z2599" s="112"/>
      <c r="AA2599" s="112"/>
    </row>
    <row r="2600" spans="3:27" x14ac:dyDescent="0.25">
      <c r="C2600" s="112"/>
      <c r="D2600" s="112"/>
      <c r="E2600" s="113"/>
      <c r="F2600" s="113"/>
      <c r="G2600" s="112"/>
      <c r="H2600" s="112"/>
      <c r="Z2600" s="112"/>
      <c r="AA2600" s="112"/>
    </row>
    <row r="2601" spans="3:27" x14ac:dyDescent="0.25">
      <c r="C2601" s="112"/>
      <c r="D2601" s="112"/>
      <c r="E2601" s="113"/>
      <c r="F2601" s="113"/>
      <c r="G2601" s="112"/>
      <c r="H2601" s="112"/>
      <c r="Z2601" s="112"/>
      <c r="AA2601" s="112"/>
    </row>
    <row r="2602" spans="3:27" x14ac:dyDescent="0.25">
      <c r="C2602" s="112"/>
      <c r="D2602" s="112"/>
      <c r="E2602" s="113"/>
      <c r="F2602" s="113"/>
      <c r="G2602" s="112"/>
      <c r="H2602" s="112"/>
      <c r="Z2602" s="112"/>
      <c r="AA2602" s="112"/>
    </row>
    <row r="2603" spans="3:27" x14ac:dyDescent="0.25">
      <c r="C2603" s="112"/>
      <c r="D2603" s="112"/>
      <c r="E2603" s="113"/>
      <c r="F2603" s="113"/>
      <c r="G2603" s="112"/>
      <c r="H2603" s="112"/>
      <c r="Z2603" s="112"/>
      <c r="AA2603" s="112"/>
    </row>
    <row r="2604" spans="3:27" x14ac:dyDescent="0.25">
      <c r="C2604" s="112"/>
      <c r="D2604" s="112"/>
      <c r="E2604" s="113"/>
      <c r="F2604" s="113"/>
      <c r="G2604" s="112"/>
      <c r="H2604" s="112"/>
      <c r="Z2604" s="112"/>
      <c r="AA2604" s="112"/>
    </row>
    <row r="2605" spans="3:27" x14ac:dyDescent="0.25">
      <c r="C2605" s="112"/>
      <c r="D2605" s="112"/>
      <c r="E2605" s="113"/>
      <c r="F2605" s="113"/>
      <c r="G2605" s="112"/>
      <c r="H2605" s="112"/>
      <c r="Z2605" s="112"/>
      <c r="AA2605" s="112"/>
    </row>
    <row r="2606" spans="3:27" x14ac:dyDescent="0.25">
      <c r="C2606" s="112"/>
      <c r="D2606" s="112"/>
      <c r="E2606" s="113"/>
      <c r="F2606" s="113"/>
      <c r="G2606" s="112"/>
      <c r="H2606" s="112"/>
      <c r="Z2606" s="112"/>
      <c r="AA2606" s="112"/>
    </row>
    <row r="2607" spans="3:27" x14ac:dyDescent="0.25">
      <c r="C2607" s="112"/>
      <c r="D2607" s="112"/>
      <c r="E2607" s="113"/>
      <c r="F2607" s="113"/>
      <c r="G2607" s="112"/>
      <c r="H2607" s="112"/>
      <c r="Z2607" s="112"/>
      <c r="AA2607" s="112"/>
    </row>
    <row r="2608" spans="3:27" x14ac:dyDescent="0.25">
      <c r="C2608" s="112"/>
      <c r="D2608" s="112"/>
      <c r="E2608" s="113"/>
      <c r="F2608" s="113"/>
      <c r="G2608" s="112"/>
      <c r="H2608" s="112"/>
      <c r="Z2608" s="112"/>
      <c r="AA2608" s="112"/>
    </row>
    <row r="2609" spans="3:27" x14ac:dyDescent="0.25">
      <c r="C2609" s="112"/>
      <c r="D2609" s="112"/>
      <c r="E2609" s="113"/>
      <c r="F2609" s="113"/>
      <c r="G2609" s="112"/>
      <c r="H2609" s="112"/>
      <c r="Z2609" s="112"/>
      <c r="AA2609" s="112"/>
    </row>
    <row r="2610" spans="3:27" x14ac:dyDescent="0.25">
      <c r="C2610" s="112"/>
      <c r="D2610" s="112"/>
      <c r="E2610" s="113"/>
      <c r="F2610" s="113"/>
      <c r="G2610" s="112"/>
      <c r="H2610" s="112"/>
      <c r="Z2610" s="112"/>
      <c r="AA2610" s="112"/>
    </row>
    <row r="2611" spans="3:27" x14ac:dyDescent="0.25">
      <c r="C2611" s="112"/>
      <c r="D2611" s="112"/>
      <c r="E2611" s="113"/>
      <c r="F2611" s="113"/>
      <c r="G2611" s="112"/>
      <c r="H2611" s="112"/>
      <c r="Z2611" s="112"/>
      <c r="AA2611" s="112"/>
    </row>
    <row r="2612" spans="3:27" x14ac:dyDescent="0.25">
      <c r="C2612" s="112"/>
      <c r="D2612" s="112"/>
      <c r="E2612" s="113"/>
      <c r="F2612" s="113"/>
      <c r="G2612" s="112"/>
      <c r="H2612" s="112"/>
      <c r="Z2612" s="112"/>
      <c r="AA2612" s="112"/>
    </row>
    <row r="2613" spans="3:27" x14ac:dyDescent="0.25">
      <c r="C2613" s="112"/>
      <c r="D2613" s="112"/>
      <c r="E2613" s="113"/>
      <c r="F2613" s="113"/>
      <c r="G2613" s="112"/>
      <c r="H2613" s="112"/>
      <c r="Z2613" s="112"/>
      <c r="AA2613" s="112"/>
    </row>
    <row r="2614" spans="3:27" x14ac:dyDescent="0.25">
      <c r="C2614" s="112"/>
      <c r="D2614" s="112"/>
      <c r="E2614" s="113"/>
      <c r="F2614" s="113"/>
      <c r="G2614" s="112"/>
      <c r="H2614" s="112"/>
      <c r="Z2614" s="112"/>
      <c r="AA2614" s="112"/>
    </row>
    <row r="2615" spans="3:27" x14ac:dyDescent="0.25">
      <c r="C2615" s="112"/>
      <c r="D2615" s="112"/>
      <c r="E2615" s="113"/>
      <c r="F2615" s="113"/>
      <c r="G2615" s="112"/>
      <c r="H2615" s="112"/>
      <c r="Z2615" s="112"/>
      <c r="AA2615" s="112"/>
    </row>
    <row r="2616" spans="3:27" x14ac:dyDescent="0.25">
      <c r="C2616" s="112"/>
      <c r="D2616" s="112"/>
      <c r="E2616" s="113"/>
      <c r="F2616" s="113"/>
      <c r="G2616" s="112"/>
      <c r="H2616" s="112"/>
      <c r="Z2616" s="112"/>
      <c r="AA2616" s="112"/>
    </row>
    <row r="2617" spans="3:27" x14ac:dyDescent="0.25">
      <c r="C2617" s="112"/>
      <c r="D2617" s="112"/>
      <c r="E2617" s="113"/>
      <c r="F2617" s="113"/>
      <c r="G2617" s="112"/>
      <c r="H2617" s="112"/>
      <c r="Z2617" s="112"/>
      <c r="AA2617" s="112"/>
    </row>
    <row r="2618" spans="3:27" x14ac:dyDescent="0.25">
      <c r="C2618" s="112"/>
      <c r="D2618" s="112"/>
      <c r="E2618" s="113"/>
      <c r="F2618" s="113"/>
      <c r="G2618" s="112"/>
      <c r="H2618" s="112"/>
      <c r="Z2618" s="112"/>
      <c r="AA2618" s="112"/>
    </row>
    <row r="2619" spans="3:27" x14ac:dyDescent="0.25">
      <c r="C2619" s="112"/>
      <c r="D2619" s="112"/>
      <c r="E2619" s="113"/>
      <c r="F2619" s="113"/>
      <c r="G2619" s="112"/>
      <c r="H2619" s="112"/>
      <c r="Z2619" s="112"/>
      <c r="AA2619" s="112"/>
    </row>
    <row r="2620" spans="3:27" x14ac:dyDescent="0.25">
      <c r="C2620" s="112"/>
      <c r="D2620" s="112"/>
      <c r="E2620" s="113"/>
      <c r="F2620" s="113"/>
      <c r="G2620" s="112"/>
      <c r="H2620" s="112"/>
      <c r="Z2620" s="112"/>
      <c r="AA2620" s="112"/>
    </row>
    <row r="2621" spans="3:27" x14ac:dyDescent="0.25">
      <c r="C2621" s="112"/>
      <c r="D2621" s="112"/>
      <c r="E2621" s="113"/>
      <c r="F2621" s="113"/>
      <c r="G2621" s="112"/>
      <c r="H2621" s="112"/>
      <c r="Z2621" s="112"/>
      <c r="AA2621" s="112"/>
    </row>
    <row r="2622" spans="3:27" x14ac:dyDescent="0.25">
      <c r="C2622" s="112"/>
      <c r="D2622" s="112"/>
      <c r="E2622" s="113"/>
      <c r="F2622" s="113"/>
      <c r="G2622" s="112"/>
      <c r="H2622" s="112"/>
      <c r="Z2622" s="112"/>
      <c r="AA2622" s="112"/>
    </row>
    <row r="2623" spans="3:27" x14ac:dyDescent="0.25">
      <c r="C2623" s="112"/>
      <c r="D2623" s="112"/>
      <c r="E2623" s="113"/>
      <c r="F2623" s="113"/>
      <c r="G2623" s="112"/>
      <c r="H2623" s="112"/>
      <c r="Z2623" s="112"/>
      <c r="AA2623" s="112"/>
    </row>
    <row r="2624" spans="3:27" x14ac:dyDescent="0.25">
      <c r="C2624" s="112"/>
      <c r="D2624" s="112"/>
      <c r="E2624" s="113"/>
      <c r="F2624" s="113"/>
      <c r="G2624" s="112"/>
      <c r="H2624" s="112"/>
      <c r="Z2624" s="112"/>
      <c r="AA2624" s="112"/>
    </row>
    <row r="2625" spans="3:27" x14ac:dyDescent="0.25">
      <c r="C2625" s="112"/>
      <c r="D2625" s="112"/>
      <c r="E2625" s="113"/>
      <c r="F2625" s="113"/>
      <c r="G2625" s="112"/>
      <c r="H2625" s="112"/>
      <c r="Z2625" s="112"/>
      <c r="AA2625" s="112"/>
    </row>
    <row r="2626" spans="3:27" x14ac:dyDescent="0.25">
      <c r="C2626" s="112"/>
      <c r="D2626" s="112"/>
      <c r="E2626" s="113"/>
      <c r="F2626" s="113"/>
      <c r="G2626" s="112"/>
      <c r="H2626" s="112"/>
      <c r="Z2626" s="112"/>
      <c r="AA2626" s="112"/>
    </row>
    <row r="2627" spans="3:27" x14ac:dyDescent="0.25">
      <c r="C2627" s="112"/>
      <c r="D2627" s="112"/>
      <c r="E2627" s="113"/>
      <c r="F2627" s="113"/>
      <c r="G2627" s="112"/>
      <c r="H2627" s="112"/>
      <c r="Z2627" s="112"/>
      <c r="AA2627" s="112"/>
    </row>
    <row r="2628" spans="3:27" x14ac:dyDescent="0.25">
      <c r="C2628" s="112"/>
      <c r="D2628" s="112"/>
      <c r="E2628" s="113"/>
      <c r="F2628" s="113"/>
      <c r="G2628" s="112"/>
      <c r="H2628" s="112"/>
      <c r="Z2628" s="112"/>
      <c r="AA2628" s="112"/>
    </row>
    <row r="2629" spans="3:27" x14ac:dyDescent="0.25">
      <c r="C2629" s="112"/>
      <c r="D2629" s="112"/>
      <c r="E2629" s="113"/>
      <c r="F2629" s="113"/>
      <c r="G2629" s="112"/>
      <c r="H2629" s="112"/>
      <c r="Z2629" s="112"/>
      <c r="AA2629" s="112"/>
    </row>
    <row r="2630" spans="3:27" x14ac:dyDescent="0.25">
      <c r="C2630" s="112"/>
      <c r="D2630" s="112"/>
      <c r="E2630" s="113"/>
      <c r="F2630" s="113"/>
      <c r="G2630" s="112"/>
      <c r="H2630" s="112"/>
      <c r="Z2630" s="112"/>
      <c r="AA2630" s="112"/>
    </row>
    <row r="2631" spans="3:27" x14ac:dyDescent="0.25">
      <c r="C2631" s="112"/>
      <c r="D2631" s="112"/>
      <c r="E2631" s="113"/>
      <c r="F2631" s="113"/>
      <c r="G2631" s="112"/>
      <c r="H2631" s="112"/>
      <c r="Z2631" s="112"/>
      <c r="AA2631" s="112"/>
    </row>
    <row r="2632" spans="3:27" x14ac:dyDescent="0.25">
      <c r="C2632" s="112"/>
      <c r="D2632" s="112"/>
      <c r="E2632" s="113"/>
      <c r="F2632" s="113"/>
      <c r="G2632" s="112"/>
      <c r="H2632" s="112"/>
      <c r="Z2632" s="112"/>
      <c r="AA2632" s="112"/>
    </row>
    <row r="2633" spans="3:27" x14ac:dyDescent="0.25">
      <c r="C2633" s="112"/>
      <c r="D2633" s="112"/>
      <c r="E2633" s="113"/>
      <c r="F2633" s="113"/>
      <c r="G2633" s="112"/>
      <c r="H2633" s="112"/>
      <c r="Z2633" s="112"/>
      <c r="AA2633" s="112"/>
    </row>
    <row r="2634" spans="3:27" x14ac:dyDescent="0.25">
      <c r="C2634" s="112"/>
      <c r="D2634" s="112"/>
      <c r="E2634" s="113"/>
      <c r="F2634" s="113"/>
      <c r="G2634" s="112"/>
      <c r="H2634" s="112"/>
      <c r="Z2634" s="112"/>
      <c r="AA2634" s="112"/>
    </row>
    <row r="2635" spans="3:27" x14ac:dyDescent="0.25">
      <c r="C2635" s="112"/>
      <c r="D2635" s="112"/>
      <c r="E2635" s="113"/>
      <c r="F2635" s="113"/>
      <c r="G2635" s="112"/>
      <c r="H2635" s="112"/>
      <c r="Z2635" s="112"/>
      <c r="AA2635" s="112"/>
    </row>
    <row r="2636" spans="3:27" x14ac:dyDescent="0.25">
      <c r="C2636" s="112"/>
      <c r="D2636" s="112"/>
      <c r="E2636" s="113"/>
      <c r="F2636" s="113"/>
      <c r="G2636" s="112"/>
      <c r="H2636" s="112"/>
      <c r="Z2636" s="112"/>
      <c r="AA2636" s="112"/>
    </row>
    <row r="2637" spans="3:27" x14ac:dyDescent="0.25">
      <c r="C2637" s="112"/>
      <c r="D2637" s="112"/>
      <c r="E2637" s="113"/>
      <c r="F2637" s="113"/>
      <c r="G2637" s="112"/>
      <c r="H2637" s="112"/>
      <c r="Z2637" s="112"/>
      <c r="AA2637" s="112"/>
    </row>
    <row r="2638" spans="3:27" x14ac:dyDescent="0.25">
      <c r="C2638" s="112"/>
      <c r="D2638" s="112"/>
      <c r="E2638" s="113"/>
      <c r="F2638" s="113"/>
      <c r="G2638" s="112"/>
      <c r="H2638" s="112"/>
      <c r="Z2638" s="112"/>
      <c r="AA2638" s="112"/>
    </row>
    <row r="2639" spans="3:27" x14ac:dyDescent="0.25">
      <c r="C2639" s="112"/>
      <c r="D2639" s="112"/>
      <c r="E2639" s="113"/>
      <c r="F2639" s="113"/>
      <c r="G2639" s="112"/>
      <c r="H2639" s="112"/>
      <c r="Z2639" s="112"/>
      <c r="AA2639" s="112"/>
    </row>
    <row r="2640" spans="3:27" x14ac:dyDescent="0.25">
      <c r="C2640" s="112"/>
      <c r="D2640" s="112"/>
      <c r="E2640" s="113"/>
      <c r="F2640" s="113"/>
      <c r="G2640" s="112"/>
      <c r="H2640" s="112"/>
      <c r="Z2640" s="112"/>
      <c r="AA2640" s="112"/>
    </row>
    <row r="2641" spans="3:27" x14ac:dyDescent="0.25">
      <c r="C2641" s="112"/>
      <c r="D2641" s="112"/>
      <c r="E2641" s="113"/>
      <c r="F2641" s="113"/>
      <c r="G2641" s="112"/>
      <c r="H2641" s="112"/>
      <c r="Z2641" s="112"/>
      <c r="AA2641" s="112"/>
    </row>
    <row r="2642" spans="3:27" x14ac:dyDescent="0.25">
      <c r="C2642" s="112"/>
      <c r="D2642" s="112"/>
      <c r="E2642" s="113"/>
      <c r="F2642" s="113"/>
      <c r="G2642" s="112"/>
      <c r="H2642" s="112"/>
      <c r="Z2642" s="112"/>
      <c r="AA2642" s="112"/>
    </row>
    <row r="2643" spans="3:27" x14ac:dyDescent="0.25">
      <c r="C2643" s="112"/>
      <c r="D2643" s="112"/>
      <c r="E2643" s="113"/>
      <c r="F2643" s="113"/>
      <c r="G2643" s="112"/>
      <c r="H2643" s="112"/>
      <c r="Z2643" s="112"/>
      <c r="AA2643" s="112"/>
    </row>
    <row r="2644" spans="3:27" x14ac:dyDescent="0.25">
      <c r="C2644" s="112"/>
      <c r="D2644" s="112"/>
      <c r="E2644" s="113"/>
      <c r="F2644" s="113"/>
      <c r="G2644" s="112"/>
      <c r="H2644" s="112"/>
      <c r="Z2644" s="112"/>
      <c r="AA2644" s="112"/>
    </row>
    <row r="2645" spans="3:27" x14ac:dyDescent="0.25">
      <c r="C2645" s="112"/>
      <c r="D2645" s="112"/>
      <c r="E2645" s="113"/>
      <c r="F2645" s="113"/>
      <c r="G2645" s="112"/>
      <c r="H2645" s="112"/>
      <c r="Z2645" s="112"/>
      <c r="AA2645" s="112"/>
    </row>
    <row r="2646" spans="3:27" x14ac:dyDescent="0.25">
      <c r="C2646" s="112"/>
      <c r="D2646" s="112"/>
      <c r="E2646" s="113"/>
      <c r="F2646" s="113"/>
      <c r="G2646" s="112"/>
      <c r="H2646" s="112"/>
      <c r="Z2646" s="112"/>
      <c r="AA2646" s="112"/>
    </row>
    <row r="2647" spans="3:27" x14ac:dyDescent="0.25">
      <c r="C2647" s="112"/>
      <c r="D2647" s="112"/>
      <c r="E2647" s="113"/>
      <c r="F2647" s="113"/>
      <c r="G2647" s="112"/>
      <c r="H2647" s="112"/>
      <c r="Z2647" s="112"/>
      <c r="AA2647" s="112"/>
    </row>
    <row r="2648" spans="3:27" x14ac:dyDescent="0.25">
      <c r="C2648" s="112"/>
      <c r="D2648" s="112"/>
      <c r="E2648" s="113"/>
      <c r="F2648" s="113"/>
      <c r="G2648" s="112"/>
      <c r="H2648" s="112"/>
      <c r="Z2648" s="112"/>
      <c r="AA2648" s="112"/>
    </row>
    <row r="2649" spans="3:27" x14ac:dyDescent="0.25">
      <c r="C2649" s="112"/>
      <c r="D2649" s="112"/>
      <c r="E2649" s="113"/>
      <c r="F2649" s="113"/>
      <c r="G2649" s="112"/>
      <c r="H2649" s="112"/>
      <c r="Z2649" s="112"/>
      <c r="AA2649" s="112"/>
    </row>
    <row r="2650" spans="3:27" x14ac:dyDescent="0.25">
      <c r="C2650" s="112"/>
      <c r="D2650" s="112"/>
      <c r="E2650" s="113"/>
      <c r="F2650" s="113"/>
      <c r="G2650" s="112"/>
      <c r="H2650" s="112"/>
      <c r="Z2650" s="112"/>
      <c r="AA2650" s="112"/>
    </row>
    <row r="2651" spans="3:27" x14ac:dyDescent="0.25">
      <c r="C2651" s="112"/>
      <c r="D2651" s="112"/>
      <c r="E2651" s="113"/>
      <c r="F2651" s="113"/>
      <c r="G2651" s="112"/>
      <c r="H2651" s="112"/>
      <c r="Z2651" s="112"/>
      <c r="AA2651" s="112"/>
    </row>
    <row r="2652" spans="3:27" x14ac:dyDescent="0.25">
      <c r="C2652" s="112"/>
      <c r="D2652" s="112"/>
      <c r="E2652" s="113"/>
      <c r="F2652" s="113"/>
      <c r="G2652" s="112"/>
      <c r="H2652" s="112"/>
      <c r="Z2652" s="112"/>
      <c r="AA2652" s="112"/>
    </row>
    <row r="2653" spans="3:27" x14ac:dyDescent="0.25">
      <c r="C2653" s="112"/>
      <c r="D2653" s="112"/>
      <c r="E2653" s="113"/>
      <c r="F2653" s="113"/>
      <c r="G2653" s="112"/>
      <c r="H2653" s="112"/>
      <c r="Z2653" s="112"/>
      <c r="AA2653" s="112"/>
    </row>
    <row r="2654" spans="3:27" x14ac:dyDescent="0.25">
      <c r="C2654" s="112"/>
      <c r="D2654" s="112"/>
      <c r="E2654" s="113"/>
      <c r="F2654" s="113"/>
      <c r="G2654" s="112"/>
      <c r="H2654" s="112"/>
      <c r="Z2654" s="112"/>
      <c r="AA2654" s="112"/>
    </row>
    <row r="2655" spans="3:27" x14ac:dyDescent="0.25">
      <c r="C2655" s="112"/>
      <c r="D2655" s="112"/>
      <c r="E2655" s="113"/>
      <c r="F2655" s="113"/>
      <c r="G2655" s="112"/>
      <c r="H2655" s="112"/>
      <c r="Z2655" s="112"/>
      <c r="AA2655" s="112"/>
    </row>
    <row r="2656" spans="3:27" x14ac:dyDescent="0.25">
      <c r="C2656" s="112"/>
      <c r="D2656" s="112"/>
      <c r="E2656" s="113"/>
      <c r="F2656" s="113"/>
      <c r="G2656" s="112"/>
      <c r="H2656" s="112"/>
      <c r="Z2656" s="112"/>
      <c r="AA2656" s="112"/>
    </row>
    <row r="2657" spans="3:27" x14ac:dyDescent="0.25">
      <c r="C2657" s="112"/>
      <c r="D2657" s="112"/>
      <c r="E2657" s="113"/>
      <c r="F2657" s="113"/>
      <c r="G2657" s="112"/>
      <c r="H2657" s="112"/>
      <c r="Z2657" s="112"/>
      <c r="AA2657" s="112"/>
    </row>
    <row r="2658" spans="3:27" x14ac:dyDescent="0.25">
      <c r="C2658" s="112"/>
      <c r="D2658" s="112"/>
      <c r="E2658" s="113"/>
      <c r="F2658" s="113"/>
      <c r="G2658" s="112"/>
      <c r="H2658" s="112"/>
      <c r="Z2658" s="112"/>
      <c r="AA2658" s="112"/>
    </row>
    <row r="2659" spans="3:27" x14ac:dyDescent="0.25">
      <c r="C2659" s="112"/>
      <c r="D2659" s="112"/>
      <c r="E2659" s="113"/>
      <c r="F2659" s="113"/>
      <c r="G2659" s="112"/>
      <c r="H2659" s="112"/>
      <c r="Z2659" s="112"/>
      <c r="AA2659" s="112"/>
    </row>
    <row r="2660" spans="3:27" x14ac:dyDescent="0.25">
      <c r="C2660" s="112"/>
      <c r="D2660" s="112"/>
      <c r="E2660" s="113"/>
      <c r="F2660" s="113"/>
      <c r="G2660" s="112"/>
      <c r="H2660" s="112"/>
      <c r="Z2660" s="112"/>
      <c r="AA2660" s="112"/>
    </row>
    <row r="2661" spans="3:27" x14ac:dyDescent="0.25">
      <c r="C2661" s="112"/>
      <c r="D2661" s="112"/>
      <c r="E2661" s="113"/>
      <c r="F2661" s="113"/>
      <c r="G2661" s="112"/>
      <c r="H2661" s="112"/>
      <c r="Z2661" s="112"/>
      <c r="AA2661" s="112"/>
    </row>
    <row r="2662" spans="3:27" x14ac:dyDescent="0.25">
      <c r="C2662" s="112"/>
      <c r="D2662" s="112"/>
      <c r="E2662" s="113"/>
      <c r="F2662" s="113"/>
      <c r="G2662" s="112"/>
      <c r="H2662" s="112"/>
      <c r="Z2662" s="112"/>
      <c r="AA2662" s="112"/>
    </row>
    <row r="2663" spans="3:27" x14ac:dyDescent="0.25">
      <c r="C2663" s="112"/>
      <c r="D2663" s="112"/>
      <c r="E2663" s="113"/>
      <c r="F2663" s="113"/>
      <c r="G2663" s="112"/>
      <c r="H2663" s="112"/>
      <c r="Z2663" s="112"/>
      <c r="AA2663" s="112"/>
    </row>
    <row r="2664" spans="3:27" x14ac:dyDescent="0.25">
      <c r="C2664" s="112"/>
      <c r="D2664" s="112"/>
      <c r="E2664" s="113"/>
      <c r="F2664" s="113"/>
      <c r="G2664" s="112"/>
      <c r="H2664" s="112"/>
      <c r="Z2664" s="112"/>
      <c r="AA2664" s="112"/>
    </row>
    <row r="2665" spans="3:27" x14ac:dyDescent="0.25">
      <c r="C2665" s="112"/>
      <c r="D2665" s="112"/>
      <c r="E2665" s="113"/>
      <c r="F2665" s="113"/>
      <c r="G2665" s="112"/>
      <c r="H2665" s="112"/>
      <c r="Z2665" s="112"/>
      <c r="AA2665" s="112"/>
    </row>
    <row r="2666" spans="3:27" x14ac:dyDescent="0.25">
      <c r="C2666" s="112"/>
      <c r="D2666" s="112"/>
      <c r="E2666" s="113"/>
      <c r="F2666" s="113"/>
      <c r="G2666" s="112"/>
      <c r="H2666" s="112"/>
      <c r="Z2666" s="112"/>
      <c r="AA2666" s="112"/>
    </row>
    <row r="2667" spans="3:27" x14ac:dyDescent="0.25">
      <c r="C2667" s="112"/>
      <c r="D2667" s="112"/>
      <c r="E2667" s="113"/>
      <c r="F2667" s="113"/>
      <c r="G2667" s="112"/>
      <c r="H2667" s="112"/>
      <c r="Z2667" s="112"/>
      <c r="AA2667" s="112"/>
    </row>
    <row r="2668" spans="3:27" x14ac:dyDescent="0.25">
      <c r="C2668" s="112"/>
      <c r="D2668" s="112"/>
      <c r="E2668" s="113"/>
      <c r="F2668" s="113"/>
      <c r="G2668" s="112"/>
      <c r="H2668" s="112"/>
      <c r="Z2668" s="112"/>
      <c r="AA2668" s="112"/>
    </row>
    <row r="2669" spans="3:27" x14ac:dyDescent="0.25">
      <c r="C2669" s="112"/>
      <c r="D2669" s="112"/>
      <c r="E2669" s="113"/>
      <c r="F2669" s="113"/>
      <c r="G2669" s="112"/>
      <c r="H2669" s="112"/>
      <c r="Z2669" s="112"/>
      <c r="AA2669" s="112"/>
    </row>
    <row r="2670" spans="3:27" x14ac:dyDescent="0.25">
      <c r="C2670" s="112"/>
      <c r="D2670" s="112"/>
      <c r="E2670" s="113"/>
      <c r="F2670" s="113"/>
      <c r="G2670" s="112"/>
      <c r="H2670" s="112"/>
      <c r="Z2670" s="112"/>
      <c r="AA2670" s="112"/>
    </row>
    <row r="2671" spans="3:27" x14ac:dyDescent="0.25">
      <c r="C2671" s="112"/>
      <c r="D2671" s="112"/>
      <c r="E2671" s="113"/>
      <c r="F2671" s="113"/>
      <c r="G2671" s="112"/>
      <c r="H2671" s="112"/>
      <c r="Z2671" s="112"/>
      <c r="AA2671" s="112"/>
    </row>
    <row r="2672" spans="3:27" x14ac:dyDescent="0.25">
      <c r="C2672" s="112"/>
      <c r="D2672" s="112"/>
      <c r="E2672" s="113"/>
      <c r="F2672" s="113"/>
      <c r="G2672" s="112"/>
      <c r="H2672" s="112"/>
      <c r="Z2672" s="112"/>
      <c r="AA2672" s="112"/>
    </row>
    <row r="2673" spans="3:27" x14ac:dyDescent="0.25">
      <c r="C2673" s="112"/>
      <c r="D2673" s="112"/>
      <c r="E2673" s="113"/>
      <c r="F2673" s="113"/>
      <c r="G2673" s="112"/>
      <c r="H2673" s="112"/>
      <c r="Z2673" s="112"/>
      <c r="AA2673" s="112"/>
    </row>
    <row r="2674" spans="3:27" x14ac:dyDescent="0.25">
      <c r="C2674" s="112"/>
      <c r="D2674" s="112"/>
      <c r="E2674" s="113"/>
      <c r="F2674" s="113"/>
      <c r="G2674" s="112"/>
      <c r="H2674" s="112"/>
      <c r="Z2674" s="112"/>
      <c r="AA2674" s="112"/>
    </row>
    <row r="2675" spans="3:27" x14ac:dyDescent="0.25">
      <c r="C2675" s="112"/>
      <c r="D2675" s="112"/>
      <c r="E2675" s="113"/>
      <c r="F2675" s="113"/>
      <c r="G2675" s="112"/>
      <c r="H2675" s="112"/>
      <c r="Z2675" s="112"/>
      <c r="AA2675" s="112"/>
    </row>
    <row r="2676" spans="3:27" x14ac:dyDescent="0.25">
      <c r="C2676" s="112"/>
      <c r="D2676" s="112"/>
      <c r="E2676" s="113"/>
      <c r="F2676" s="113"/>
      <c r="G2676" s="112"/>
      <c r="H2676" s="112"/>
      <c r="Z2676" s="112"/>
      <c r="AA2676" s="112"/>
    </row>
    <row r="2677" spans="3:27" x14ac:dyDescent="0.25">
      <c r="C2677" s="112"/>
      <c r="D2677" s="112"/>
      <c r="E2677" s="113"/>
      <c r="F2677" s="113"/>
      <c r="G2677" s="112"/>
      <c r="H2677" s="112"/>
      <c r="Z2677" s="112"/>
      <c r="AA2677" s="112"/>
    </row>
    <row r="2678" spans="3:27" x14ac:dyDescent="0.25">
      <c r="C2678" s="112"/>
      <c r="D2678" s="112"/>
      <c r="E2678" s="113"/>
      <c r="F2678" s="113"/>
      <c r="G2678" s="112"/>
      <c r="H2678" s="112"/>
      <c r="Z2678" s="112"/>
      <c r="AA2678" s="112"/>
    </row>
    <row r="2679" spans="3:27" x14ac:dyDescent="0.25">
      <c r="C2679" s="112"/>
      <c r="D2679" s="112"/>
      <c r="E2679" s="113"/>
      <c r="F2679" s="113"/>
      <c r="G2679" s="112"/>
      <c r="H2679" s="112"/>
      <c r="Z2679" s="112"/>
      <c r="AA2679" s="112"/>
    </row>
    <row r="2680" spans="3:27" x14ac:dyDescent="0.25">
      <c r="C2680" s="112"/>
      <c r="D2680" s="112"/>
      <c r="E2680" s="113"/>
      <c r="F2680" s="113"/>
      <c r="G2680" s="112"/>
      <c r="H2680" s="112"/>
      <c r="Z2680" s="112"/>
      <c r="AA2680" s="112"/>
    </row>
    <row r="2681" spans="3:27" x14ac:dyDescent="0.25">
      <c r="C2681" s="112"/>
      <c r="D2681" s="112"/>
      <c r="E2681" s="113"/>
      <c r="F2681" s="113"/>
      <c r="G2681" s="112"/>
      <c r="H2681" s="112"/>
      <c r="Z2681" s="112"/>
      <c r="AA2681" s="112"/>
    </row>
    <row r="2682" spans="3:27" x14ac:dyDescent="0.25">
      <c r="C2682" s="112"/>
      <c r="D2682" s="112"/>
      <c r="E2682" s="113"/>
      <c r="F2682" s="113"/>
      <c r="G2682" s="112"/>
      <c r="H2682" s="112"/>
      <c r="Z2682" s="112"/>
      <c r="AA2682" s="112"/>
    </row>
    <row r="2683" spans="3:27" x14ac:dyDescent="0.25">
      <c r="C2683" s="112"/>
      <c r="D2683" s="112"/>
      <c r="E2683" s="113"/>
      <c r="F2683" s="113"/>
      <c r="G2683" s="112"/>
      <c r="H2683" s="112"/>
      <c r="Z2683" s="112"/>
      <c r="AA2683" s="112"/>
    </row>
    <row r="2684" spans="3:27" x14ac:dyDescent="0.25">
      <c r="C2684" s="112"/>
      <c r="D2684" s="112"/>
      <c r="E2684" s="113"/>
      <c r="F2684" s="113"/>
      <c r="G2684" s="112"/>
      <c r="H2684" s="112"/>
      <c r="Z2684" s="112"/>
      <c r="AA2684" s="112"/>
    </row>
    <row r="2685" spans="3:27" x14ac:dyDescent="0.25">
      <c r="C2685" s="112"/>
      <c r="D2685" s="112"/>
      <c r="E2685" s="113"/>
      <c r="F2685" s="113"/>
      <c r="G2685" s="112"/>
      <c r="H2685" s="112"/>
      <c r="Z2685" s="112"/>
      <c r="AA2685" s="112"/>
    </row>
    <row r="2686" spans="3:27" x14ac:dyDescent="0.25">
      <c r="C2686" s="112"/>
      <c r="D2686" s="112"/>
      <c r="E2686" s="113"/>
      <c r="F2686" s="113"/>
      <c r="G2686" s="112"/>
      <c r="H2686" s="112"/>
      <c r="Z2686" s="112"/>
      <c r="AA2686" s="112"/>
    </row>
    <row r="2687" spans="3:27" x14ac:dyDescent="0.25">
      <c r="C2687" s="112"/>
      <c r="D2687" s="112"/>
      <c r="E2687" s="113"/>
      <c r="F2687" s="113"/>
      <c r="G2687" s="112"/>
      <c r="H2687" s="112"/>
      <c r="Z2687" s="112"/>
      <c r="AA2687" s="112"/>
    </row>
    <row r="2688" spans="3:27" x14ac:dyDescent="0.25">
      <c r="C2688" s="112"/>
      <c r="D2688" s="112"/>
      <c r="E2688" s="113"/>
      <c r="F2688" s="113"/>
      <c r="G2688" s="112"/>
      <c r="H2688" s="112"/>
      <c r="Z2688" s="112"/>
      <c r="AA2688" s="112"/>
    </row>
    <row r="2689" spans="3:27" x14ac:dyDescent="0.25">
      <c r="C2689" s="112"/>
      <c r="D2689" s="112"/>
      <c r="E2689" s="113"/>
      <c r="F2689" s="113"/>
      <c r="G2689" s="112"/>
      <c r="H2689" s="112"/>
      <c r="Z2689" s="112"/>
      <c r="AA2689" s="112"/>
    </row>
    <row r="2690" spans="3:27" x14ac:dyDescent="0.25">
      <c r="C2690" s="112"/>
      <c r="D2690" s="112"/>
      <c r="E2690" s="113"/>
      <c r="F2690" s="113"/>
      <c r="G2690" s="112"/>
      <c r="H2690" s="112"/>
      <c r="Z2690" s="112"/>
      <c r="AA2690" s="112"/>
    </row>
    <row r="2691" spans="3:27" x14ac:dyDescent="0.25">
      <c r="C2691" s="112"/>
      <c r="D2691" s="112"/>
      <c r="E2691" s="113"/>
      <c r="F2691" s="113"/>
      <c r="G2691" s="112"/>
      <c r="H2691" s="112"/>
      <c r="Z2691" s="112"/>
      <c r="AA2691" s="112"/>
    </row>
    <row r="2692" spans="3:27" x14ac:dyDescent="0.25">
      <c r="C2692" s="112"/>
      <c r="D2692" s="112"/>
      <c r="E2692" s="113"/>
      <c r="F2692" s="113"/>
      <c r="G2692" s="112"/>
      <c r="H2692" s="112"/>
      <c r="Z2692" s="112"/>
      <c r="AA2692" s="112"/>
    </row>
    <row r="2693" spans="3:27" x14ac:dyDescent="0.25">
      <c r="C2693" s="112"/>
      <c r="D2693" s="112"/>
      <c r="E2693" s="113"/>
      <c r="F2693" s="113"/>
      <c r="G2693" s="112"/>
      <c r="H2693" s="112"/>
      <c r="Z2693" s="112"/>
      <c r="AA2693" s="112"/>
    </row>
    <row r="2694" spans="3:27" x14ac:dyDescent="0.25">
      <c r="C2694" s="112"/>
      <c r="D2694" s="112"/>
      <c r="E2694" s="113"/>
      <c r="F2694" s="113"/>
      <c r="G2694" s="112"/>
      <c r="H2694" s="112"/>
      <c r="Z2694" s="112"/>
      <c r="AA2694" s="112"/>
    </row>
    <row r="2695" spans="3:27" x14ac:dyDescent="0.25">
      <c r="C2695" s="112"/>
      <c r="D2695" s="112"/>
      <c r="E2695" s="113"/>
      <c r="F2695" s="113"/>
      <c r="G2695" s="112"/>
      <c r="H2695" s="112"/>
      <c r="Z2695" s="112"/>
      <c r="AA2695" s="112"/>
    </row>
    <row r="2696" spans="3:27" x14ac:dyDescent="0.25">
      <c r="C2696" s="112"/>
      <c r="D2696" s="112"/>
      <c r="E2696" s="113"/>
      <c r="F2696" s="113"/>
      <c r="G2696" s="112"/>
      <c r="H2696" s="112"/>
      <c r="Z2696" s="112"/>
      <c r="AA2696" s="112"/>
    </row>
    <row r="2697" spans="3:27" x14ac:dyDescent="0.25">
      <c r="C2697" s="112"/>
      <c r="D2697" s="112"/>
      <c r="E2697" s="113"/>
      <c r="F2697" s="113"/>
      <c r="G2697" s="112"/>
      <c r="H2697" s="112"/>
      <c r="Z2697" s="112"/>
      <c r="AA2697" s="112"/>
    </row>
    <row r="2698" spans="3:27" x14ac:dyDescent="0.25">
      <c r="C2698" s="112"/>
      <c r="D2698" s="112"/>
      <c r="E2698" s="113"/>
      <c r="F2698" s="113"/>
      <c r="G2698" s="112"/>
      <c r="H2698" s="112"/>
      <c r="Z2698" s="112"/>
      <c r="AA2698" s="112"/>
    </row>
    <row r="2699" spans="3:27" x14ac:dyDescent="0.25">
      <c r="C2699" s="112"/>
      <c r="D2699" s="112"/>
      <c r="E2699" s="113"/>
      <c r="F2699" s="113"/>
      <c r="G2699" s="112"/>
      <c r="H2699" s="112"/>
      <c r="Z2699" s="112"/>
      <c r="AA2699" s="112"/>
    </row>
    <row r="2700" spans="3:27" x14ac:dyDescent="0.25">
      <c r="C2700" s="112"/>
      <c r="D2700" s="112"/>
      <c r="E2700" s="113"/>
      <c r="F2700" s="113"/>
      <c r="G2700" s="112"/>
      <c r="H2700" s="112"/>
      <c r="Z2700" s="112"/>
      <c r="AA2700" s="112"/>
    </row>
    <row r="2701" spans="3:27" x14ac:dyDescent="0.25">
      <c r="C2701" s="112"/>
      <c r="D2701" s="112"/>
      <c r="E2701" s="113"/>
      <c r="F2701" s="113"/>
      <c r="G2701" s="112"/>
      <c r="H2701" s="112"/>
      <c r="Z2701" s="112"/>
      <c r="AA2701" s="112"/>
    </row>
    <row r="2702" spans="3:27" x14ac:dyDescent="0.25">
      <c r="C2702" s="112"/>
      <c r="D2702" s="112"/>
      <c r="E2702" s="113"/>
      <c r="F2702" s="113"/>
      <c r="G2702" s="112"/>
      <c r="H2702" s="112"/>
      <c r="Z2702" s="112"/>
      <c r="AA2702" s="112"/>
    </row>
    <row r="2703" spans="3:27" x14ac:dyDescent="0.25">
      <c r="C2703" s="112"/>
      <c r="D2703" s="112"/>
      <c r="E2703" s="113"/>
      <c r="F2703" s="113"/>
      <c r="G2703" s="112"/>
      <c r="H2703" s="112"/>
      <c r="Z2703" s="112"/>
      <c r="AA2703" s="112"/>
    </row>
    <row r="2704" spans="3:27" x14ac:dyDescent="0.25">
      <c r="C2704" s="112"/>
      <c r="D2704" s="112"/>
      <c r="E2704" s="113"/>
      <c r="F2704" s="113"/>
      <c r="G2704" s="112"/>
      <c r="H2704" s="112"/>
      <c r="Z2704" s="112"/>
      <c r="AA2704" s="112"/>
    </row>
    <row r="2705" spans="3:27" x14ac:dyDescent="0.25">
      <c r="C2705" s="112"/>
      <c r="D2705" s="112"/>
      <c r="E2705" s="113"/>
      <c r="F2705" s="113"/>
      <c r="G2705" s="112"/>
      <c r="H2705" s="112"/>
      <c r="Z2705" s="112"/>
      <c r="AA2705" s="112"/>
    </row>
    <row r="2706" spans="3:27" x14ac:dyDescent="0.25">
      <c r="C2706" s="112"/>
      <c r="D2706" s="112"/>
      <c r="E2706" s="113"/>
      <c r="F2706" s="113"/>
      <c r="G2706" s="112"/>
      <c r="H2706" s="112"/>
      <c r="Z2706" s="112"/>
      <c r="AA2706" s="112"/>
    </row>
    <row r="2707" spans="3:27" x14ac:dyDescent="0.25">
      <c r="C2707" s="112"/>
      <c r="D2707" s="112"/>
      <c r="E2707" s="113"/>
      <c r="F2707" s="113"/>
      <c r="G2707" s="112"/>
      <c r="H2707" s="112"/>
      <c r="Z2707" s="112"/>
      <c r="AA2707" s="112"/>
    </row>
    <row r="2708" spans="3:27" x14ac:dyDescent="0.25">
      <c r="C2708" s="112"/>
      <c r="D2708" s="112"/>
      <c r="E2708" s="113"/>
      <c r="F2708" s="113"/>
      <c r="G2708" s="112"/>
      <c r="H2708" s="112"/>
      <c r="Z2708" s="112"/>
      <c r="AA2708" s="112"/>
    </row>
    <row r="2709" spans="3:27" x14ac:dyDescent="0.25">
      <c r="C2709" s="112"/>
      <c r="D2709" s="112"/>
      <c r="E2709" s="113"/>
      <c r="F2709" s="113"/>
      <c r="G2709" s="112"/>
      <c r="H2709" s="112"/>
      <c r="Z2709" s="112"/>
      <c r="AA2709" s="112"/>
    </row>
    <row r="2710" spans="3:27" x14ac:dyDescent="0.25">
      <c r="C2710" s="112"/>
      <c r="D2710" s="112"/>
      <c r="E2710" s="113"/>
      <c r="F2710" s="113"/>
      <c r="G2710" s="112"/>
      <c r="H2710" s="112"/>
      <c r="Z2710" s="112"/>
      <c r="AA2710" s="112"/>
    </row>
    <row r="2711" spans="3:27" x14ac:dyDescent="0.25">
      <c r="C2711" s="112"/>
      <c r="D2711" s="112"/>
      <c r="E2711" s="113"/>
      <c r="F2711" s="113"/>
      <c r="G2711" s="112"/>
      <c r="H2711" s="112"/>
      <c r="Z2711" s="112"/>
      <c r="AA2711" s="112"/>
    </row>
    <row r="2712" spans="3:27" x14ac:dyDescent="0.25">
      <c r="C2712" s="112"/>
      <c r="D2712" s="112"/>
      <c r="E2712" s="113"/>
      <c r="F2712" s="113"/>
      <c r="G2712" s="112"/>
      <c r="H2712" s="112"/>
      <c r="Z2712" s="112"/>
      <c r="AA2712" s="112"/>
    </row>
    <row r="2713" spans="3:27" x14ac:dyDescent="0.25">
      <c r="C2713" s="112"/>
      <c r="D2713" s="112"/>
      <c r="E2713" s="113"/>
      <c r="F2713" s="113"/>
      <c r="G2713" s="112"/>
      <c r="H2713" s="112"/>
      <c r="Z2713" s="112"/>
      <c r="AA2713" s="112"/>
    </row>
    <row r="2714" spans="3:27" x14ac:dyDescent="0.25">
      <c r="C2714" s="112"/>
      <c r="D2714" s="112"/>
      <c r="E2714" s="113"/>
      <c r="F2714" s="113"/>
      <c r="G2714" s="112"/>
      <c r="H2714" s="112"/>
      <c r="Z2714" s="112"/>
      <c r="AA2714" s="112"/>
    </row>
    <row r="2715" spans="3:27" x14ac:dyDescent="0.25">
      <c r="C2715" s="112"/>
      <c r="D2715" s="112"/>
      <c r="E2715" s="113"/>
      <c r="F2715" s="113"/>
      <c r="G2715" s="112"/>
      <c r="H2715" s="112"/>
      <c r="Z2715" s="112"/>
      <c r="AA2715" s="112"/>
    </row>
    <row r="2716" spans="3:27" x14ac:dyDescent="0.25">
      <c r="C2716" s="112"/>
      <c r="D2716" s="112"/>
      <c r="E2716" s="113"/>
      <c r="F2716" s="113"/>
      <c r="G2716" s="112"/>
      <c r="H2716" s="112"/>
      <c r="Z2716" s="112"/>
      <c r="AA2716" s="112"/>
    </row>
    <row r="2717" spans="3:27" x14ac:dyDescent="0.25">
      <c r="C2717" s="112"/>
      <c r="D2717" s="112"/>
      <c r="E2717" s="113"/>
      <c r="F2717" s="113"/>
      <c r="G2717" s="112"/>
      <c r="H2717" s="112"/>
      <c r="Z2717" s="112"/>
      <c r="AA2717" s="112"/>
    </row>
    <row r="2718" spans="3:27" x14ac:dyDescent="0.25">
      <c r="C2718" s="112"/>
      <c r="D2718" s="112"/>
      <c r="E2718" s="113"/>
      <c r="F2718" s="113"/>
      <c r="G2718" s="112"/>
      <c r="H2718" s="112"/>
      <c r="Z2718" s="112"/>
      <c r="AA2718" s="112"/>
    </row>
    <row r="2719" spans="3:27" x14ac:dyDescent="0.25">
      <c r="C2719" s="112"/>
      <c r="D2719" s="112"/>
      <c r="E2719" s="113"/>
      <c r="F2719" s="113"/>
      <c r="G2719" s="112"/>
      <c r="H2719" s="112"/>
      <c r="Z2719" s="112"/>
      <c r="AA2719" s="112"/>
    </row>
    <row r="2720" spans="3:27" x14ac:dyDescent="0.25">
      <c r="C2720" s="112"/>
      <c r="D2720" s="112"/>
      <c r="E2720" s="113"/>
      <c r="F2720" s="113"/>
      <c r="G2720" s="112"/>
      <c r="H2720" s="112"/>
      <c r="Z2720" s="112"/>
      <c r="AA2720" s="112"/>
    </row>
    <row r="2721" spans="3:27" x14ac:dyDescent="0.25">
      <c r="C2721" s="112"/>
      <c r="D2721" s="112"/>
      <c r="E2721" s="113"/>
      <c r="F2721" s="113"/>
      <c r="G2721" s="112"/>
      <c r="H2721" s="112"/>
      <c r="Z2721" s="112"/>
      <c r="AA2721" s="112"/>
    </row>
    <row r="2722" spans="3:27" x14ac:dyDescent="0.25">
      <c r="C2722" s="112"/>
      <c r="D2722" s="112"/>
      <c r="E2722" s="113"/>
      <c r="F2722" s="113"/>
      <c r="G2722" s="112"/>
      <c r="H2722" s="112"/>
      <c r="Z2722" s="112"/>
      <c r="AA2722" s="112"/>
    </row>
    <row r="2723" spans="3:27" x14ac:dyDescent="0.25">
      <c r="C2723" s="112"/>
      <c r="D2723" s="112"/>
      <c r="E2723" s="113"/>
      <c r="F2723" s="113"/>
      <c r="G2723" s="112"/>
      <c r="H2723" s="112"/>
      <c r="Z2723" s="112"/>
      <c r="AA2723" s="112"/>
    </row>
    <row r="2724" spans="3:27" x14ac:dyDescent="0.25">
      <c r="C2724" s="112"/>
      <c r="D2724" s="112"/>
      <c r="E2724" s="113"/>
      <c r="F2724" s="113"/>
      <c r="G2724" s="112"/>
      <c r="H2724" s="112"/>
      <c r="Z2724" s="112"/>
      <c r="AA2724" s="112"/>
    </row>
    <row r="2725" spans="3:27" x14ac:dyDescent="0.25">
      <c r="C2725" s="112"/>
      <c r="D2725" s="112"/>
      <c r="E2725" s="113"/>
      <c r="F2725" s="113"/>
      <c r="G2725" s="112"/>
      <c r="H2725" s="112"/>
      <c r="Z2725" s="112"/>
      <c r="AA2725" s="112"/>
    </row>
    <row r="2726" spans="3:27" x14ac:dyDescent="0.25">
      <c r="C2726" s="112"/>
      <c r="D2726" s="112"/>
      <c r="E2726" s="113"/>
      <c r="F2726" s="113"/>
      <c r="G2726" s="112"/>
      <c r="H2726" s="112"/>
      <c r="Z2726" s="112"/>
      <c r="AA2726" s="112"/>
    </row>
    <row r="2727" spans="3:27" x14ac:dyDescent="0.25">
      <c r="C2727" s="112"/>
      <c r="D2727" s="112"/>
      <c r="E2727" s="113"/>
      <c r="F2727" s="113"/>
      <c r="G2727" s="112"/>
      <c r="H2727" s="112"/>
      <c r="Z2727" s="112"/>
      <c r="AA2727" s="112"/>
    </row>
    <row r="2728" spans="3:27" x14ac:dyDescent="0.25">
      <c r="C2728" s="112"/>
      <c r="D2728" s="112"/>
      <c r="E2728" s="113"/>
      <c r="F2728" s="113"/>
      <c r="G2728" s="112"/>
      <c r="H2728" s="112"/>
      <c r="Z2728" s="112"/>
      <c r="AA2728" s="112"/>
    </row>
    <row r="2729" spans="3:27" x14ac:dyDescent="0.25">
      <c r="C2729" s="112"/>
      <c r="D2729" s="112"/>
      <c r="E2729" s="113"/>
      <c r="F2729" s="113"/>
      <c r="G2729" s="112"/>
      <c r="H2729" s="112"/>
      <c r="Z2729" s="112"/>
      <c r="AA2729" s="112"/>
    </row>
    <row r="2730" spans="3:27" x14ac:dyDescent="0.25">
      <c r="C2730" s="112"/>
      <c r="D2730" s="112"/>
      <c r="E2730" s="113"/>
      <c r="F2730" s="113"/>
      <c r="G2730" s="112"/>
      <c r="H2730" s="112"/>
      <c r="Z2730" s="112"/>
      <c r="AA2730" s="112"/>
    </row>
    <row r="2731" spans="3:27" x14ac:dyDescent="0.25">
      <c r="C2731" s="112"/>
      <c r="D2731" s="112"/>
      <c r="E2731" s="113"/>
      <c r="F2731" s="113"/>
      <c r="G2731" s="112"/>
      <c r="H2731" s="112"/>
      <c r="Z2731" s="112"/>
      <c r="AA2731" s="112"/>
    </row>
    <row r="2732" spans="3:27" x14ac:dyDescent="0.25">
      <c r="C2732" s="112"/>
      <c r="D2732" s="112"/>
      <c r="E2732" s="113"/>
      <c r="F2732" s="113"/>
      <c r="G2732" s="112"/>
      <c r="H2732" s="112"/>
      <c r="Z2732" s="112"/>
      <c r="AA2732" s="112"/>
    </row>
    <row r="2733" spans="3:27" x14ac:dyDescent="0.25">
      <c r="C2733" s="112"/>
      <c r="D2733" s="112"/>
      <c r="E2733" s="113"/>
      <c r="F2733" s="113"/>
      <c r="G2733" s="112"/>
      <c r="H2733" s="112"/>
      <c r="Z2733" s="112"/>
      <c r="AA2733" s="112"/>
    </row>
    <row r="2734" spans="3:27" x14ac:dyDescent="0.25">
      <c r="C2734" s="112"/>
      <c r="D2734" s="112"/>
      <c r="E2734" s="113"/>
      <c r="F2734" s="113"/>
      <c r="G2734" s="112"/>
      <c r="H2734" s="112"/>
      <c r="Z2734" s="112"/>
      <c r="AA2734" s="112"/>
    </row>
    <row r="2735" spans="3:27" x14ac:dyDescent="0.25">
      <c r="C2735" s="112"/>
      <c r="D2735" s="112"/>
      <c r="E2735" s="113"/>
      <c r="F2735" s="113"/>
      <c r="G2735" s="112"/>
      <c r="H2735" s="112"/>
      <c r="Z2735" s="112"/>
      <c r="AA2735" s="112"/>
    </row>
    <row r="2736" spans="3:27" x14ac:dyDescent="0.25">
      <c r="C2736" s="112"/>
      <c r="D2736" s="112"/>
      <c r="E2736" s="113"/>
      <c r="F2736" s="113"/>
      <c r="G2736" s="112"/>
      <c r="H2736" s="112"/>
      <c r="Z2736" s="112"/>
      <c r="AA2736" s="112"/>
    </row>
    <row r="2737" spans="3:27" x14ac:dyDescent="0.25">
      <c r="C2737" s="112"/>
      <c r="D2737" s="112"/>
      <c r="E2737" s="113"/>
      <c r="F2737" s="113"/>
      <c r="G2737" s="112"/>
      <c r="H2737" s="112"/>
      <c r="Z2737" s="112"/>
      <c r="AA2737" s="112"/>
    </row>
    <row r="2738" spans="3:27" x14ac:dyDescent="0.25">
      <c r="C2738" s="112"/>
      <c r="D2738" s="112"/>
      <c r="E2738" s="113"/>
      <c r="F2738" s="113"/>
      <c r="G2738" s="112"/>
      <c r="H2738" s="112"/>
      <c r="Z2738" s="112"/>
      <c r="AA2738" s="112"/>
    </row>
    <row r="2739" spans="3:27" x14ac:dyDescent="0.25">
      <c r="C2739" s="112"/>
      <c r="D2739" s="112"/>
      <c r="E2739" s="113"/>
      <c r="F2739" s="113"/>
      <c r="G2739" s="112"/>
      <c r="H2739" s="112"/>
      <c r="Z2739" s="112"/>
      <c r="AA2739" s="112"/>
    </row>
    <row r="2740" spans="3:27" x14ac:dyDescent="0.25">
      <c r="C2740" s="112"/>
      <c r="D2740" s="112"/>
      <c r="E2740" s="113"/>
      <c r="F2740" s="113"/>
      <c r="G2740" s="112"/>
      <c r="H2740" s="112"/>
      <c r="Z2740" s="112"/>
      <c r="AA2740" s="112"/>
    </row>
    <row r="2741" spans="3:27" x14ac:dyDescent="0.25">
      <c r="C2741" s="112"/>
      <c r="D2741" s="112"/>
      <c r="E2741" s="113"/>
      <c r="F2741" s="113"/>
      <c r="G2741" s="112"/>
      <c r="H2741" s="112"/>
      <c r="Z2741" s="112"/>
      <c r="AA2741" s="112"/>
    </row>
    <row r="2742" spans="3:27" x14ac:dyDescent="0.25">
      <c r="C2742" s="112"/>
      <c r="D2742" s="112"/>
      <c r="E2742" s="113"/>
      <c r="F2742" s="113"/>
      <c r="G2742" s="112"/>
      <c r="H2742" s="112"/>
      <c r="Z2742" s="112"/>
      <c r="AA2742" s="112"/>
    </row>
    <row r="2743" spans="3:27" x14ac:dyDescent="0.25">
      <c r="C2743" s="112"/>
      <c r="D2743" s="112"/>
      <c r="E2743" s="113"/>
      <c r="F2743" s="113"/>
      <c r="G2743" s="112"/>
      <c r="H2743" s="112"/>
      <c r="Z2743" s="112"/>
      <c r="AA2743" s="112"/>
    </row>
    <row r="2744" spans="3:27" x14ac:dyDescent="0.25">
      <c r="C2744" s="112"/>
      <c r="D2744" s="112"/>
      <c r="E2744" s="113"/>
      <c r="F2744" s="113"/>
      <c r="G2744" s="112"/>
      <c r="H2744" s="112"/>
      <c r="Z2744" s="112"/>
      <c r="AA2744" s="112"/>
    </row>
    <row r="2745" spans="3:27" x14ac:dyDescent="0.25">
      <c r="C2745" s="112"/>
      <c r="D2745" s="112"/>
      <c r="E2745" s="113"/>
      <c r="F2745" s="113"/>
      <c r="G2745" s="112"/>
      <c r="H2745" s="112"/>
      <c r="Z2745" s="112"/>
      <c r="AA2745" s="112"/>
    </row>
    <row r="2746" spans="3:27" x14ac:dyDescent="0.25">
      <c r="C2746" s="112"/>
      <c r="D2746" s="112"/>
      <c r="E2746" s="113"/>
      <c r="F2746" s="113"/>
      <c r="G2746" s="112"/>
      <c r="H2746" s="112"/>
      <c r="Z2746" s="112"/>
      <c r="AA2746" s="112"/>
    </row>
    <row r="2747" spans="3:27" x14ac:dyDescent="0.25">
      <c r="C2747" s="112"/>
      <c r="D2747" s="112"/>
      <c r="E2747" s="113"/>
      <c r="F2747" s="113"/>
      <c r="G2747" s="112"/>
      <c r="H2747" s="112"/>
      <c r="Z2747" s="112"/>
      <c r="AA2747" s="112"/>
    </row>
    <row r="2748" spans="3:27" x14ac:dyDescent="0.25">
      <c r="C2748" s="112"/>
      <c r="D2748" s="112"/>
      <c r="E2748" s="113"/>
      <c r="F2748" s="113"/>
      <c r="G2748" s="112"/>
      <c r="H2748" s="112"/>
      <c r="Z2748" s="112"/>
      <c r="AA2748" s="112"/>
    </row>
    <row r="2749" spans="3:27" x14ac:dyDescent="0.25">
      <c r="C2749" s="112"/>
      <c r="D2749" s="112"/>
      <c r="E2749" s="113"/>
      <c r="F2749" s="113"/>
      <c r="G2749" s="112"/>
      <c r="H2749" s="112"/>
      <c r="Z2749" s="112"/>
      <c r="AA2749" s="112"/>
    </row>
    <row r="2750" spans="3:27" x14ac:dyDescent="0.25">
      <c r="C2750" s="112"/>
      <c r="D2750" s="112"/>
      <c r="E2750" s="113"/>
      <c r="F2750" s="113"/>
      <c r="G2750" s="112"/>
      <c r="H2750" s="112"/>
      <c r="Z2750" s="112"/>
      <c r="AA2750" s="112"/>
    </row>
    <row r="2751" spans="3:27" x14ac:dyDescent="0.25">
      <c r="C2751" s="112"/>
      <c r="D2751" s="112"/>
      <c r="E2751" s="113"/>
      <c r="F2751" s="113"/>
      <c r="G2751" s="112"/>
      <c r="H2751" s="112"/>
      <c r="Z2751" s="112"/>
      <c r="AA2751" s="112"/>
    </row>
    <row r="2752" spans="3:27" x14ac:dyDescent="0.25">
      <c r="C2752" s="112"/>
      <c r="D2752" s="112"/>
      <c r="E2752" s="113"/>
      <c r="F2752" s="113"/>
      <c r="G2752" s="112"/>
      <c r="H2752" s="112"/>
      <c r="Z2752" s="112"/>
      <c r="AA2752" s="112"/>
    </row>
    <row r="2753" spans="3:27" x14ac:dyDescent="0.25">
      <c r="C2753" s="112"/>
      <c r="D2753" s="112"/>
      <c r="E2753" s="113"/>
      <c r="F2753" s="113"/>
      <c r="G2753" s="112"/>
      <c r="H2753" s="112"/>
      <c r="Z2753" s="112"/>
      <c r="AA2753" s="112"/>
    </row>
    <row r="2754" spans="3:27" x14ac:dyDescent="0.25">
      <c r="C2754" s="112"/>
      <c r="D2754" s="112"/>
      <c r="E2754" s="113"/>
      <c r="F2754" s="113"/>
      <c r="G2754" s="112"/>
      <c r="H2754" s="112"/>
      <c r="Z2754" s="112"/>
      <c r="AA2754" s="112"/>
    </row>
    <row r="2755" spans="3:27" x14ac:dyDescent="0.25">
      <c r="C2755" s="112"/>
      <c r="D2755" s="112"/>
      <c r="E2755" s="113"/>
      <c r="F2755" s="113"/>
      <c r="G2755" s="112"/>
      <c r="H2755" s="112"/>
      <c r="Z2755" s="112"/>
      <c r="AA2755" s="112"/>
    </row>
    <row r="2756" spans="3:27" x14ac:dyDescent="0.25">
      <c r="C2756" s="112"/>
      <c r="D2756" s="112"/>
      <c r="E2756" s="113"/>
      <c r="F2756" s="113"/>
      <c r="G2756" s="112"/>
      <c r="H2756" s="112"/>
      <c r="Z2756" s="112"/>
      <c r="AA2756" s="112"/>
    </row>
    <row r="2757" spans="3:27" x14ac:dyDescent="0.25">
      <c r="C2757" s="112"/>
      <c r="D2757" s="112"/>
      <c r="E2757" s="113"/>
      <c r="F2757" s="113"/>
      <c r="G2757" s="112"/>
      <c r="H2757" s="112"/>
      <c r="Z2757" s="112"/>
      <c r="AA2757" s="112"/>
    </row>
    <row r="2758" spans="3:27" x14ac:dyDescent="0.25">
      <c r="C2758" s="112"/>
      <c r="D2758" s="112"/>
      <c r="E2758" s="113"/>
      <c r="F2758" s="113"/>
      <c r="G2758" s="112"/>
      <c r="H2758" s="112"/>
      <c r="Z2758" s="112"/>
      <c r="AA2758" s="112"/>
    </row>
    <row r="2759" spans="3:27" x14ac:dyDescent="0.25">
      <c r="C2759" s="112"/>
      <c r="D2759" s="112"/>
      <c r="E2759" s="113"/>
      <c r="F2759" s="113"/>
      <c r="G2759" s="112"/>
      <c r="H2759" s="112"/>
      <c r="Z2759" s="112"/>
      <c r="AA2759" s="112"/>
    </row>
    <row r="2760" spans="3:27" x14ac:dyDescent="0.25">
      <c r="C2760" s="112"/>
      <c r="D2760" s="112"/>
      <c r="E2760" s="113"/>
      <c r="F2760" s="113"/>
      <c r="G2760" s="112"/>
      <c r="H2760" s="112"/>
      <c r="Z2760" s="112"/>
      <c r="AA2760" s="112"/>
    </row>
    <row r="2761" spans="3:27" x14ac:dyDescent="0.25">
      <c r="C2761" s="112"/>
      <c r="D2761" s="112"/>
      <c r="E2761" s="113"/>
      <c r="F2761" s="113"/>
      <c r="G2761" s="112"/>
      <c r="H2761" s="112"/>
      <c r="Z2761" s="112"/>
      <c r="AA2761" s="112"/>
    </row>
    <row r="2762" spans="3:27" x14ac:dyDescent="0.25">
      <c r="C2762" s="112"/>
      <c r="D2762" s="112"/>
      <c r="E2762" s="113"/>
      <c r="F2762" s="113"/>
      <c r="G2762" s="112"/>
      <c r="H2762" s="112"/>
      <c r="Z2762" s="112"/>
      <c r="AA2762" s="112"/>
    </row>
    <row r="2763" spans="3:27" x14ac:dyDescent="0.25">
      <c r="C2763" s="112"/>
      <c r="D2763" s="112"/>
      <c r="E2763" s="113"/>
      <c r="F2763" s="113"/>
      <c r="G2763" s="112"/>
      <c r="H2763" s="112"/>
      <c r="Z2763" s="112"/>
      <c r="AA2763" s="112"/>
    </row>
    <row r="2764" spans="3:27" x14ac:dyDescent="0.25">
      <c r="C2764" s="112"/>
      <c r="D2764" s="112"/>
      <c r="E2764" s="113"/>
      <c r="F2764" s="113"/>
      <c r="G2764" s="112"/>
      <c r="H2764" s="112"/>
      <c r="Z2764" s="112"/>
      <c r="AA2764" s="112"/>
    </row>
    <row r="2765" spans="3:27" x14ac:dyDescent="0.25">
      <c r="C2765" s="112"/>
      <c r="D2765" s="112"/>
      <c r="E2765" s="113"/>
      <c r="F2765" s="113"/>
      <c r="G2765" s="112"/>
      <c r="H2765" s="112"/>
      <c r="Z2765" s="112"/>
      <c r="AA2765" s="112"/>
    </row>
    <row r="2766" spans="3:27" x14ac:dyDescent="0.25">
      <c r="C2766" s="112"/>
      <c r="D2766" s="112"/>
      <c r="E2766" s="113"/>
      <c r="F2766" s="113"/>
      <c r="G2766" s="112"/>
      <c r="H2766" s="112"/>
      <c r="Z2766" s="112"/>
      <c r="AA2766" s="112"/>
    </row>
    <row r="2767" spans="3:27" x14ac:dyDescent="0.25">
      <c r="C2767" s="112"/>
      <c r="D2767" s="112"/>
      <c r="E2767" s="113"/>
      <c r="F2767" s="113"/>
      <c r="G2767" s="112"/>
      <c r="H2767" s="112"/>
      <c r="Z2767" s="112"/>
      <c r="AA2767" s="112"/>
    </row>
    <row r="2768" spans="3:27" x14ac:dyDescent="0.25">
      <c r="C2768" s="112"/>
      <c r="D2768" s="112"/>
      <c r="E2768" s="113"/>
      <c r="F2768" s="113"/>
      <c r="G2768" s="112"/>
      <c r="H2768" s="112"/>
      <c r="Z2768" s="112"/>
      <c r="AA2768" s="112"/>
    </row>
    <row r="2769" spans="3:27" x14ac:dyDescent="0.25">
      <c r="C2769" s="112"/>
      <c r="D2769" s="112"/>
      <c r="E2769" s="113"/>
      <c r="F2769" s="113"/>
      <c r="G2769" s="112"/>
      <c r="H2769" s="112"/>
      <c r="Z2769" s="112"/>
      <c r="AA2769" s="112"/>
    </row>
    <row r="2770" spans="3:27" x14ac:dyDescent="0.25">
      <c r="C2770" s="112"/>
      <c r="D2770" s="112"/>
      <c r="E2770" s="113"/>
      <c r="F2770" s="113"/>
      <c r="G2770" s="112"/>
      <c r="H2770" s="112"/>
      <c r="Z2770" s="112"/>
      <c r="AA2770" s="112"/>
    </row>
    <row r="2771" spans="3:27" x14ac:dyDescent="0.25">
      <c r="C2771" s="112"/>
      <c r="D2771" s="112"/>
      <c r="E2771" s="113"/>
      <c r="F2771" s="113"/>
      <c r="G2771" s="112"/>
      <c r="H2771" s="112"/>
      <c r="Z2771" s="112"/>
      <c r="AA2771" s="112"/>
    </row>
    <row r="2772" spans="3:27" x14ac:dyDescent="0.25">
      <c r="C2772" s="112"/>
      <c r="D2772" s="112"/>
      <c r="E2772" s="113"/>
      <c r="F2772" s="113"/>
      <c r="G2772" s="112"/>
      <c r="H2772" s="112"/>
      <c r="Z2772" s="112"/>
      <c r="AA2772" s="112"/>
    </row>
    <row r="2773" spans="3:27" x14ac:dyDescent="0.25">
      <c r="C2773" s="112"/>
      <c r="D2773" s="112"/>
      <c r="E2773" s="113"/>
      <c r="F2773" s="113"/>
      <c r="G2773" s="112"/>
      <c r="H2773" s="112"/>
      <c r="Z2773" s="112"/>
      <c r="AA2773" s="112"/>
    </row>
    <row r="2774" spans="3:27" x14ac:dyDescent="0.25">
      <c r="C2774" s="112"/>
      <c r="D2774" s="112"/>
      <c r="E2774" s="113"/>
      <c r="F2774" s="113"/>
      <c r="G2774" s="112"/>
      <c r="H2774" s="112"/>
      <c r="Z2774" s="112"/>
      <c r="AA2774" s="112"/>
    </row>
    <row r="2775" spans="3:27" x14ac:dyDescent="0.25">
      <c r="C2775" s="112"/>
      <c r="D2775" s="112"/>
      <c r="E2775" s="113"/>
      <c r="F2775" s="113"/>
      <c r="G2775" s="112"/>
      <c r="H2775" s="112"/>
      <c r="Z2775" s="112"/>
      <c r="AA2775" s="112"/>
    </row>
    <row r="2776" spans="3:27" x14ac:dyDescent="0.25">
      <c r="C2776" s="112"/>
      <c r="D2776" s="112"/>
      <c r="E2776" s="113"/>
      <c r="F2776" s="113"/>
      <c r="G2776" s="112"/>
      <c r="H2776" s="112"/>
      <c r="Z2776" s="112"/>
      <c r="AA2776" s="112"/>
    </row>
    <row r="2777" spans="3:27" x14ac:dyDescent="0.25">
      <c r="C2777" s="112"/>
      <c r="D2777" s="112"/>
      <c r="E2777" s="113"/>
      <c r="F2777" s="113"/>
      <c r="G2777" s="112"/>
      <c r="H2777" s="112"/>
      <c r="Z2777" s="112"/>
      <c r="AA2777" s="112"/>
    </row>
    <row r="2778" spans="3:27" x14ac:dyDescent="0.25">
      <c r="C2778" s="112"/>
      <c r="D2778" s="112"/>
      <c r="E2778" s="113"/>
      <c r="F2778" s="113"/>
      <c r="G2778" s="112"/>
      <c r="H2778" s="112"/>
      <c r="Z2778" s="112"/>
      <c r="AA2778" s="112"/>
    </row>
    <row r="2779" spans="3:27" x14ac:dyDescent="0.25">
      <c r="C2779" s="112"/>
      <c r="D2779" s="112"/>
      <c r="E2779" s="113"/>
      <c r="F2779" s="113"/>
      <c r="G2779" s="112"/>
      <c r="H2779" s="112"/>
      <c r="Z2779" s="112"/>
      <c r="AA2779" s="112"/>
    </row>
    <row r="2780" spans="3:27" x14ac:dyDescent="0.25">
      <c r="C2780" s="112"/>
      <c r="D2780" s="112"/>
      <c r="E2780" s="113"/>
      <c r="F2780" s="113"/>
      <c r="G2780" s="112"/>
      <c r="H2780" s="112"/>
      <c r="Z2780" s="112"/>
      <c r="AA2780" s="112"/>
    </row>
    <row r="2781" spans="3:27" x14ac:dyDescent="0.25">
      <c r="C2781" s="112"/>
      <c r="D2781" s="112"/>
      <c r="E2781" s="113"/>
      <c r="F2781" s="113"/>
      <c r="G2781" s="112"/>
      <c r="H2781" s="112"/>
      <c r="Z2781" s="112"/>
      <c r="AA2781" s="112"/>
    </row>
    <row r="2782" spans="3:27" x14ac:dyDescent="0.25">
      <c r="C2782" s="112"/>
      <c r="D2782" s="112"/>
      <c r="E2782" s="113"/>
      <c r="F2782" s="113"/>
      <c r="G2782" s="112"/>
      <c r="H2782" s="112"/>
      <c r="Z2782" s="112"/>
      <c r="AA2782" s="112"/>
    </row>
    <row r="2783" spans="3:27" x14ac:dyDescent="0.25">
      <c r="C2783" s="112"/>
      <c r="D2783" s="112"/>
      <c r="E2783" s="113"/>
      <c r="F2783" s="113"/>
      <c r="G2783" s="112"/>
      <c r="H2783" s="112"/>
      <c r="Z2783" s="112"/>
      <c r="AA2783" s="112"/>
    </row>
    <row r="2784" spans="3:27" x14ac:dyDescent="0.25">
      <c r="C2784" s="112"/>
      <c r="D2784" s="112"/>
      <c r="E2784" s="113"/>
      <c r="F2784" s="113"/>
      <c r="G2784" s="112"/>
      <c r="H2784" s="112"/>
      <c r="Z2784" s="112"/>
      <c r="AA2784" s="112"/>
    </row>
    <row r="2785" spans="3:27" x14ac:dyDescent="0.25">
      <c r="C2785" s="112"/>
      <c r="D2785" s="112"/>
      <c r="E2785" s="113"/>
      <c r="F2785" s="113"/>
      <c r="G2785" s="112"/>
      <c r="H2785" s="112"/>
      <c r="Z2785" s="112"/>
      <c r="AA2785" s="112"/>
    </row>
    <row r="2786" spans="3:27" x14ac:dyDescent="0.25">
      <c r="C2786" s="112"/>
      <c r="D2786" s="112"/>
      <c r="E2786" s="113"/>
      <c r="F2786" s="113"/>
      <c r="G2786" s="112"/>
      <c r="H2786" s="112"/>
      <c r="Z2786" s="112"/>
      <c r="AA2786" s="112"/>
    </row>
    <row r="2787" spans="3:27" x14ac:dyDescent="0.25">
      <c r="C2787" s="112"/>
      <c r="D2787" s="112"/>
      <c r="E2787" s="113"/>
      <c r="F2787" s="113"/>
      <c r="G2787" s="112"/>
      <c r="H2787" s="112"/>
      <c r="Z2787" s="112"/>
      <c r="AA2787" s="112"/>
    </row>
    <row r="2788" spans="3:27" x14ac:dyDescent="0.25">
      <c r="C2788" s="112"/>
      <c r="D2788" s="112"/>
      <c r="E2788" s="113"/>
      <c r="F2788" s="113"/>
      <c r="G2788" s="112"/>
      <c r="H2788" s="112"/>
      <c r="Z2788" s="112"/>
      <c r="AA2788" s="112"/>
    </row>
    <row r="2789" spans="3:27" x14ac:dyDescent="0.25">
      <c r="C2789" s="112"/>
      <c r="D2789" s="112"/>
      <c r="E2789" s="113"/>
      <c r="F2789" s="113"/>
      <c r="G2789" s="112"/>
      <c r="H2789" s="112"/>
      <c r="Z2789" s="112"/>
      <c r="AA2789" s="112"/>
    </row>
    <row r="2790" spans="3:27" x14ac:dyDescent="0.25">
      <c r="C2790" s="112"/>
      <c r="D2790" s="112"/>
      <c r="E2790" s="113"/>
      <c r="F2790" s="113"/>
      <c r="G2790" s="112"/>
      <c r="H2790" s="112"/>
      <c r="Z2790" s="112"/>
      <c r="AA2790" s="112"/>
    </row>
    <row r="2791" spans="3:27" x14ac:dyDescent="0.25">
      <c r="C2791" s="112"/>
      <c r="D2791" s="112"/>
      <c r="E2791" s="113"/>
      <c r="F2791" s="113"/>
      <c r="G2791" s="112"/>
      <c r="H2791" s="112"/>
      <c r="Z2791" s="112"/>
      <c r="AA2791" s="112"/>
    </row>
    <row r="2792" spans="3:27" x14ac:dyDescent="0.25">
      <c r="C2792" s="112"/>
      <c r="D2792" s="112"/>
      <c r="E2792" s="113"/>
      <c r="F2792" s="113"/>
      <c r="G2792" s="112"/>
      <c r="H2792" s="112"/>
      <c r="Z2792" s="112"/>
      <c r="AA2792" s="112"/>
    </row>
    <row r="2793" spans="3:27" x14ac:dyDescent="0.25">
      <c r="C2793" s="112"/>
      <c r="D2793" s="112"/>
      <c r="E2793" s="113"/>
      <c r="F2793" s="113"/>
      <c r="G2793" s="112"/>
      <c r="H2793" s="112"/>
      <c r="Z2793" s="112"/>
      <c r="AA2793" s="112"/>
    </row>
    <row r="2794" spans="3:27" x14ac:dyDescent="0.25">
      <c r="C2794" s="112"/>
      <c r="D2794" s="112"/>
      <c r="E2794" s="113"/>
      <c r="F2794" s="113"/>
      <c r="G2794" s="112"/>
      <c r="H2794" s="112"/>
      <c r="Z2794" s="112"/>
      <c r="AA2794" s="112"/>
    </row>
    <row r="2795" spans="3:27" x14ac:dyDescent="0.25">
      <c r="C2795" s="112"/>
      <c r="D2795" s="112"/>
      <c r="E2795" s="113"/>
      <c r="F2795" s="113"/>
      <c r="G2795" s="112"/>
      <c r="H2795" s="112"/>
      <c r="Z2795" s="112"/>
      <c r="AA2795" s="112"/>
    </row>
    <row r="2796" spans="3:27" x14ac:dyDescent="0.25">
      <c r="C2796" s="112"/>
      <c r="D2796" s="112"/>
      <c r="E2796" s="113"/>
      <c r="F2796" s="113"/>
      <c r="G2796" s="112"/>
      <c r="H2796" s="112"/>
      <c r="Z2796" s="112"/>
      <c r="AA2796" s="112"/>
    </row>
    <row r="2797" spans="3:27" x14ac:dyDescent="0.25">
      <c r="C2797" s="112"/>
      <c r="D2797" s="112"/>
      <c r="E2797" s="113"/>
      <c r="F2797" s="113"/>
      <c r="G2797" s="112"/>
      <c r="H2797" s="112"/>
      <c r="Z2797" s="112"/>
      <c r="AA2797" s="112"/>
    </row>
    <row r="2798" spans="3:27" x14ac:dyDescent="0.25">
      <c r="C2798" s="112"/>
      <c r="D2798" s="112"/>
      <c r="E2798" s="113"/>
      <c r="F2798" s="113"/>
      <c r="G2798" s="112"/>
      <c r="H2798" s="112"/>
      <c r="Z2798" s="112"/>
      <c r="AA2798" s="112"/>
    </row>
    <row r="2799" spans="3:27" x14ac:dyDescent="0.25">
      <c r="C2799" s="112"/>
      <c r="D2799" s="112"/>
      <c r="E2799" s="113"/>
      <c r="F2799" s="113"/>
      <c r="G2799" s="112"/>
      <c r="H2799" s="112"/>
      <c r="Z2799" s="112"/>
      <c r="AA2799" s="112"/>
    </row>
    <row r="2800" spans="3:27" x14ac:dyDescent="0.25">
      <c r="C2800" s="112"/>
      <c r="D2800" s="112"/>
      <c r="E2800" s="113"/>
      <c r="F2800" s="113"/>
      <c r="G2800" s="112"/>
      <c r="H2800" s="112"/>
      <c r="Z2800" s="112"/>
      <c r="AA2800" s="112"/>
    </row>
    <row r="2801" spans="3:27" x14ac:dyDescent="0.25">
      <c r="C2801" s="112"/>
      <c r="D2801" s="112"/>
      <c r="E2801" s="113"/>
      <c r="F2801" s="113"/>
      <c r="G2801" s="112"/>
      <c r="H2801" s="112"/>
      <c r="Z2801" s="112"/>
      <c r="AA2801" s="112"/>
    </row>
    <row r="2802" spans="3:27" x14ac:dyDescent="0.25">
      <c r="C2802" s="112"/>
      <c r="D2802" s="112"/>
      <c r="E2802" s="113"/>
      <c r="F2802" s="113"/>
      <c r="G2802" s="112"/>
      <c r="H2802" s="112"/>
      <c r="Z2802" s="112"/>
      <c r="AA2802" s="112"/>
    </row>
    <row r="2803" spans="3:27" x14ac:dyDescent="0.25">
      <c r="C2803" s="112"/>
      <c r="D2803" s="112"/>
      <c r="E2803" s="113"/>
      <c r="F2803" s="113"/>
      <c r="G2803" s="112"/>
      <c r="H2803" s="112"/>
      <c r="Z2803" s="112"/>
      <c r="AA2803" s="112"/>
    </row>
    <row r="2804" spans="3:27" x14ac:dyDescent="0.25">
      <c r="C2804" s="112"/>
      <c r="D2804" s="112"/>
      <c r="E2804" s="113"/>
      <c r="F2804" s="113"/>
      <c r="G2804" s="112"/>
      <c r="H2804" s="112"/>
      <c r="Z2804" s="112"/>
      <c r="AA2804" s="112"/>
    </row>
    <row r="2805" spans="3:27" x14ac:dyDescent="0.25">
      <c r="C2805" s="112"/>
      <c r="D2805" s="112"/>
      <c r="E2805" s="113"/>
      <c r="F2805" s="113"/>
      <c r="G2805" s="112"/>
      <c r="H2805" s="112"/>
      <c r="Z2805" s="112"/>
      <c r="AA2805" s="112"/>
    </row>
    <row r="2806" spans="3:27" x14ac:dyDescent="0.25">
      <c r="C2806" s="112"/>
      <c r="D2806" s="112"/>
      <c r="E2806" s="113"/>
      <c r="F2806" s="113"/>
      <c r="G2806" s="112"/>
      <c r="H2806" s="112"/>
      <c r="Z2806" s="112"/>
      <c r="AA2806" s="112"/>
    </row>
    <row r="2807" spans="3:27" x14ac:dyDescent="0.25">
      <c r="C2807" s="112"/>
      <c r="D2807" s="112"/>
      <c r="E2807" s="113"/>
      <c r="F2807" s="113"/>
      <c r="G2807" s="112"/>
      <c r="H2807" s="112"/>
      <c r="Z2807" s="112"/>
      <c r="AA2807" s="112"/>
    </row>
    <row r="2808" spans="3:27" x14ac:dyDescent="0.25">
      <c r="C2808" s="112"/>
      <c r="D2808" s="112"/>
      <c r="E2808" s="113"/>
      <c r="F2808" s="113"/>
      <c r="G2808" s="112"/>
      <c r="H2808" s="112"/>
      <c r="Z2808" s="112"/>
      <c r="AA2808" s="112"/>
    </row>
    <row r="2809" spans="3:27" x14ac:dyDescent="0.25">
      <c r="C2809" s="112"/>
      <c r="D2809" s="112"/>
      <c r="E2809" s="113"/>
      <c r="F2809" s="113"/>
      <c r="G2809" s="112"/>
      <c r="H2809" s="112"/>
      <c r="Z2809" s="112"/>
      <c r="AA2809" s="112"/>
    </row>
    <row r="2810" spans="3:27" x14ac:dyDescent="0.25">
      <c r="C2810" s="112"/>
      <c r="D2810" s="112"/>
      <c r="E2810" s="113"/>
      <c r="F2810" s="113"/>
      <c r="G2810" s="112"/>
      <c r="H2810" s="112"/>
      <c r="Z2810" s="112"/>
      <c r="AA2810" s="112"/>
    </row>
    <row r="2811" spans="3:27" x14ac:dyDescent="0.25">
      <c r="C2811" s="112"/>
      <c r="D2811" s="112"/>
      <c r="E2811" s="113"/>
      <c r="F2811" s="113"/>
      <c r="G2811" s="112"/>
      <c r="H2811" s="112"/>
      <c r="Z2811" s="112"/>
      <c r="AA2811" s="112"/>
    </row>
    <row r="2812" spans="3:27" x14ac:dyDescent="0.25">
      <c r="C2812" s="112"/>
      <c r="D2812" s="112"/>
      <c r="E2812" s="113"/>
      <c r="F2812" s="113"/>
      <c r="G2812" s="112"/>
      <c r="H2812" s="112"/>
      <c r="Z2812" s="112"/>
      <c r="AA2812" s="112"/>
    </row>
    <row r="2813" spans="3:27" x14ac:dyDescent="0.25">
      <c r="C2813" s="112"/>
      <c r="D2813" s="112"/>
      <c r="E2813" s="113"/>
      <c r="F2813" s="113"/>
      <c r="G2813" s="112"/>
      <c r="H2813" s="112"/>
      <c r="Z2813" s="112"/>
      <c r="AA2813" s="112"/>
    </row>
    <row r="2814" spans="3:27" x14ac:dyDescent="0.25">
      <c r="C2814" s="112"/>
      <c r="D2814" s="112"/>
      <c r="E2814" s="113"/>
      <c r="F2814" s="113"/>
      <c r="G2814" s="112"/>
      <c r="H2814" s="112"/>
      <c r="Z2814" s="112"/>
      <c r="AA2814" s="112"/>
    </row>
    <row r="2815" spans="3:27" x14ac:dyDescent="0.25">
      <c r="C2815" s="112"/>
      <c r="D2815" s="112"/>
      <c r="E2815" s="113"/>
      <c r="F2815" s="113"/>
      <c r="G2815" s="112"/>
      <c r="H2815" s="112"/>
      <c r="Z2815" s="112"/>
      <c r="AA2815" s="112"/>
    </row>
    <row r="2816" spans="3:27" x14ac:dyDescent="0.25">
      <c r="C2816" s="112"/>
      <c r="D2816" s="112"/>
      <c r="E2816" s="113"/>
      <c r="F2816" s="113"/>
      <c r="G2816" s="112"/>
      <c r="H2816" s="112"/>
      <c r="Z2816" s="112"/>
      <c r="AA2816" s="112"/>
    </row>
    <row r="2817" spans="3:27" x14ac:dyDescent="0.25">
      <c r="C2817" s="112"/>
      <c r="D2817" s="112"/>
      <c r="E2817" s="113"/>
      <c r="F2817" s="113"/>
      <c r="G2817" s="112"/>
      <c r="H2817" s="112"/>
      <c r="Z2817" s="112"/>
      <c r="AA2817" s="112"/>
    </row>
    <row r="2818" spans="3:27" x14ac:dyDescent="0.25">
      <c r="C2818" s="112"/>
      <c r="D2818" s="112"/>
      <c r="E2818" s="113"/>
      <c r="F2818" s="113"/>
      <c r="G2818" s="112"/>
      <c r="H2818" s="112"/>
      <c r="Z2818" s="112"/>
      <c r="AA2818" s="112"/>
    </row>
    <row r="2819" spans="3:27" x14ac:dyDescent="0.25">
      <c r="C2819" s="112"/>
      <c r="D2819" s="112"/>
      <c r="E2819" s="113"/>
      <c r="F2819" s="113"/>
      <c r="G2819" s="112"/>
      <c r="H2819" s="112"/>
      <c r="Z2819" s="112"/>
      <c r="AA2819" s="112"/>
    </row>
    <row r="2820" spans="3:27" x14ac:dyDescent="0.25">
      <c r="C2820" s="112"/>
      <c r="D2820" s="112"/>
      <c r="E2820" s="113"/>
      <c r="F2820" s="113"/>
      <c r="G2820" s="112"/>
      <c r="H2820" s="112"/>
      <c r="Z2820" s="112"/>
      <c r="AA2820" s="112"/>
    </row>
    <row r="2821" spans="3:27" x14ac:dyDescent="0.25">
      <c r="C2821" s="112"/>
      <c r="D2821" s="112"/>
      <c r="E2821" s="113"/>
      <c r="F2821" s="113"/>
      <c r="G2821" s="112"/>
      <c r="H2821" s="112"/>
      <c r="Z2821" s="112"/>
      <c r="AA2821" s="112"/>
    </row>
    <row r="2822" spans="3:27" x14ac:dyDescent="0.25">
      <c r="C2822" s="112"/>
      <c r="D2822" s="112"/>
      <c r="E2822" s="113"/>
      <c r="F2822" s="113"/>
      <c r="G2822" s="112"/>
      <c r="H2822" s="112"/>
      <c r="Z2822" s="112"/>
      <c r="AA2822" s="112"/>
    </row>
    <row r="2823" spans="3:27" x14ac:dyDescent="0.25">
      <c r="C2823" s="112"/>
      <c r="D2823" s="112"/>
      <c r="E2823" s="113"/>
      <c r="F2823" s="113"/>
      <c r="G2823" s="112"/>
      <c r="H2823" s="112"/>
      <c r="Z2823" s="112"/>
      <c r="AA2823" s="112"/>
    </row>
    <row r="2824" spans="3:27" x14ac:dyDescent="0.25">
      <c r="C2824" s="112"/>
      <c r="D2824" s="112"/>
      <c r="E2824" s="113"/>
      <c r="F2824" s="113"/>
      <c r="G2824" s="112"/>
      <c r="H2824" s="112"/>
      <c r="Z2824" s="112"/>
      <c r="AA2824" s="112"/>
    </row>
    <row r="2825" spans="3:27" x14ac:dyDescent="0.25">
      <c r="C2825" s="112"/>
      <c r="D2825" s="112"/>
      <c r="E2825" s="113"/>
      <c r="F2825" s="113"/>
      <c r="G2825" s="112"/>
      <c r="H2825" s="112"/>
      <c r="Z2825" s="112"/>
      <c r="AA2825" s="112"/>
    </row>
    <row r="2826" spans="3:27" x14ac:dyDescent="0.25">
      <c r="C2826" s="112"/>
      <c r="D2826" s="112"/>
      <c r="E2826" s="113"/>
      <c r="F2826" s="113"/>
      <c r="G2826" s="112"/>
      <c r="H2826" s="112"/>
      <c r="Z2826" s="112"/>
      <c r="AA2826" s="112"/>
    </row>
    <row r="2827" spans="3:27" x14ac:dyDescent="0.25">
      <c r="C2827" s="112"/>
      <c r="D2827" s="112"/>
      <c r="E2827" s="113"/>
      <c r="F2827" s="113"/>
      <c r="G2827" s="112"/>
      <c r="H2827" s="112"/>
      <c r="Z2827" s="112"/>
      <c r="AA2827" s="112"/>
    </row>
    <row r="2828" spans="3:27" x14ac:dyDescent="0.25">
      <c r="C2828" s="112"/>
      <c r="D2828" s="112"/>
      <c r="E2828" s="113"/>
      <c r="F2828" s="113"/>
      <c r="G2828" s="112"/>
      <c r="H2828" s="112"/>
      <c r="Z2828" s="112"/>
      <c r="AA2828" s="112"/>
    </row>
    <row r="2829" spans="3:27" x14ac:dyDescent="0.25">
      <c r="C2829" s="112"/>
      <c r="D2829" s="112"/>
      <c r="E2829" s="113"/>
      <c r="F2829" s="113"/>
      <c r="G2829" s="112"/>
      <c r="H2829" s="112"/>
      <c r="Z2829" s="112"/>
      <c r="AA2829" s="112"/>
    </row>
    <row r="2830" spans="3:27" x14ac:dyDescent="0.25">
      <c r="C2830" s="112"/>
      <c r="D2830" s="112"/>
      <c r="E2830" s="113"/>
      <c r="F2830" s="113"/>
      <c r="G2830" s="112"/>
      <c r="H2830" s="112"/>
      <c r="Z2830" s="112"/>
      <c r="AA2830" s="112"/>
    </row>
    <row r="2831" spans="3:27" x14ac:dyDescent="0.25">
      <c r="C2831" s="112"/>
      <c r="D2831" s="112"/>
      <c r="E2831" s="113"/>
      <c r="F2831" s="113"/>
      <c r="G2831" s="112"/>
      <c r="H2831" s="112"/>
      <c r="Z2831" s="112"/>
      <c r="AA2831" s="112"/>
    </row>
    <row r="2832" spans="3:27" x14ac:dyDescent="0.25">
      <c r="C2832" s="112"/>
      <c r="D2832" s="112"/>
      <c r="E2832" s="113"/>
      <c r="F2832" s="113"/>
      <c r="G2832" s="112"/>
      <c r="H2832" s="112"/>
      <c r="Z2832" s="112"/>
      <c r="AA2832" s="112"/>
    </row>
    <row r="2833" spans="3:27" x14ac:dyDescent="0.25">
      <c r="C2833" s="112"/>
      <c r="D2833" s="112"/>
      <c r="E2833" s="113"/>
      <c r="F2833" s="113"/>
      <c r="G2833" s="112"/>
      <c r="H2833" s="112"/>
      <c r="Z2833" s="112"/>
      <c r="AA2833" s="112"/>
    </row>
    <row r="2834" spans="3:27" x14ac:dyDescent="0.25">
      <c r="C2834" s="112"/>
      <c r="D2834" s="112"/>
      <c r="E2834" s="113"/>
      <c r="F2834" s="113"/>
      <c r="G2834" s="112"/>
      <c r="H2834" s="112"/>
      <c r="Z2834" s="112"/>
      <c r="AA2834" s="112"/>
    </row>
    <row r="2835" spans="3:27" x14ac:dyDescent="0.25">
      <c r="C2835" s="112"/>
      <c r="D2835" s="112"/>
      <c r="E2835" s="113"/>
      <c r="F2835" s="113"/>
      <c r="G2835" s="112"/>
      <c r="H2835" s="112"/>
      <c r="Z2835" s="112"/>
      <c r="AA2835" s="112"/>
    </row>
    <row r="2836" spans="3:27" x14ac:dyDescent="0.25">
      <c r="C2836" s="112"/>
      <c r="D2836" s="112"/>
      <c r="E2836" s="113"/>
      <c r="F2836" s="113"/>
      <c r="G2836" s="112"/>
      <c r="H2836" s="112"/>
      <c r="Z2836" s="112"/>
      <c r="AA2836" s="112"/>
    </row>
    <row r="2837" spans="3:27" x14ac:dyDescent="0.25">
      <c r="C2837" s="112"/>
      <c r="D2837" s="112"/>
      <c r="E2837" s="113"/>
      <c r="F2837" s="113"/>
      <c r="G2837" s="112"/>
      <c r="H2837" s="112"/>
      <c r="Z2837" s="112"/>
      <c r="AA2837" s="112"/>
    </row>
    <row r="2838" spans="3:27" x14ac:dyDescent="0.25">
      <c r="C2838" s="112"/>
      <c r="D2838" s="112"/>
      <c r="E2838" s="113"/>
      <c r="F2838" s="113"/>
      <c r="G2838" s="112"/>
      <c r="H2838" s="112"/>
      <c r="Z2838" s="112"/>
      <c r="AA2838" s="112"/>
    </row>
    <row r="2839" spans="3:27" x14ac:dyDescent="0.25">
      <c r="C2839" s="112"/>
      <c r="D2839" s="112"/>
      <c r="E2839" s="113"/>
      <c r="F2839" s="113"/>
      <c r="G2839" s="112"/>
      <c r="H2839" s="112"/>
      <c r="Z2839" s="112"/>
      <c r="AA2839" s="112"/>
    </row>
    <row r="2840" spans="3:27" x14ac:dyDescent="0.25">
      <c r="C2840" s="112"/>
      <c r="D2840" s="112"/>
      <c r="E2840" s="113"/>
      <c r="F2840" s="113"/>
      <c r="G2840" s="112"/>
      <c r="H2840" s="112"/>
      <c r="Z2840" s="112"/>
      <c r="AA2840" s="112"/>
    </row>
    <row r="2841" spans="3:27" x14ac:dyDescent="0.25">
      <c r="C2841" s="112"/>
      <c r="D2841" s="112"/>
      <c r="E2841" s="113"/>
      <c r="F2841" s="113"/>
      <c r="G2841" s="112"/>
      <c r="H2841" s="112"/>
      <c r="Z2841" s="112"/>
      <c r="AA2841" s="112"/>
    </row>
    <row r="2842" spans="3:27" x14ac:dyDescent="0.25">
      <c r="C2842" s="112"/>
      <c r="D2842" s="112"/>
      <c r="E2842" s="113"/>
      <c r="F2842" s="113"/>
      <c r="G2842" s="112"/>
      <c r="H2842" s="112"/>
      <c r="Z2842" s="112"/>
      <c r="AA2842" s="112"/>
    </row>
    <row r="2843" spans="3:27" x14ac:dyDescent="0.25">
      <c r="C2843" s="112"/>
      <c r="D2843" s="112"/>
      <c r="E2843" s="113"/>
      <c r="F2843" s="113"/>
      <c r="G2843" s="112"/>
      <c r="H2843" s="112"/>
      <c r="Z2843" s="112"/>
      <c r="AA2843" s="112"/>
    </row>
    <row r="2844" spans="3:27" x14ac:dyDescent="0.25">
      <c r="C2844" s="112"/>
      <c r="D2844" s="112"/>
      <c r="E2844" s="113"/>
      <c r="F2844" s="113"/>
      <c r="G2844" s="112"/>
      <c r="H2844" s="112"/>
      <c r="Z2844" s="112"/>
      <c r="AA2844" s="112"/>
    </row>
    <row r="2845" spans="3:27" x14ac:dyDescent="0.25">
      <c r="C2845" s="112"/>
      <c r="D2845" s="112"/>
      <c r="E2845" s="113"/>
      <c r="F2845" s="113"/>
      <c r="G2845" s="112"/>
      <c r="H2845" s="112"/>
      <c r="Z2845" s="112"/>
      <c r="AA2845" s="112"/>
    </row>
    <row r="2846" spans="3:27" x14ac:dyDescent="0.25">
      <c r="C2846" s="112"/>
      <c r="D2846" s="112"/>
      <c r="E2846" s="113"/>
      <c r="F2846" s="113"/>
      <c r="G2846" s="112"/>
      <c r="H2846" s="112"/>
      <c r="Z2846" s="112"/>
      <c r="AA2846" s="112"/>
    </row>
    <row r="2847" spans="3:27" x14ac:dyDescent="0.25">
      <c r="C2847" s="112"/>
      <c r="D2847" s="112"/>
      <c r="E2847" s="113"/>
      <c r="F2847" s="113"/>
      <c r="G2847" s="112"/>
      <c r="H2847" s="112"/>
      <c r="Z2847" s="112"/>
      <c r="AA2847" s="112"/>
    </row>
    <row r="2848" spans="3:27" x14ac:dyDescent="0.25">
      <c r="C2848" s="112"/>
      <c r="D2848" s="112"/>
      <c r="E2848" s="113"/>
      <c r="F2848" s="113"/>
      <c r="G2848" s="112"/>
      <c r="H2848" s="112"/>
      <c r="Z2848" s="112"/>
      <c r="AA2848" s="112"/>
    </row>
    <row r="2849" spans="3:27" x14ac:dyDescent="0.25">
      <c r="C2849" s="112"/>
      <c r="D2849" s="112"/>
      <c r="E2849" s="113"/>
      <c r="F2849" s="113"/>
      <c r="G2849" s="112"/>
      <c r="H2849" s="112"/>
      <c r="Z2849" s="112"/>
      <c r="AA2849" s="112"/>
    </row>
    <row r="2850" spans="3:27" x14ac:dyDescent="0.25">
      <c r="C2850" s="112"/>
      <c r="D2850" s="112"/>
      <c r="E2850" s="113"/>
      <c r="F2850" s="113"/>
      <c r="G2850" s="112"/>
      <c r="H2850" s="112"/>
      <c r="Z2850" s="112"/>
      <c r="AA2850" s="112"/>
    </row>
    <row r="2851" spans="3:27" x14ac:dyDescent="0.25">
      <c r="C2851" s="112"/>
      <c r="D2851" s="112"/>
      <c r="E2851" s="113"/>
      <c r="F2851" s="113"/>
      <c r="G2851" s="112"/>
      <c r="H2851" s="112"/>
      <c r="Z2851" s="112"/>
      <c r="AA2851" s="112"/>
    </row>
    <row r="2852" spans="3:27" x14ac:dyDescent="0.25">
      <c r="C2852" s="112"/>
      <c r="D2852" s="112"/>
      <c r="E2852" s="113"/>
      <c r="F2852" s="113"/>
      <c r="G2852" s="112"/>
      <c r="H2852" s="112"/>
      <c r="Z2852" s="112"/>
      <c r="AA2852" s="112"/>
    </row>
    <row r="2853" spans="3:27" x14ac:dyDescent="0.25">
      <c r="C2853" s="112"/>
      <c r="D2853" s="112"/>
      <c r="E2853" s="113"/>
      <c r="F2853" s="113"/>
      <c r="G2853" s="112"/>
      <c r="H2853" s="112"/>
      <c r="Z2853" s="112"/>
      <c r="AA2853" s="112"/>
    </row>
    <row r="2854" spans="3:27" x14ac:dyDescent="0.25">
      <c r="C2854" s="112"/>
      <c r="D2854" s="112"/>
      <c r="E2854" s="113"/>
      <c r="F2854" s="113"/>
      <c r="G2854" s="112"/>
      <c r="H2854" s="112"/>
      <c r="Z2854" s="112"/>
      <c r="AA2854" s="112"/>
    </row>
    <row r="2855" spans="3:27" x14ac:dyDescent="0.25">
      <c r="C2855" s="112"/>
      <c r="D2855" s="112"/>
      <c r="E2855" s="113"/>
      <c r="F2855" s="113"/>
      <c r="G2855" s="112"/>
      <c r="H2855" s="112"/>
      <c r="Z2855" s="112"/>
      <c r="AA2855" s="112"/>
    </row>
    <row r="2856" spans="3:27" x14ac:dyDescent="0.25">
      <c r="C2856" s="112"/>
      <c r="D2856" s="112"/>
      <c r="E2856" s="113"/>
      <c r="F2856" s="113"/>
      <c r="G2856" s="112"/>
      <c r="H2856" s="112"/>
      <c r="Z2856" s="112"/>
      <c r="AA2856" s="112"/>
    </row>
    <row r="2857" spans="3:27" x14ac:dyDescent="0.25">
      <c r="C2857" s="112"/>
      <c r="D2857" s="112"/>
      <c r="E2857" s="113"/>
      <c r="F2857" s="113"/>
      <c r="G2857" s="112"/>
      <c r="H2857" s="112"/>
      <c r="Z2857" s="112"/>
      <c r="AA2857" s="112"/>
    </row>
    <row r="2858" spans="3:27" x14ac:dyDescent="0.25">
      <c r="C2858" s="112"/>
      <c r="D2858" s="112"/>
      <c r="E2858" s="113"/>
      <c r="F2858" s="113"/>
      <c r="G2858" s="112"/>
      <c r="H2858" s="112"/>
      <c r="Z2858" s="112"/>
      <c r="AA2858" s="112"/>
    </row>
    <row r="2859" spans="3:27" x14ac:dyDescent="0.25">
      <c r="C2859" s="112"/>
      <c r="D2859" s="112"/>
      <c r="E2859" s="113"/>
      <c r="F2859" s="113"/>
      <c r="G2859" s="112"/>
      <c r="H2859" s="112"/>
      <c r="Z2859" s="112"/>
      <c r="AA2859" s="112"/>
    </row>
    <row r="2860" spans="3:27" x14ac:dyDescent="0.25">
      <c r="C2860" s="112"/>
      <c r="D2860" s="112"/>
      <c r="E2860" s="113"/>
      <c r="F2860" s="113"/>
      <c r="G2860" s="112"/>
      <c r="H2860" s="112"/>
      <c r="Z2860" s="112"/>
      <c r="AA2860" s="112"/>
    </row>
    <row r="2861" spans="3:27" x14ac:dyDescent="0.25">
      <c r="C2861" s="112"/>
      <c r="D2861" s="112"/>
      <c r="E2861" s="113"/>
      <c r="F2861" s="113"/>
      <c r="G2861" s="112"/>
      <c r="H2861" s="112"/>
      <c r="Z2861" s="112"/>
      <c r="AA2861" s="112"/>
    </row>
    <row r="2862" spans="3:27" x14ac:dyDescent="0.25">
      <c r="C2862" s="112"/>
      <c r="D2862" s="112"/>
      <c r="E2862" s="113"/>
      <c r="F2862" s="113"/>
      <c r="G2862" s="112"/>
      <c r="H2862" s="112"/>
      <c r="Z2862" s="112"/>
      <c r="AA2862" s="112"/>
    </row>
    <row r="2863" spans="3:27" x14ac:dyDescent="0.25">
      <c r="C2863" s="112"/>
      <c r="D2863" s="112"/>
      <c r="E2863" s="113"/>
      <c r="F2863" s="113"/>
      <c r="G2863" s="112"/>
      <c r="H2863" s="112"/>
      <c r="Z2863" s="112"/>
      <c r="AA2863" s="112"/>
    </row>
    <row r="2864" spans="3:27" x14ac:dyDescent="0.25">
      <c r="C2864" s="112"/>
      <c r="D2864" s="112"/>
      <c r="E2864" s="113"/>
      <c r="F2864" s="113"/>
      <c r="G2864" s="112"/>
      <c r="H2864" s="112"/>
      <c r="Z2864" s="112"/>
      <c r="AA2864" s="112"/>
    </row>
    <row r="2865" spans="3:27" x14ac:dyDescent="0.25">
      <c r="C2865" s="112"/>
      <c r="D2865" s="112"/>
      <c r="E2865" s="113"/>
      <c r="F2865" s="113"/>
      <c r="G2865" s="112"/>
      <c r="H2865" s="112"/>
      <c r="Z2865" s="112"/>
      <c r="AA2865" s="112"/>
    </row>
    <row r="2866" spans="3:27" x14ac:dyDescent="0.25">
      <c r="C2866" s="112"/>
      <c r="D2866" s="112"/>
      <c r="E2866" s="113"/>
      <c r="F2866" s="113"/>
      <c r="G2866" s="112"/>
      <c r="H2866" s="112"/>
      <c r="Z2866" s="112"/>
      <c r="AA2866" s="112"/>
    </row>
    <row r="2867" spans="3:27" x14ac:dyDescent="0.25">
      <c r="C2867" s="112"/>
      <c r="D2867" s="112"/>
      <c r="E2867" s="113"/>
      <c r="F2867" s="113"/>
      <c r="G2867" s="112"/>
      <c r="H2867" s="112"/>
      <c r="Z2867" s="112"/>
      <c r="AA2867" s="112"/>
    </row>
    <row r="2868" spans="3:27" x14ac:dyDescent="0.25">
      <c r="C2868" s="112"/>
      <c r="D2868" s="112"/>
      <c r="E2868" s="113"/>
      <c r="F2868" s="113"/>
      <c r="G2868" s="112"/>
      <c r="H2868" s="112"/>
      <c r="Z2868" s="112"/>
      <c r="AA2868" s="112"/>
    </row>
    <row r="2869" spans="3:27" x14ac:dyDescent="0.25">
      <c r="C2869" s="112"/>
      <c r="D2869" s="112"/>
      <c r="E2869" s="113"/>
      <c r="F2869" s="113"/>
      <c r="G2869" s="112"/>
      <c r="H2869" s="112"/>
      <c r="Z2869" s="112"/>
      <c r="AA2869" s="112"/>
    </row>
    <row r="2870" spans="3:27" x14ac:dyDescent="0.25">
      <c r="C2870" s="112"/>
      <c r="D2870" s="112"/>
      <c r="E2870" s="113"/>
      <c r="F2870" s="113"/>
      <c r="G2870" s="112"/>
      <c r="H2870" s="112"/>
      <c r="Z2870" s="112"/>
      <c r="AA2870" s="112"/>
    </row>
    <row r="2871" spans="3:27" x14ac:dyDescent="0.25">
      <c r="C2871" s="112"/>
      <c r="D2871" s="112"/>
      <c r="E2871" s="113"/>
      <c r="F2871" s="113"/>
      <c r="G2871" s="112"/>
      <c r="H2871" s="112"/>
      <c r="Z2871" s="112"/>
      <c r="AA2871" s="112"/>
    </row>
    <row r="2872" spans="3:27" x14ac:dyDescent="0.25">
      <c r="C2872" s="112"/>
      <c r="D2872" s="112"/>
      <c r="E2872" s="113"/>
      <c r="F2872" s="113"/>
      <c r="G2872" s="112"/>
      <c r="H2872" s="112"/>
      <c r="Z2872" s="112"/>
      <c r="AA2872" s="112"/>
    </row>
    <row r="2873" spans="3:27" x14ac:dyDescent="0.25">
      <c r="C2873" s="112"/>
      <c r="D2873" s="112"/>
      <c r="E2873" s="113"/>
      <c r="F2873" s="113"/>
      <c r="G2873" s="112"/>
      <c r="H2873" s="112"/>
      <c r="Z2873" s="112"/>
      <c r="AA2873" s="112"/>
    </row>
    <row r="2874" spans="3:27" x14ac:dyDescent="0.25">
      <c r="C2874" s="112"/>
      <c r="D2874" s="112"/>
      <c r="E2874" s="113"/>
      <c r="F2874" s="113"/>
      <c r="G2874" s="112"/>
      <c r="H2874" s="112"/>
      <c r="Z2874" s="112"/>
      <c r="AA2874" s="112"/>
    </row>
    <row r="2875" spans="3:27" x14ac:dyDescent="0.25">
      <c r="C2875" s="112"/>
      <c r="D2875" s="112"/>
      <c r="E2875" s="113"/>
      <c r="F2875" s="113"/>
      <c r="G2875" s="112"/>
      <c r="H2875" s="112"/>
      <c r="Z2875" s="112"/>
      <c r="AA2875" s="112"/>
    </row>
    <row r="2876" spans="3:27" x14ac:dyDescent="0.25">
      <c r="C2876" s="112"/>
      <c r="D2876" s="112"/>
      <c r="E2876" s="113"/>
      <c r="F2876" s="113"/>
      <c r="G2876" s="112"/>
      <c r="H2876" s="112"/>
      <c r="Z2876" s="112"/>
      <c r="AA2876" s="112"/>
    </row>
    <row r="2877" spans="3:27" x14ac:dyDescent="0.25">
      <c r="C2877" s="112"/>
      <c r="D2877" s="112"/>
      <c r="E2877" s="113"/>
      <c r="F2877" s="113"/>
      <c r="G2877" s="112"/>
      <c r="H2877" s="112"/>
      <c r="Z2877" s="112"/>
      <c r="AA2877" s="112"/>
    </row>
    <row r="2878" spans="3:27" x14ac:dyDescent="0.25">
      <c r="C2878" s="112"/>
      <c r="D2878" s="112"/>
      <c r="E2878" s="113"/>
      <c r="F2878" s="113"/>
      <c r="G2878" s="112"/>
      <c r="H2878" s="112"/>
      <c r="Z2878" s="112"/>
      <c r="AA2878" s="112"/>
    </row>
    <row r="2879" spans="3:27" x14ac:dyDescent="0.25">
      <c r="C2879" s="112"/>
      <c r="D2879" s="112"/>
      <c r="E2879" s="113"/>
      <c r="F2879" s="113"/>
      <c r="G2879" s="112"/>
      <c r="H2879" s="112"/>
      <c r="Z2879" s="112"/>
      <c r="AA2879" s="112"/>
    </row>
    <row r="2880" spans="3:27" x14ac:dyDescent="0.25">
      <c r="C2880" s="112"/>
      <c r="D2880" s="112"/>
      <c r="E2880" s="113"/>
      <c r="F2880" s="113"/>
      <c r="G2880" s="112"/>
      <c r="H2880" s="112"/>
      <c r="Z2880" s="112"/>
      <c r="AA2880" s="112"/>
    </row>
    <row r="2881" spans="3:27" x14ac:dyDescent="0.25">
      <c r="C2881" s="112"/>
      <c r="D2881" s="112"/>
      <c r="E2881" s="113"/>
      <c r="F2881" s="113"/>
      <c r="G2881" s="112"/>
      <c r="H2881" s="112"/>
      <c r="Z2881" s="112"/>
      <c r="AA2881" s="112"/>
    </row>
    <row r="2882" spans="3:27" x14ac:dyDescent="0.25">
      <c r="C2882" s="112"/>
      <c r="D2882" s="112"/>
      <c r="E2882" s="113"/>
      <c r="F2882" s="113"/>
      <c r="G2882" s="112"/>
      <c r="H2882" s="112"/>
      <c r="Z2882" s="112"/>
      <c r="AA2882" s="112"/>
    </row>
    <row r="2883" spans="3:27" x14ac:dyDescent="0.25">
      <c r="C2883" s="112"/>
      <c r="D2883" s="112"/>
      <c r="E2883" s="113"/>
      <c r="F2883" s="113"/>
      <c r="G2883" s="112"/>
      <c r="H2883" s="112"/>
      <c r="Z2883" s="112"/>
      <c r="AA2883" s="112"/>
    </row>
    <row r="2884" spans="3:27" x14ac:dyDescent="0.25">
      <c r="C2884" s="112"/>
      <c r="D2884" s="112"/>
      <c r="E2884" s="113"/>
      <c r="F2884" s="113"/>
      <c r="G2884" s="112"/>
      <c r="H2884" s="112"/>
      <c r="Z2884" s="112"/>
      <c r="AA2884" s="112"/>
    </row>
    <row r="2885" spans="3:27" x14ac:dyDescent="0.25">
      <c r="C2885" s="112"/>
      <c r="D2885" s="112"/>
      <c r="E2885" s="113"/>
      <c r="F2885" s="113"/>
      <c r="G2885" s="112"/>
      <c r="H2885" s="112"/>
      <c r="Z2885" s="112"/>
      <c r="AA2885" s="112"/>
    </row>
    <row r="2886" spans="3:27" x14ac:dyDescent="0.25">
      <c r="C2886" s="112"/>
      <c r="D2886" s="112"/>
      <c r="E2886" s="113"/>
      <c r="F2886" s="113"/>
      <c r="G2886" s="112"/>
      <c r="H2886" s="112"/>
      <c r="Z2886" s="112"/>
      <c r="AA2886" s="112"/>
    </row>
    <row r="2887" spans="3:27" x14ac:dyDescent="0.25">
      <c r="C2887" s="112"/>
      <c r="D2887" s="112"/>
      <c r="E2887" s="113"/>
      <c r="F2887" s="113"/>
      <c r="G2887" s="112"/>
      <c r="H2887" s="112"/>
      <c r="Z2887" s="112"/>
      <c r="AA2887" s="112"/>
    </row>
    <row r="2888" spans="3:27" x14ac:dyDescent="0.25">
      <c r="C2888" s="112"/>
      <c r="D2888" s="112"/>
      <c r="E2888" s="113"/>
      <c r="F2888" s="113"/>
      <c r="G2888" s="112"/>
      <c r="H2888" s="112"/>
      <c r="Z2888" s="112"/>
      <c r="AA2888" s="112"/>
    </row>
    <row r="2889" spans="3:27" x14ac:dyDescent="0.25">
      <c r="C2889" s="112"/>
      <c r="D2889" s="112"/>
      <c r="E2889" s="113"/>
      <c r="F2889" s="113"/>
      <c r="G2889" s="112"/>
      <c r="H2889" s="112"/>
      <c r="Z2889" s="112"/>
      <c r="AA2889" s="112"/>
    </row>
    <row r="2890" spans="3:27" x14ac:dyDescent="0.25">
      <c r="C2890" s="112"/>
      <c r="D2890" s="112"/>
      <c r="E2890" s="113"/>
      <c r="F2890" s="113"/>
      <c r="G2890" s="112"/>
      <c r="H2890" s="112"/>
      <c r="Z2890" s="112"/>
      <c r="AA2890" s="112"/>
    </row>
    <row r="2891" spans="3:27" x14ac:dyDescent="0.25">
      <c r="C2891" s="112"/>
      <c r="D2891" s="112"/>
      <c r="E2891" s="113"/>
      <c r="F2891" s="113"/>
      <c r="G2891" s="112"/>
      <c r="H2891" s="112"/>
      <c r="Z2891" s="112"/>
      <c r="AA2891" s="112"/>
    </row>
    <row r="2892" spans="3:27" x14ac:dyDescent="0.25">
      <c r="C2892" s="112"/>
      <c r="D2892" s="112"/>
      <c r="E2892" s="113"/>
      <c r="F2892" s="113"/>
      <c r="G2892" s="112"/>
      <c r="H2892" s="112"/>
      <c r="Z2892" s="112"/>
      <c r="AA2892" s="112"/>
    </row>
    <row r="2893" spans="3:27" x14ac:dyDescent="0.25">
      <c r="C2893" s="112"/>
      <c r="D2893" s="112"/>
      <c r="E2893" s="113"/>
      <c r="F2893" s="113"/>
      <c r="G2893" s="112"/>
      <c r="H2893" s="112"/>
      <c r="Z2893" s="112"/>
      <c r="AA2893" s="112"/>
    </row>
    <row r="2894" spans="3:27" x14ac:dyDescent="0.25">
      <c r="C2894" s="112"/>
      <c r="D2894" s="112"/>
      <c r="E2894" s="113"/>
      <c r="F2894" s="113"/>
      <c r="G2894" s="112"/>
      <c r="H2894" s="112"/>
      <c r="Z2894" s="112"/>
      <c r="AA2894" s="112"/>
    </row>
    <row r="2895" spans="3:27" x14ac:dyDescent="0.25">
      <c r="C2895" s="112"/>
      <c r="D2895" s="112"/>
      <c r="E2895" s="113"/>
      <c r="F2895" s="113"/>
      <c r="G2895" s="112"/>
      <c r="H2895" s="112"/>
      <c r="Z2895" s="112"/>
      <c r="AA2895" s="112"/>
    </row>
    <row r="2896" spans="3:27" x14ac:dyDescent="0.25">
      <c r="C2896" s="112"/>
      <c r="D2896" s="112"/>
      <c r="E2896" s="113"/>
      <c r="F2896" s="113"/>
      <c r="G2896" s="112"/>
      <c r="H2896" s="112"/>
      <c r="Z2896" s="112"/>
      <c r="AA2896" s="112"/>
    </row>
    <row r="2897" spans="3:27" x14ac:dyDescent="0.25">
      <c r="C2897" s="112"/>
      <c r="D2897" s="112"/>
      <c r="E2897" s="113"/>
      <c r="F2897" s="113"/>
      <c r="G2897" s="112"/>
      <c r="H2897" s="112"/>
      <c r="Z2897" s="112"/>
      <c r="AA2897" s="112"/>
    </row>
    <row r="2898" spans="3:27" x14ac:dyDescent="0.25">
      <c r="C2898" s="112"/>
      <c r="D2898" s="112"/>
      <c r="E2898" s="113"/>
      <c r="F2898" s="113"/>
      <c r="G2898" s="112"/>
      <c r="H2898" s="112"/>
      <c r="Z2898" s="112"/>
      <c r="AA2898" s="112"/>
    </row>
    <row r="2899" spans="3:27" x14ac:dyDescent="0.25">
      <c r="C2899" s="112"/>
      <c r="D2899" s="112"/>
      <c r="E2899" s="113"/>
      <c r="F2899" s="113"/>
      <c r="G2899" s="112"/>
      <c r="H2899" s="112"/>
      <c r="Z2899" s="112"/>
      <c r="AA2899" s="112"/>
    </row>
    <row r="2900" spans="3:27" x14ac:dyDescent="0.25">
      <c r="C2900" s="112"/>
      <c r="D2900" s="112"/>
      <c r="E2900" s="113"/>
      <c r="F2900" s="113"/>
      <c r="G2900" s="112"/>
      <c r="H2900" s="112"/>
      <c r="Z2900" s="112"/>
      <c r="AA2900" s="112"/>
    </row>
    <row r="2901" spans="3:27" x14ac:dyDescent="0.25">
      <c r="C2901" s="112"/>
      <c r="D2901" s="112"/>
      <c r="E2901" s="113"/>
      <c r="F2901" s="113"/>
      <c r="G2901" s="112"/>
      <c r="H2901" s="112"/>
      <c r="Z2901" s="112"/>
      <c r="AA2901" s="112"/>
    </row>
    <row r="2902" spans="3:27" x14ac:dyDescent="0.25">
      <c r="C2902" s="112"/>
      <c r="D2902" s="112"/>
      <c r="E2902" s="113"/>
      <c r="F2902" s="113"/>
      <c r="G2902" s="112"/>
      <c r="H2902" s="112"/>
      <c r="Z2902" s="112"/>
      <c r="AA2902" s="112"/>
    </row>
    <row r="2903" spans="3:27" x14ac:dyDescent="0.25">
      <c r="C2903" s="112"/>
      <c r="D2903" s="112"/>
      <c r="E2903" s="113"/>
      <c r="F2903" s="113"/>
      <c r="G2903" s="112"/>
      <c r="H2903" s="112"/>
      <c r="Z2903" s="112"/>
      <c r="AA2903" s="112"/>
    </row>
    <row r="2904" spans="3:27" x14ac:dyDescent="0.25">
      <c r="C2904" s="112"/>
      <c r="D2904" s="112"/>
      <c r="E2904" s="113"/>
      <c r="F2904" s="113"/>
      <c r="G2904" s="112"/>
      <c r="H2904" s="112"/>
      <c r="Z2904" s="112"/>
      <c r="AA2904" s="112"/>
    </row>
    <row r="2905" spans="3:27" x14ac:dyDescent="0.25">
      <c r="C2905" s="112"/>
      <c r="D2905" s="112"/>
      <c r="E2905" s="113"/>
      <c r="F2905" s="113"/>
      <c r="G2905" s="112"/>
      <c r="H2905" s="112"/>
      <c r="Z2905" s="112"/>
      <c r="AA2905" s="112"/>
    </row>
    <row r="2906" spans="3:27" x14ac:dyDescent="0.25">
      <c r="C2906" s="112"/>
      <c r="D2906" s="112"/>
      <c r="E2906" s="113"/>
      <c r="F2906" s="113"/>
      <c r="G2906" s="112"/>
      <c r="H2906" s="112"/>
      <c r="Z2906" s="112"/>
      <c r="AA2906" s="112"/>
    </row>
    <row r="2907" spans="3:27" x14ac:dyDescent="0.25">
      <c r="C2907" s="112"/>
      <c r="D2907" s="112"/>
      <c r="E2907" s="113"/>
      <c r="F2907" s="113"/>
      <c r="G2907" s="112"/>
      <c r="H2907" s="112"/>
      <c r="Z2907" s="112"/>
      <c r="AA2907" s="112"/>
    </row>
    <row r="2908" spans="3:27" x14ac:dyDescent="0.25">
      <c r="C2908" s="112"/>
      <c r="D2908" s="112"/>
      <c r="E2908" s="113"/>
      <c r="F2908" s="113"/>
      <c r="G2908" s="112"/>
      <c r="H2908" s="112"/>
      <c r="Z2908" s="112"/>
      <c r="AA2908" s="112"/>
    </row>
    <row r="2909" spans="3:27" x14ac:dyDescent="0.25">
      <c r="C2909" s="112"/>
      <c r="D2909" s="112"/>
      <c r="E2909" s="113"/>
      <c r="F2909" s="113"/>
      <c r="G2909" s="112"/>
      <c r="H2909" s="112"/>
      <c r="Z2909" s="112"/>
      <c r="AA2909" s="112"/>
    </row>
    <row r="2910" spans="3:27" x14ac:dyDescent="0.25">
      <c r="C2910" s="112"/>
      <c r="D2910" s="112"/>
      <c r="E2910" s="113"/>
      <c r="F2910" s="113"/>
      <c r="G2910" s="112"/>
      <c r="H2910" s="112"/>
      <c r="Z2910" s="112"/>
      <c r="AA2910" s="112"/>
    </row>
    <row r="2911" spans="3:27" x14ac:dyDescent="0.25">
      <c r="C2911" s="112"/>
      <c r="D2911" s="112"/>
      <c r="E2911" s="113"/>
      <c r="F2911" s="113"/>
      <c r="G2911" s="112"/>
      <c r="H2911" s="112"/>
      <c r="Z2911" s="112"/>
      <c r="AA2911" s="112"/>
    </row>
    <row r="2912" spans="3:27" x14ac:dyDescent="0.25">
      <c r="C2912" s="112"/>
      <c r="D2912" s="112"/>
      <c r="E2912" s="113"/>
      <c r="F2912" s="113"/>
      <c r="G2912" s="112"/>
      <c r="H2912" s="112"/>
      <c r="Z2912" s="112"/>
      <c r="AA2912" s="112"/>
    </row>
    <row r="2913" spans="3:27" x14ac:dyDescent="0.25">
      <c r="C2913" s="112"/>
      <c r="D2913" s="112"/>
      <c r="E2913" s="113"/>
      <c r="F2913" s="113"/>
      <c r="G2913" s="112"/>
      <c r="H2913" s="112"/>
      <c r="Z2913" s="112"/>
      <c r="AA2913" s="112"/>
    </row>
    <row r="2914" spans="3:27" x14ac:dyDescent="0.25">
      <c r="C2914" s="112"/>
      <c r="D2914" s="112"/>
      <c r="E2914" s="113"/>
      <c r="F2914" s="113"/>
      <c r="G2914" s="112"/>
      <c r="H2914" s="112"/>
      <c r="Z2914" s="112"/>
      <c r="AA2914" s="112"/>
    </row>
    <row r="2915" spans="3:27" x14ac:dyDescent="0.25">
      <c r="C2915" s="112"/>
      <c r="D2915" s="112"/>
      <c r="E2915" s="113"/>
      <c r="F2915" s="113"/>
      <c r="G2915" s="112"/>
      <c r="H2915" s="112"/>
      <c r="Z2915" s="112"/>
      <c r="AA2915" s="112"/>
    </row>
    <row r="2916" spans="3:27" x14ac:dyDescent="0.25">
      <c r="C2916" s="112"/>
      <c r="D2916" s="112"/>
      <c r="E2916" s="113"/>
      <c r="F2916" s="113"/>
      <c r="G2916" s="112"/>
      <c r="H2916" s="112"/>
      <c r="Z2916" s="112"/>
      <c r="AA2916" s="112"/>
    </row>
    <row r="2917" spans="3:27" x14ac:dyDescent="0.25">
      <c r="C2917" s="112"/>
      <c r="D2917" s="112"/>
      <c r="E2917" s="113"/>
      <c r="F2917" s="113"/>
      <c r="G2917" s="112"/>
      <c r="H2917" s="112"/>
      <c r="Z2917" s="112"/>
      <c r="AA2917" s="112"/>
    </row>
    <row r="2918" spans="3:27" x14ac:dyDescent="0.25">
      <c r="C2918" s="112"/>
      <c r="D2918" s="112"/>
      <c r="E2918" s="113"/>
      <c r="F2918" s="113"/>
      <c r="G2918" s="112"/>
      <c r="H2918" s="112"/>
      <c r="Z2918" s="112"/>
      <c r="AA2918" s="112"/>
    </row>
    <row r="2919" spans="3:27" x14ac:dyDescent="0.25">
      <c r="C2919" s="112"/>
      <c r="D2919" s="112"/>
      <c r="E2919" s="113"/>
      <c r="F2919" s="113"/>
      <c r="G2919" s="112"/>
      <c r="H2919" s="112"/>
      <c r="Z2919" s="112"/>
      <c r="AA2919" s="112"/>
    </row>
    <row r="2920" spans="3:27" x14ac:dyDescent="0.25">
      <c r="C2920" s="112"/>
      <c r="D2920" s="112"/>
      <c r="E2920" s="113"/>
      <c r="F2920" s="113"/>
      <c r="G2920" s="112"/>
      <c r="H2920" s="112"/>
      <c r="Z2920" s="112"/>
      <c r="AA2920" s="112"/>
    </row>
    <row r="2921" spans="3:27" x14ac:dyDescent="0.25">
      <c r="C2921" s="112"/>
      <c r="D2921" s="112"/>
      <c r="E2921" s="113"/>
      <c r="F2921" s="113"/>
      <c r="G2921" s="112"/>
      <c r="H2921" s="112"/>
      <c r="Z2921" s="112"/>
      <c r="AA2921" s="112"/>
    </row>
    <row r="2922" spans="3:27" x14ac:dyDescent="0.25">
      <c r="C2922" s="112"/>
      <c r="D2922" s="112"/>
      <c r="E2922" s="113"/>
      <c r="F2922" s="113"/>
      <c r="G2922" s="112"/>
      <c r="H2922" s="112"/>
      <c r="Z2922" s="112"/>
      <c r="AA2922" s="112"/>
    </row>
    <row r="2923" spans="3:27" x14ac:dyDescent="0.25">
      <c r="C2923" s="112"/>
      <c r="D2923" s="112"/>
      <c r="E2923" s="113"/>
      <c r="F2923" s="113"/>
      <c r="G2923" s="112"/>
      <c r="H2923" s="112"/>
      <c r="Z2923" s="112"/>
      <c r="AA2923" s="112"/>
    </row>
    <row r="2924" spans="3:27" x14ac:dyDescent="0.25">
      <c r="C2924" s="112"/>
      <c r="D2924" s="112"/>
      <c r="E2924" s="113"/>
      <c r="F2924" s="113"/>
      <c r="G2924" s="112"/>
      <c r="H2924" s="112"/>
      <c r="Z2924" s="112"/>
      <c r="AA2924" s="112"/>
    </row>
    <row r="2925" spans="3:27" x14ac:dyDescent="0.25">
      <c r="C2925" s="112"/>
      <c r="D2925" s="112"/>
      <c r="E2925" s="113"/>
      <c r="F2925" s="113"/>
      <c r="G2925" s="112"/>
      <c r="H2925" s="112"/>
      <c r="Z2925" s="112"/>
      <c r="AA2925" s="112"/>
    </row>
    <row r="2926" spans="3:27" x14ac:dyDescent="0.25">
      <c r="C2926" s="112"/>
      <c r="D2926" s="112"/>
      <c r="E2926" s="113"/>
      <c r="F2926" s="113"/>
      <c r="G2926" s="112"/>
      <c r="H2926" s="112"/>
      <c r="Z2926" s="112"/>
      <c r="AA2926" s="112"/>
    </row>
    <row r="2927" spans="3:27" x14ac:dyDescent="0.25">
      <c r="C2927" s="112"/>
      <c r="D2927" s="112"/>
      <c r="E2927" s="113"/>
      <c r="F2927" s="113"/>
      <c r="G2927" s="112"/>
      <c r="H2927" s="112"/>
      <c r="Z2927" s="112"/>
      <c r="AA2927" s="112"/>
    </row>
    <row r="2928" spans="3:27" x14ac:dyDescent="0.25">
      <c r="C2928" s="112"/>
      <c r="D2928" s="112"/>
      <c r="E2928" s="113"/>
      <c r="F2928" s="113"/>
      <c r="G2928" s="112"/>
      <c r="H2928" s="112"/>
      <c r="Z2928" s="112"/>
      <c r="AA2928" s="112"/>
    </row>
    <row r="2929" spans="3:27" x14ac:dyDescent="0.25">
      <c r="C2929" s="112"/>
      <c r="D2929" s="112"/>
      <c r="E2929" s="113"/>
      <c r="F2929" s="113"/>
      <c r="G2929" s="112"/>
      <c r="H2929" s="112"/>
      <c r="Z2929" s="112"/>
      <c r="AA2929" s="112"/>
    </row>
    <row r="2930" spans="3:27" x14ac:dyDescent="0.25">
      <c r="C2930" s="112"/>
      <c r="D2930" s="112"/>
      <c r="E2930" s="113"/>
      <c r="F2930" s="113"/>
      <c r="G2930" s="112"/>
      <c r="H2930" s="112"/>
      <c r="Z2930" s="112"/>
      <c r="AA2930" s="112"/>
    </row>
    <row r="2931" spans="3:27" x14ac:dyDescent="0.25">
      <c r="C2931" s="112"/>
      <c r="D2931" s="112"/>
      <c r="E2931" s="113"/>
      <c r="F2931" s="113"/>
      <c r="G2931" s="112"/>
      <c r="H2931" s="112"/>
      <c r="Z2931" s="112"/>
      <c r="AA2931" s="112"/>
    </row>
    <row r="2932" spans="3:27" x14ac:dyDescent="0.25">
      <c r="C2932" s="112"/>
      <c r="D2932" s="112"/>
      <c r="E2932" s="113"/>
      <c r="F2932" s="113"/>
      <c r="G2932" s="112"/>
      <c r="H2932" s="112"/>
      <c r="Z2932" s="112"/>
      <c r="AA2932" s="112"/>
    </row>
    <row r="2933" spans="3:27" x14ac:dyDescent="0.25">
      <c r="C2933" s="112"/>
      <c r="D2933" s="112"/>
      <c r="E2933" s="113"/>
      <c r="F2933" s="113"/>
      <c r="G2933" s="112"/>
      <c r="H2933" s="112"/>
      <c r="Z2933" s="112"/>
      <c r="AA2933" s="112"/>
    </row>
    <row r="2934" spans="3:27" x14ac:dyDescent="0.25">
      <c r="C2934" s="112"/>
      <c r="D2934" s="112"/>
      <c r="E2934" s="113"/>
      <c r="F2934" s="113"/>
      <c r="G2934" s="112"/>
      <c r="H2934" s="112"/>
      <c r="Z2934" s="112"/>
      <c r="AA2934" s="112"/>
    </row>
    <row r="2935" spans="3:27" x14ac:dyDescent="0.25">
      <c r="C2935" s="112"/>
      <c r="D2935" s="112"/>
      <c r="E2935" s="113"/>
      <c r="F2935" s="113"/>
      <c r="G2935" s="112"/>
      <c r="H2935" s="112"/>
      <c r="Z2935" s="112"/>
      <c r="AA2935" s="112"/>
    </row>
    <row r="2936" spans="3:27" x14ac:dyDescent="0.25">
      <c r="C2936" s="112"/>
      <c r="D2936" s="112"/>
      <c r="E2936" s="113"/>
      <c r="F2936" s="113"/>
      <c r="G2936" s="112"/>
      <c r="H2936" s="112"/>
      <c r="Z2936" s="112"/>
      <c r="AA2936" s="112"/>
    </row>
    <row r="2937" spans="3:27" x14ac:dyDescent="0.25">
      <c r="C2937" s="112"/>
      <c r="D2937" s="112"/>
      <c r="E2937" s="113"/>
      <c r="F2937" s="113"/>
      <c r="G2937" s="112"/>
      <c r="H2937" s="112"/>
      <c r="Z2937" s="112"/>
      <c r="AA2937" s="112"/>
    </row>
    <row r="2938" spans="3:27" x14ac:dyDescent="0.25">
      <c r="C2938" s="112"/>
      <c r="D2938" s="112"/>
      <c r="E2938" s="113"/>
      <c r="F2938" s="113"/>
      <c r="G2938" s="112"/>
      <c r="H2938" s="112"/>
      <c r="Z2938" s="112"/>
      <c r="AA2938" s="112"/>
    </row>
    <row r="2939" spans="3:27" x14ac:dyDescent="0.25">
      <c r="C2939" s="112"/>
      <c r="D2939" s="112"/>
      <c r="E2939" s="113"/>
      <c r="F2939" s="113"/>
      <c r="G2939" s="112"/>
      <c r="H2939" s="112"/>
      <c r="Z2939" s="112"/>
      <c r="AA2939" s="112"/>
    </row>
    <row r="2940" spans="3:27" x14ac:dyDescent="0.25">
      <c r="C2940" s="112"/>
      <c r="D2940" s="112"/>
      <c r="E2940" s="113"/>
      <c r="F2940" s="113"/>
      <c r="G2940" s="112"/>
      <c r="H2940" s="112"/>
      <c r="Z2940" s="112"/>
      <c r="AA2940" s="112"/>
    </row>
    <row r="2941" spans="3:27" x14ac:dyDescent="0.25">
      <c r="C2941" s="112"/>
      <c r="D2941" s="112"/>
      <c r="E2941" s="113"/>
      <c r="F2941" s="113"/>
      <c r="G2941" s="112"/>
      <c r="H2941" s="112"/>
      <c r="Z2941" s="112"/>
      <c r="AA2941" s="112"/>
    </row>
    <row r="2942" spans="3:27" x14ac:dyDescent="0.25">
      <c r="C2942" s="112"/>
      <c r="D2942" s="112"/>
      <c r="E2942" s="113"/>
      <c r="F2942" s="113"/>
      <c r="G2942" s="112"/>
      <c r="H2942" s="112"/>
      <c r="Z2942" s="112"/>
      <c r="AA2942" s="112"/>
    </row>
    <row r="2943" spans="3:27" x14ac:dyDescent="0.25">
      <c r="C2943" s="112"/>
      <c r="D2943" s="112"/>
      <c r="E2943" s="113"/>
      <c r="F2943" s="113"/>
      <c r="G2943" s="112"/>
      <c r="H2943" s="112"/>
      <c r="Z2943" s="112"/>
      <c r="AA2943" s="112"/>
    </row>
    <row r="2944" spans="3:27" x14ac:dyDescent="0.25">
      <c r="C2944" s="112"/>
      <c r="D2944" s="112"/>
      <c r="E2944" s="113"/>
      <c r="F2944" s="113"/>
      <c r="G2944" s="112"/>
      <c r="H2944" s="112"/>
      <c r="Z2944" s="112"/>
      <c r="AA2944" s="112"/>
    </row>
    <row r="2945" spans="3:27" x14ac:dyDescent="0.25">
      <c r="C2945" s="112"/>
      <c r="D2945" s="112"/>
      <c r="E2945" s="113"/>
      <c r="F2945" s="113"/>
      <c r="G2945" s="112"/>
      <c r="H2945" s="112"/>
      <c r="Z2945" s="112"/>
      <c r="AA2945" s="112"/>
    </row>
    <row r="2946" spans="3:27" x14ac:dyDescent="0.25">
      <c r="C2946" s="112"/>
      <c r="D2946" s="112"/>
      <c r="E2946" s="113"/>
      <c r="F2946" s="113"/>
      <c r="G2946" s="112"/>
      <c r="H2946" s="112"/>
      <c r="Z2946" s="112"/>
      <c r="AA2946" s="112"/>
    </row>
    <row r="2947" spans="3:27" x14ac:dyDescent="0.25">
      <c r="C2947" s="112"/>
      <c r="D2947" s="112"/>
      <c r="E2947" s="113"/>
      <c r="F2947" s="113"/>
      <c r="G2947" s="112"/>
      <c r="H2947" s="112"/>
      <c r="Z2947" s="112"/>
      <c r="AA2947" s="112"/>
    </row>
    <row r="2948" spans="3:27" x14ac:dyDescent="0.25">
      <c r="C2948" s="112"/>
      <c r="D2948" s="112"/>
      <c r="E2948" s="113"/>
      <c r="F2948" s="113"/>
      <c r="G2948" s="112"/>
      <c r="H2948" s="112"/>
      <c r="Z2948" s="112"/>
      <c r="AA2948" s="112"/>
    </row>
    <row r="2949" spans="3:27" x14ac:dyDescent="0.25">
      <c r="C2949" s="112"/>
      <c r="D2949" s="112"/>
      <c r="E2949" s="113"/>
      <c r="F2949" s="113"/>
      <c r="G2949" s="112"/>
      <c r="H2949" s="112"/>
      <c r="Z2949" s="112"/>
      <c r="AA2949" s="112"/>
    </row>
    <row r="2950" spans="3:27" x14ac:dyDescent="0.25">
      <c r="C2950" s="112"/>
      <c r="D2950" s="112"/>
      <c r="E2950" s="113"/>
      <c r="F2950" s="113"/>
      <c r="G2950" s="112"/>
      <c r="H2950" s="112"/>
      <c r="Z2950" s="112"/>
      <c r="AA2950" s="112"/>
    </row>
    <row r="2951" spans="3:27" x14ac:dyDescent="0.25">
      <c r="C2951" s="112"/>
      <c r="D2951" s="112"/>
      <c r="E2951" s="113"/>
      <c r="F2951" s="113"/>
      <c r="G2951" s="112"/>
      <c r="H2951" s="112"/>
      <c r="Z2951" s="112"/>
      <c r="AA2951" s="112"/>
    </row>
    <row r="2952" spans="3:27" x14ac:dyDescent="0.25">
      <c r="C2952" s="112"/>
      <c r="D2952" s="112"/>
      <c r="E2952" s="113"/>
      <c r="F2952" s="113"/>
      <c r="G2952" s="112"/>
      <c r="H2952" s="112"/>
      <c r="Z2952" s="112"/>
      <c r="AA2952" s="112"/>
    </row>
    <row r="2953" spans="3:27" x14ac:dyDescent="0.25">
      <c r="C2953" s="112"/>
      <c r="D2953" s="112"/>
      <c r="E2953" s="113"/>
      <c r="F2953" s="113"/>
      <c r="G2953" s="112"/>
      <c r="H2953" s="112"/>
      <c r="Z2953" s="112"/>
      <c r="AA2953" s="112"/>
    </row>
    <row r="2954" spans="3:27" x14ac:dyDescent="0.25">
      <c r="C2954" s="112"/>
      <c r="D2954" s="112"/>
      <c r="E2954" s="113"/>
      <c r="F2954" s="113"/>
      <c r="G2954" s="112"/>
      <c r="H2954" s="112"/>
      <c r="Z2954" s="112"/>
      <c r="AA2954" s="112"/>
    </row>
    <row r="2955" spans="3:27" x14ac:dyDescent="0.25">
      <c r="C2955" s="112"/>
      <c r="D2955" s="112"/>
      <c r="E2955" s="113"/>
      <c r="F2955" s="113"/>
      <c r="G2955" s="112"/>
      <c r="H2955" s="112"/>
      <c r="Z2955" s="112"/>
      <c r="AA2955" s="112"/>
    </row>
    <row r="2956" spans="3:27" x14ac:dyDescent="0.25">
      <c r="C2956" s="112"/>
      <c r="D2956" s="112"/>
      <c r="E2956" s="113"/>
      <c r="F2956" s="113"/>
      <c r="G2956" s="112"/>
      <c r="H2956" s="112"/>
      <c r="Z2956" s="112"/>
      <c r="AA2956" s="112"/>
    </row>
    <row r="2957" spans="3:27" x14ac:dyDescent="0.25">
      <c r="C2957" s="112"/>
      <c r="D2957" s="112"/>
      <c r="E2957" s="113"/>
      <c r="F2957" s="113"/>
      <c r="G2957" s="112"/>
      <c r="H2957" s="112"/>
      <c r="Z2957" s="112"/>
      <c r="AA2957" s="112"/>
    </row>
    <row r="2958" spans="3:27" x14ac:dyDescent="0.25">
      <c r="C2958" s="112"/>
      <c r="D2958" s="112"/>
      <c r="E2958" s="113"/>
      <c r="F2958" s="113"/>
      <c r="G2958" s="112"/>
      <c r="H2958" s="112"/>
      <c r="Z2958" s="112"/>
      <c r="AA2958" s="112"/>
    </row>
    <row r="2959" spans="3:27" x14ac:dyDescent="0.25">
      <c r="C2959" s="112"/>
      <c r="D2959" s="112"/>
      <c r="E2959" s="113"/>
      <c r="F2959" s="113"/>
      <c r="G2959" s="112"/>
      <c r="H2959" s="112"/>
      <c r="Z2959" s="112"/>
      <c r="AA2959" s="112"/>
    </row>
    <row r="2960" spans="3:27" x14ac:dyDescent="0.25">
      <c r="C2960" s="112"/>
      <c r="D2960" s="112"/>
      <c r="E2960" s="113"/>
      <c r="F2960" s="113"/>
      <c r="G2960" s="112"/>
      <c r="H2960" s="112"/>
      <c r="Z2960" s="112"/>
      <c r="AA2960" s="112"/>
    </row>
    <row r="2961" spans="3:27" x14ac:dyDescent="0.25">
      <c r="C2961" s="112"/>
      <c r="D2961" s="112"/>
      <c r="E2961" s="113"/>
      <c r="F2961" s="113"/>
      <c r="G2961" s="112"/>
      <c r="H2961" s="112"/>
      <c r="Z2961" s="112"/>
      <c r="AA2961" s="112"/>
    </row>
    <row r="2962" spans="3:27" x14ac:dyDescent="0.25">
      <c r="C2962" s="112"/>
      <c r="D2962" s="112"/>
      <c r="E2962" s="113"/>
      <c r="F2962" s="113"/>
      <c r="G2962" s="112"/>
      <c r="H2962" s="112"/>
      <c r="Z2962" s="112"/>
      <c r="AA2962" s="112"/>
    </row>
    <row r="2963" spans="3:27" x14ac:dyDescent="0.25">
      <c r="C2963" s="112"/>
      <c r="D2963" s="112"/>
      <c r="E2963" s="113"/>
      <c r="F2963" s="113"/>
      <c r="G2963" s="112"/>
      <c r="H2963" s="112"/>
      <c r="Z2963" s="112"/>
      <c r="AA2963" s="112"/>
    </row>
    <row r="2964" spans="3:27" x14ac:dyDescent="0.25">
      <c r="C2964" s="112"/>
      <c r="D2964" s="112"/>
      <c r="E2964" s="113"/>
      <c r="F2964" s="113"/>
      <c r="G2964" s="112"/>
      <c r="H2964" s="112"/>
      <c r="Z2964" s="112"/>
      <c r="AA2964" s="112"/>
    </row>
    <row r="2965" spans="3:27" x14ac:dyDescent="0.25">
      <c r="C2965" s="112"/>
      <c r="D2965" s="112"/>
      <c r="E2965" s="113"/>
      <c r="F2965" s="113"/>
      <c r="G2965" s="112"/>
      <c r="H2965" s="112"/>
      <c r="Z2965" s="112"/>
      <c r="AA2965" s="112"/>
    </row>
    <row r="2966" spans="3:27" x14ac:dyDescent="0.25">
      <c r="C2966" s="112"/>
      <c r="D2966" s="112"/>
      <c r="E2966" s="113"/>
      <c r="F2966" s="113"/>
      <c r="G2966" s="112"/>
      <c r="H2966" s="112"/>
      <c r="Z2966" s="112"/>
      <c r="AA2966" s="112"/>
    </row>
    <row r="2967" spans="3:27" x14ac:dyDescent="0.25">
      <c r="C2967" s="112"/>
      <c r="D2967" s="112"/>
      <c r="E2967" s="113"/>
      <c r="F2967" s="113"/>
      <c r="G2967" s="112"/>
      <c r="H2967" s="112"/>
      <c r="Z2967" s="112"/>
      <c r="AA2967" s="112"/>
    </row>
    <row r="2968" spans="3:27" x14ac:dyDescent="0.25">
      <c r="C2968" s="112"/>
      <c r="D2968" s="112"/>
      <c r="E2968" s="113"/>
      <c r="F2968" s="113"/>
      <c r="G2968" s="112"/>
      <c r="H2968" s="112"/>
      <c r="Z2968" s="112"/>
      <c r="AA2968" s="112"/>
    </row>
    <row r="2969" spans="3:27" x14ac:dyDescent="0.25">
      <c r="C2969" s="112"/>
      <c r="D2969" s="112"/>
      <c r="E2969" s="113"/>
      <c r="F2969" s="113"/>
      <c r="G2969" s="112"/>
      <c r="H2969" s="112"/>
      <c r="Z2969" s="112"/>
      <c r="AA2969" s="112"/>
    </row>
    <row r="2970" spans="3:27" x14ac:dyDescent="0.25">
      <c r="C2970" s="112"/>
      <c r="D2970" s="112"/>
      <c r="E2970" s="113"/>
      <c r="F2970" s="113"/>
      <c r="G2970" s="112"/>
      <c r="H2970" s="112"/>
      <c r="Z2970" s="112"/>
      <c r="AA2970" s="112"/>
    </row>
    <row r="2971" spans="3:27" x14ac:dyDescent="0.25">
      <c r="C2971" s="112"/>
      <c r="D2971" s="112"/>
      <c r="E2971" s="113"/>
      <c r="F2971" s="113"/>
      <c r="G2971" s="112"/>
      <c r="H2971" s="112"/>
      <c r="Z2971" s="112"/>
      <c r="AA2971" s="112"/>
    </row>
    <row r="2972" spans="3:27" x14ac:dyDescent="0.25">
      <c r="C2972" s="112"/>
      <c r="D2972" s="112"/>
      <c r="E2972" s="113"/>
      <c r="F2972" s="113"/>
      <c r="G2972" s="112"/>
      <c r="H2972" s="112"/>
      <c r="Z2972" s="112"/>
      <c r="AA2972" s="112"/>
    </row>
    <row r="2973" spans="3:27" x14ac:dyDescent="0.25">
      <c r="C2973" s="112"/>
      <c r="D2973" s="112"/>
      <c r="E2973" s="113"/>
      <c r="F2973" s="113"/>
      <c r="G2973" s="112"/>
      <c r="H2973" s="112"/>
      <c r="Z2973" s="112"/>
      <c r="AA2973" s="112"/>
    </row>
    <row r="2974" spans="3:27" x14ac:dyDescent="0.25">
      <c r="C2974" s="112"/>
      <c r="D2974" s="112"/>
      <c r="E2974" s="113"/>
      <c r="F2974" s="113"/>
      <c r="G2974" s="112"/>
      <c r="H2974" s="112"/>
      <c r="Z2974" s="112"/>
      <c r="AA2974" s="112"/>
    </row>
    <row r="2975" spans="3:27" x14ac:dyDescent="0.25">
      <c r="C2975" s="112"/>
      <c r="D2975" s="112"/>
      <c r="E2975" s="113"/>
      <c r="F2975" s="113"/>
      <c r="G2975" s="112"/>
      <c r="H2975" s="112"/>
      <c r="Z2975" s="112"/>
      <c r="AA2975" s="112"/>
    </row>
    <row r="2976" spans="3:27" x14ac:dyDescent="0.25">
      <c r="C2976" s="112"/>
      <c r="D2976" s="112"/>
      <c r="E2976" s="113"/>
      <c r="F2976" s="113"/>
      <c r="G2976" s="112"/>
      <c r="H2976" s="112"/>
      <c r="Z2976" s="112"/>
      <c r="AA2976" s="112"/>
    </row>
    <row r="2977" spans="3:27" x14ac:dyDescent="0.25">
      <c r="C2977" s="112"/>
      <c r="D2977" s="112"/>
      <c r="E2977" s="113"/>
      <c r="F2977" s="113"/>
      <c r="G2977" s="112"/>
      <c r="H2977" s="112"/>
      <c r="Z2977" s="112"/>
      <c r="AA2977" s="112"/>
    </row>
    <row r="2978" spans="3:27" x14ac:dyDescent="0.25">
      <c r="C2978" s="112"/>
      <c r="D2978" s="112"/>
      <c r="E2978" s="113"/>
      <c r="F2978" s="113"/>
      <c r="G2978" s="112"/>
      <c r="H2978" s="112"/>
      <c r="Z2978" s="112"/>
      <c r="AA2978" s="112"/>
    </row>
    <row r="2979" spans="3:27" x14ac:dyDescent="0.25">
      <c r="C2979" s="112"/>
      <c r="D2979" s="112"/>
      <c r="E2979" s="113"/>
      <c r="F2979" s="113"/>
      <c r="G2979" s="112"/>
      <c r="H2979" s="112"/>
      <c r="Z2979" s="112"/>
      <c r="AA2979" s="112"/>
    </row>
    <row r="2980" spans="3:27" x14ac:dyDescent="0.25">
      <c r="C2980" s="112"/>
      <c r="D2980" s="112"/>
      <c r="E2980" s="113"/>
      <c r="F2980" s="113"/>
      <c r="G2980" s="112"/>
      <c r="H2980" s="112"/>
      <c r="Z2980" s="112"/>
      <c r="AA2980" s="112"/>
    </row>
    <row r="2981" spans="3:27" x14ac:dyDescent="0.25">
      <c r="C2981" s="112"/>
      <c r="D2981" s="112"/>
      <c r="E2981" s="113"/>
      <c r="F2981" s="113"/>
      <c r="G2981" s="112"/>
      <c r="H2981" s="112"/>
      <c r="Z2981" s="112"/>
      <c r="AA2981" s="112"/>
    </row>
    <row r="2982" spans="3:27" x14ac:dyDescent="0.25">
      <c r="C2982" s="112"/>
      <c r="D2982" s="112"/>
      <c r="E2982" s="113"/>
      <c r="F2982" s="113"/>
      <c r="G2982" s="112"/>
      <c r="H2982" s="112"/>
      <c r="Z2982" s="112"/>
      <c r="AA2982" s="112"/>
    </row>
    <row r="2983" spans="3:27" x14ac:dyDescent="0.25">
      <c r="C2983" s="112"/>
      <c r="D2983" s="112"/>
      <c r="E2983" s="113"/>
      <c r="F2983" s="113"/>
      <c r="G2983" s="112"/>
      <c r="H2983" s="112"/>
      <c r="Z2983" s="112"/>
      <c r="AA2983" s="112"/>
    </row>
    <row r="2984" spans="3:27" x14ac:dyDescent="0.25">
      <c r="C2984" s="112"/>
      <c r="D2984" s="112"/>
      <c r="E2984" s="113"/>
      <c r="F2984" s="113"/>
      <c r="G2984" s="112"/>
      <c r="H2984" s="112"/>
      <c r="Z2984" s="112"/>
      <c r="AA2984" s="112"/>
    </row>
    <row r="2985" spans="3:27" x14ac:dyDescent="0.25">
      <c r="C2985" s="112"/>
      <c r="D2985" s="112"/>
      <c r="E2985" s="113"/>
      <c r="F2985" s="113"/>
      <c r="G2985" s="112"/>
      <c r="H2985" s="112"/>
      <c r="Z2985" s="112"/>
      <c r="AA2985" s="112"/>
    </row>
    <row r="2986" spans="3:27" x14ac:dyDescent="0.25">
      <c r="C2986" s="112"/>
      <c r="D2986" s="112"/>
      <c r="E2986" s="113"/>
      <c r="F2986" s="113"/>
      <c r="G2986" s="112"/>
      <c r="H2986" s="112"/>
      <c r="Z2986" s="112"/>
      <c r="AA2986" s="112"/>
    </row>
    <row r="2987" spans="3:27" x14ac:dyDescent="0.25">
      <c r="C2987" s="112"/>
      <c r="D2987" s="112"/>
      <c r="E2987" s="113"/>
      <c r="F2987" s="113"/>
      <c r="G2987" s="112"/>
      <c r="H2987" s="112"/>
      <c r="Z2987" s="112"/>
      <c r="AA2987" s="112"/>
    </row>
    <row r="2988" spans="3:27" x14ac:dyDescent="0.25">
      <c r="C2988" s="112"/>
      <c r="D2988" s="112"/>
      <c r="E2988" s="113"/>
      <c r="F2988" s="113"/>
      <c r="G2988" s="112"/>
      <c r="H2988" s="112"/>
      <c r="Z2988" s="112"/>
      <c r="AA2988" s="112"/>
    </row>
    <row r="2989" spans="3:27" x14ac:dyDescent="0.25">
      <c r="C2989" s="112"/>
      <c r="D2989" s="112"/>
      <c r="E2989" s="113"/>
      <c r="F2989" s="113"/>
      <c r="G2989" s="112"/>
      <c r="H2989" s="112"/>
      <c r="Z2989" s="112"/>
      <c r="AA2989" s="112"/>
    </row>
    <row r="2990" spans="3:27" x14ac:dyDescent="0.25">
      <c r="C2990" s="112"/>
      <c r="D2990" s="112"/>
      <c r="E2990" s="113"/>
      <c r="F2990" s="113"/>
      <c r="G2990" s="112"/>
      <c r="H2990" s="112"/>
      <c r="Z2990" s="112"/>
      <c r="AA2990" s="112"/>
    </row>
    <row r="2991" spans="3:27" x14ac:dyDescent="0.25">
      <c r="C2991" s="112"/>
      <c r="D2991" s="112"/>
      <c r="E2991" s="113"/>
      <c r="F2991" s="113"/>
      <c r="G2991" s="112"/>
      <c r="H2991" s="112"/>
      <c r="Z2991" s="112"/>
      <c r="AA2991" s="112"/>
    </row>
    <row r="2992" spans="3:27" x14ac:dyDescent="0.25">
      <c r="C2992" s="112"/>
      <c r="D2992" s="112"/>
      <c r="E2992" s="113"/>
      <c r="F2992" s="113"/>
      <c r="G2992" s="112"/>
      <c r="H2992" s="112"/>
      <c r="Z2992" s="112"/>
      <c r="AA2992" s="112"/>
    </row>
    <row r="2993" spans="3:27" x14ac:dyDescent="0.25">
      <c r="C2993" s="112"/>
      <c r="D2993" s="112"/>
      <c r="E2993" s="113"/>
      <c r="F2993" s="113"/>
      <c r="G2993" s="112"/>
      <c r="H2993" s="112"/>
      <c r="Z2993" s="112"/>
      <c r="AA2993" s="112"/>
    </row>
    <row r="2994" spans="3:27" x14ac:dyDescent="0.25">
      <c r="C2994" s="112"/>
      <c r="D2994" s="112"/>
      <c r="E2994" s="113"/>
      <c r="F2994" s="113"/>
      <c r="G2994" s="112"/>
      <c r="H2994" s="112"/>
      <c r="Z2994" s="112"/>
      <c r="AA2994" s="112"/>
    </row>
    <row r="2995" spans="3:27" x14ac:dyDescent="0.25">
      <c r="C2995" s="112"/>
      <c r="D2995" s="112"/>
      <c r="E2995" s="113"/>
      <c r="F2995" s="113"/>
      <c r="G2995" s="112"/>
      <c r="H2995" s="112"/>
      <c r="Z2995" s="112"/>
      <c r="AA2995" s="112"/>
    </row>
    <row r="2996" spans="3:27" x14ac:dyDescent="0.25">
      <c r="C2996" s="112"/>
      <c r="D2996" s="112"/>
      <c r="E2996" s="113"/>
      <c r="F2996" s="113"/>
      <c r="G2996" s="112"/>
      <c r="H2996" s="112"/>
      <c r="Z2996" s="112"/>
      <c r="AA2996" s="112"/>
    </row>
    <row r="2997" spans="3:27" x14ac:dyDescent="0.25">
      <c r="C2997" s="112"/>
      <c r="D2997" s="112"/>
      <c r="E2997" s="113"/>
      <c r="F2997" s="113"/>
      <c r="G2997" s="112"/>
      <c r="H2997" s="112"/>
      <c r="Z2997" s="112"/>
      <c r="AA2997" s="112"/>
    </row>
    <row r="2998" spans="3:27" x14ac:dyDescent="0.25">
      <c r="C2998" s="112"/>
      <c r="D2998" s="112"/>
      <c r="E2998" s="113"/>
      <c r="F2998" s="113"/>
      <c r="G2998" s="112"/>
      <c r="H2998" s="112"/>
      <c r="Z2998" s="112"/>
      <c r="AA2998" s="112"/>
    </row>
    <row r="2999" spans="3:27" x14ac:dyDescent="0.25">
      <c r="C2999" s="112"/>
      <c r="D2999" s="112"/>
      <c r="E2999" s="113"/>
      <c r="F2999" s="113"/>
      <c r="G2999" s="112"/>
      <c r="H2999" s="112"/>
      <c r="Z2999" s="112"/>
      <c r="AA2999" s="112"/>
    </row>
    <row r="3000" spans="3:27" x14ac:dyDescent="0.25">
      <c r="C3000" s="112"/>
      <c r="D3000" s="112"/>
      <c r="E3000" s="113"/>
      <c r="F3000" s="113"/>
      <c r="G3000" s="112"/>
      <c r="H3000" s="112"/>
      <c r="Z3000" s="112"/>
      <c r="AA3000" s="112"/>
    </row>
    <row r="3001" spans="3:27" x14ac:dyDescent="0.25">
      <c r="C3001" s="112"/>
      <c r="D3001" s="112"/>
      <c r="E3001" s="113"/>
      <c r="F3001" s="113"/>
      <c r="G3001" s="112"/>
      <c r="H3001" s="112"/>
      <c r="Z3001" s="112"/>
      <c r="AA3001" s="112"/>
    </row>
    <row r="3002" spans="3:27" x14ac:dyDescent="0.25">
      <c r="C3002" s="112"/>
      <c r="D3002" s="112"/>
      <c r="E3002" s="113"/>
      <c r="F3002" s="113"/>
      <c r="G3002" s="112"/>
      <c r="H3002" s="112"/>
      <c r="Z3002" s="112"/>
      <c r="AA3002" s="112"/>
    </row>
    <row r="3003" spans="3:27" x14ac:dyDescent="0.25">
      <c r="C3003" s="112"/>
      <c r="D3003" s="112"/>
      <c r="E3003" s="113"/>
      <c r="F3003" s="113"/>
      <c r="G3003" s="112"/>
      <c r="H3003" s="112"/>
      <c r="Z3003" s="112"/>
      <c r="AA3003" s="112"/>
    </row>
    <row r="3004" spans="3:27" x14ac:dyDescent="0.25">
      <c r="C3004" s="112"/>
      <c r="D3004" s="112"/>
      <c r="E3004" s="113"/>
      <c r="F3004" s="113"/>
      <c r="G3004" s="112"/>
      <c r="H3004" s="112"/>
      <c r="Z3004" s="112"/>
      <c r="AA3004" s="112"/>
    </row>
    <row r="3005" spans="3:27" x14ac:dyDescent="0.25">
      <c r="C3005" s="112"/>
      <c r="D3005" s="112"/>
      <c r="E3005" s="113"/>
      <c r="F3005" s="113"/>
      <c r="G3005" s="112"/>
      <c r="H3005" s="112"/>
      <c r="Z3005" s="112"/>
      <c r="AA3005" s="112"/>
    </row>
    <row r="3006" spans="3:27" x14ac:dyDescent="0.25">
      <c r="C3006" s="112"/>
      <c r="D3006" s="112"/>
      <c r="E3006" s="113"/>
      <c r="F3006" s="113"/>
      <c r="G3006" s="112"/>
      <c r="H3006" s="112"/>
      <c r="Z3006" s="112"/>
      <c r="AA3006" s="112"/>
    </row>
    <row r="3007" spans="3:27" x14ac:dyDescent="0.25">
      <c r="C3007" s="112"/>
      <c r="D3007" s="112"/>
      <c r="E3007" s="113"/>
      <c r="F3007" s="113"/>
      <c r="G3007" s="112"/>
      <c r="H3007" s="112"/>
      <c r="Z3007" s="112"/>
      <c r="AA3007" s="112"/>
    </row>
    <row r="3008" spans="3:27" x14ac:dyDescent="0.25">
      <c r="C3008" s="112"/>
      <c r="D3008" s="112"/>
      <c r="E3008" s="113"/>
      <c r="F3008" s="113"/>
      <c r="G3008" s="112"/>
      <c r="H3008" s="112"/>
      <c r="Z3008" s="112"/>
      <c r="AA3008" s="112"/>
    </row>
    <row r="3009" spans="3:27" x14ac:dyDescent="0.25">
      <c r="C3009" s="112"/>
      <c r="D3009" s="112"/>
      <c r="E3009" s="113"/>
      <c r="F3009" s="113"/>
      <c r="G3009" s="112"/>
      <c r="H3009" s="112"/>
      <c r="Z3009" s="112"/>
      <c r="AA3009" s="112"/>
    </row>
    <row r="3010" spans="3:27" x14ac:dyDescent="0.25">
      <c r="C3010" s="112"/>
      <c r="D3010" s="112"/>
      <c r="E3010" s="113"/>
      <c r="F3010" s="113"/>
      <c r="G3010" s="112"/>
      <c r="H3010" s="112"/>
      <c r="Z3010" s="112"/>
      <c r="AA3010" s="112"/>
    </row>
    <row r="3011" spans="3:27" x14ac:dyDescent="0.25">
      <c r="C3011" s="112"/>
      <c r="D3011" s="112"/>
      <c r="E3011" s="113"/>
      <c r="F3011" s="113"/>
      <c r="G3011" s="112"/>
      <c r="H3011" s="112"/>
      <c r="Z3011" s="112"/>
      <c r="AA3011" s="112"/>
    </row>
    <row r="3012" spans="3:27" x14ac:dyDescent="0.25">
      <c r="C3012" s="112"/>
      <c r="D3012" s="112"/>
      <c r="E3012" s="113"/>
      <c r="F3012" s="113"/>
      <c r="G3012" s="112"/>
      <c r="H3012" s="112"/>
      <c r="Z3012" s="112"/>
      <c r="AA3012" s="112"/>
    </row>
    <row r="3013" spans="3:27" x14ac:dyDescent="0.25">
      <c r="C3013" s="112"/>
      <c r="D3013" s="112"/>
      <c r="E3013" s="113"/>
      <c r="F3013" s="113"/>
      <c r="G3013" s="112"/>
      <c r="H3013" s="112"/>
      <c r="Z3013" s="112"/>
      <c r="AA3013" s="112"/>
    </row>
    <row r="3014" spans="3:27" x14ac:dyDescent="0.25">
      <c r="C3014" s="112"/>
      <c r="D3014" s="112"/>
      <c r="E3014" s="113"/>
      <c r="F3014" s="113"/>
      <c r="G3014" s="112"/>
      <c r="H3014" s="112"/>
      <c r="Z3014" s="112"/>
      <c r="AA3014" s="112"/>
    </row>
    <row r="3015" spans="3:27" x14ac:dyDescent="0.25">
      <c r="C3015" s="112"/>
      <c r="D3015" s="112"/>
      <c r="E3015" s="113"/>
      <c r="F3015" s="113"/>
      <c r="G3015" s="112"/>
      <c r="H3015" s="112"/>
      <c r="Z3015" s="112"/>
      <c r="AA3015" s="112"/>
    </row>
    <row r="3016" spans="3:27" x14ac:dyDescent="0.25">
      <c r="C3016" s="112"/>
      <c r="D3016" s="112"/>
      <c r="E3016" s="113"/>
      <c r="F3016" s="113"/>
      <c r="G3016" s="112"/>
      <c r="H3016" s="112"/>
      <c r="Z3016" s="112"/>
      <c r="AA3016" s="112"/>
    </row>
    <row r="3017" spans="3:27" x14ac:dyDescent="0.25">
      <c r="C3017" s="112"/>
      <c r="D3017" s="112"/>
      <c r="E3017" s="113"/>
      <c r="F3017" s="113"/>
      <c r="G3017" s="112"/>
      <c r="H3017" s="112"/>
      <c r="Z3017" s="112"/>
      <c r="AA3017" s="112"/>
    </row>
    <row r="3018" spans="3:27" x14ac:dyDescent="0.25">
      <c r="C3018" s="112"/>
      <c r="D3018" s="112"/>
      <c r="E3018" s="113"/>
      <c r="F3018" s="113"/>
      <c r="G3018" s="112"/>
      <c r="H3018" s="112"/>
      <c r="Z3018" s="112"/>
      <c r="AA3018" s="112"/>
    </row>
    <row r="3019" spans="3:27" x14ac:dyDescent="0.25">
      <c r="C3019" s="112"/>
      <c r="D3019" s="112"/>
      <c r="E3019" s="113"/>
      <c r="F3019" s="113"/>
      <c r="G3019" s="112"/>
      <c r="H3019" s="112"/>
      <c r="Z3019" s="112"/>
      <c r="AA3019" s="112"/>
    </row>
    <row r="3020" spans="3:27" x14ac:dyDescent="0.25">
      <c r="C3020" s="112"/>
      <c r="D3020" s="112"/>
      <c r="E3020" s="113"/>
      <c r="F3020" s="113"/>
      <c r="G3020" s="112"/>
      <c r="H3020" s="112"/>
      <c r="Z3020" s="112"/>
      <c r="AA3020" s="112"/>
    </row>
    <row r="3021" spans="3:27" x14ac:dyDescent="0.25">
      <c r="C3021" s="112"/>
      <c r="D3021" s="112"/>
      <c r="E3021" s="113"/>
      <c r="F3021" s="113"/>
      <c r="G3021" s="112"/>
      <c r="H3021" s="112"/>
      <c r="Z3021" s="112"/>
      <c r="AA3021" s="112"/>
    </row>
    <row r="3022" spans="3:27" x14ac:dyDescent="0.25">
      <c r="C3022" s="112"/>
      <c r="D3022" s="112"/>
      <c r="E3022" s="113"/>
      <c r="F3022" s="113"/>
      <c r="G3022" s="112"/>
      <c r="H3022" s="112"/>
      <c r="Z3022" s="112"/>
      <c r="AA3022" s="112"/>
    </row>
    <row r="3023" spans="3:27" x14ac:dyDescent="0.25">
      <c r="C3023" s="112"/>
      <c r="D3023" s="112"/>
      <c r="E3023" s="113"/>
      <c r="F3023" s="113"/>
      <c r="G3023" s="112"/>
      <c r="H3023" s="112"/>
      <c r="Z3023" s="112"/>
      <c r="AA3023" s="112"/>
    </row>
    <row r="3024" spans="3:27" x14ac:dyDescent="0.25">
      <c r="C3024" s="112"/>
      <c r="D3024" s="112"/>
      <c r="E3024" s="113"/>
      <c r="F3024" s="113"/>
      <c r="G3024" s="112"/>
      <c r="H3024" s="112"/>
      <c r="Z3024" s="112"/>
      <c r="AA3024" s="112"/>
    </row>
    <row r="3025" spans="3:27" x14ac:dyDescent="0.25">
      <c r="C3025" s="112"/>
      <c r="D3025" s="112"/>
      <c r="E3025" s="113"/>
      <c r="F3025" s="113"/>
      <c r="G3025" s="112"/>
      <c r="H3025" s="112"/>
      <c r="Z3025" s="112"/>
      <c r="AA3025" s="112"/>
    </row>
    <row r="3026" spans="3:27" x14ac:dyDescent="0.25">
      <c r="C3026" s="112"/>
      <c r="D3026" s="112"/>
      <c r="E3026" s="113"/>
      <c r="F3026" s="113"/>
      <c r="G3026" s="112"/>
      <c r="H3026" s="112"/>
      <c r="Z3026" s="112"/>
      <c r="AA3026" s="112"/>
    </row>
    <row r="3027" spans="3:27" x14ac:dyDescent="0.25">
      <c r="C3027" s="112"/>
      <c r="D3027" s="112"/>
      <c r="E3027" s="113"/>
      <c r="F3027" s="113"/>
      <c r="G3027" s="112"/>
      <c r="H3027" s="112"/>
      <c r="Z3027" s="112"/>
      <c r="AA3027" s="112"/>
    </row>
    <row r="3028" spans="3:27" x14ac:dyDescent="0.25">
      <c r="C3028" s="112"/>
      <c r="D3028" s="112"/>
      <c r="E3028" s="113"/>
      <c r="F3028" s="113"/>
      <c r="G3028" s="112"/>
      <c r="H3028" s="112"/>
      <c r="Z3028" s="112"/>
      <c r="AA3028" s="112"/>
    </row>
    <row r="3029" spans="3:27" x14ac:dyDescent="0.25">
      <c r="C3029" s="112"/>
      <c r="D3029" s="112"/>
      <c r="E3029" s="113"/>
      <c r="F3029" s="113"/>
      <c r="G3029" s="112"/>
      <c r="H3029" s="112"/>
      <c r="Z3029" s="112"/>
      <c r="AA3029" s="112"/>
    </row>
    <row r="3030" spans="3:27" x14ac:dyDescent="0.25">
      <c r="C3030" s="112"/>
      <c r="D3030" s="112"/>
      <c r="E3030" s="113"/>
      <c r="F3030" s="113"/>
      <c r="G3030" s="112"/>
      <c r="H3030" s="112"/>
      <c r="Z3030" s="112"/>
      <c r="AA3030" s="112"/>
    </row>
    <row r="3031" spans="3:27" x14ac:dyDescent="0.25">
      <c r="C3031" s="112"/>
      <c r="D3031" s="112"/>
      <c r="E3031" s="113"/>
      <c r="F3031" s="113"/>
      <c r="G3031" s="112"/>
      <c r="H3031" s="112"/>
      <c r="Z3031" s="112"/>
      <c r="AA3031" s="112"/>
    </row>
    <row r="3032" spans="3:27" x14ac:dyDescent="0.25">
      <c r="C3032" s="112"/>
      <c r="D3032" s="112"/>
      <c r="E3032" s="113"/>
      <c r="F3032" s="113"/>
      <c r="G3032" s="112"/>
      <c r="H3032" s="112"/>
      <c r="Z3032" s="112"/>
      <c r="AA3032" s="112"/>
    </row>
    <row r="3033" spans="3:27" x14ac:dyDescent="0.25">
      <c r="C3033" s="112"/>
      <c r="D3033" s="112"/>
      <c r="E3033" s="113"/>
      <c r="F3033" s="113"/>
      <c r="G3033" s="112"/>
      <c r="H3033" s="112"/>
      <c r="Z3033" s="112"/>
      <c r="AA3033" s="112"/>
    </row>
    <row r="3034" spans="3:27" x14ac:dyDescent="0.25">
      <c r="C3034" s="112"/>
      <c r="D3034" s="112"/>
      <c r="E3034" s="113"/>
      <c r="F3034" s="113"/>
      <c r="G3034" s="112"/>
      <c r="H3034" s="112"/>
      <c r="Z3034" s="112"/>
      <c r="AA3034" s="112"/>
    </row>
    <row r="3035" spans="3:27" x14ac:dyDescent="0.25">
      <c r="C3035" s="112"/>
      <c r="D3035" s="112"/>
      <c r="E3035" s="113"/>
      <c r="F3035" s="113"/>
      <c r="G3035" s="112"/>
      <c r="H3035" s="112"/>
      <c r="Z3035" s="112"/>
      <c r="AA3035" s="112"/>
    </row>
    <row r="3036" spans="3:27" x14ac:dyDescent="0.25">
      <c r="C3036" s="112"/>
      <c r="D3036" s="112"/>
      <c r="E3036" s="113"/>
      <c r="F3036" s="113"/>
      <c r="G3036" s="112"/>
      <c r="H3036" s="112"/>
      <c r="Z3036" s="112"/>
      <c r="AA3036" s="112"/>
    </row>
    <row r="3037" spans="3:27" x14ac:dyDescent="0.25">
      <c r="C3037" s="112"/>
      <c r="D3037" s="112"/>
      <c r="E3037" s="113"/>
      <c r="F3037" s="113"/>
      <c r="G3037" s="112"/>
      <c r="H3037" s="112"/>
      <c r="Z3037" s="112"/>
      <c r="AA3037" s="112"/>
    </row>
    <row r="3038" spans="3:27" x14ac:dyDescent="0.25">
      <c r="C3038" s="112"/>
      <c r="D3038" s="112"/>
      <c r="E3038" s="113"/>
      <c r="F3038" s="113"/>
      <c r="G3038" s="112"/>
      <c r="H3038" s="112"/>
      <c r="Z3038" s="112"/>
      <c r="AA3038" s="112"/>
    </row>
    <row r="3039" spans="3:27" x14ac:dyDescent="0.25">
      <c r="C3039" s="112"/>
      <c r="D3039" s="112"/>
      <c r="E3039" s="113"/>
      <c r="F3039" s="113"/>
      <c r="G3039" s="112"/>
      <c r="H3039" s="112"/>
      <c r="Z3039" s="112"/>
      <c r="AA3039" s="112"/>
    </row>
    <row r="3040" spans="3:27" x14ac:dyDescent="0.25">
      <c r="C3040" s="112"/>
      <c r="D3040" s="112"/>
      <c r="E3040" s="113"/>
      <c r="F3040" s="113"/>
      <c r="G3040" s="112"/>
      <c r="H3040" s="112"/>
      <c r="Z3040" s="112"/>
      <c r="AA3040" s="112"/>
    </row>
    <row r="3041" spans="3:27" x14ac:dyDescent="0.25">
      <c r="C3041" s="112"/>
      <c r="D3041" s="112"/>
      <c r="E3041" s="113"/>
      <c r="F3041" s="113"/>
      <c r="G3041" s="112"/>
      <c r="H3041" s="112"/>
      <c r="Z3041" s="112"/>
      <c r="AA3041" s="112"/>
    </row>
    <row r="3042" spans="3:27" x14ac:dyDescent="0.25">
      <c r="C3042" s="112"/>
      <c r="D3042" s="112"/>
      <c r="E3042" s="113"/>
      <c r="F3042" s="113"/>
      <c r="G3042" s="112"/>
      <c r="H3042" s="112"/>
      <c r="Z3042" s="112"/>
      <c r="AA3042" s="112"/>
    </row>
    <row r="3043" spans="3:27" x14ac:dyDescent="0.25">
      <c r="C3043" s="112"/>
      <c r="D3043" s="112"/>
      <c r="E3043" s="113"/>
      <c r="F3043" s="113"/>
      <c r="G3043" s="112"/>
      <c r="H3043" s="112"/>
      <c r="Z3043" s="112"/>
      <c r="AA3043" s="112"/>
    </row>
    <row r="3044" spans="3:27" x14ac:dyDescent="0.25">
      <c r="C3044" s="112"/>
      <c r="D3044" s="112"/>
      <c r="E3044" s="113"/>
      <c r="F3044" s="113"/>
      <c r="G3044" s="112"/>
      <c r="H3044" s="112"/>
      <c r="Z3044" s="112"/>
      <c r="AA3044" s="112"/>
    </row>
    <row r="3045" spans="3:27" x14ac:dyDescent="0.25">
      <c r="C3045" s="112"/>
      <c r="D3045" s="112"/>
      <c r="E3045" s="113"/>
      <c r="F3045" s="113"/>
      <c r="G3045" s="112"/>
      <c r="H3045" s="112"/>
      <c r="Z3045" s="112"/>
      <c r="AA3045" s="112"/>
    </row>
    <row r="3046" spans="3:27" x14ac:dyDescent="0.25">
      <c r="C3046" s="112"/>
      <c r="D3046" s="112"/>
      <c r="E3046" s="113"/>
      <c r="F3046" s="113"/>
      <c r="G3046" s="112"/>
      <c r="H3046" s="112"/>
      <c r="Z3046" s="112"/>
      <c r="AA3046" s="112"/>
    </row>
    <row r="3047" spans="3:27" x14ac:dyDescent="0.25">
      <c r="C3047" s="112"/>
      <c r="D3047" s="112"/>
      <c r="E3047" s="113"/>
      <c r="F3047" s="113"/>
      <c r="G3047" s="112"/>
      <c r="H3047" s="112"/>
      <c r="Z3047" s="112"/>
      <c r="AA3047" s="112"/>
    </row>
    <row r="3048" spans="3:27" x14ac:dyDescent="0.25">
      <c r="C3048" s="112"/>
      <c r="D3048" s="112"/>
      <c r="E3048" s="113"/>
      <c r="F3048" s="113"/>
      <c r="G3048" s="112"/>
      <c r="H3048" s="112"/>
      <c r="Z3048" s="112"/>
      <c r="AA3048" s="112"/>
    </row>
    <row r="3049" spans="3:27" x14ac:dyDescent="0.25">
      <c r="C3049" s="112"/>
      <c r="D3049" s="112"/>
      <c r="E3049" s="113"/>
      <c r="F3049" s="113"/>
      <c r="G3049" s="112"/>
      <c r="H3049" s="112"/>
      <c r="Z3049" s="112"/>
      <c r="AA3049" s="112"/>
    </row>
    <row r="3050" spans="3:27" x14ac:dyDescent="0.25">
      <c r="C3050" s="112"/>
      <c r="D3050" s="112"/>
      <c r="E3050" s="113"/>
      <c r="F3050" s="113"/>
      <c r="G3050" s="112"/>
      <c r="H3050" s="112"/>
      <c r="Z3050" s="112"/>
      <c r="AA3050" s="112"/>
    </row>
    <row r="3051" spans="3:27" x14ac:dyDescent="0.25">
      <c r="C3051" s="112"/>
      <c r="D3051" s="112"/>
      <c r="E3051" s="113"/>
      <c r="F3051" s="113"/>
      <c r="G3051" s="112"/>
      <c r="H3051" s="112"/>
      <c r="Z3051" s="112"/>
      <c r="AA3051" s="112"/>
    </row>
    <row r="3052" spans="3:27" x14ac:dyDescent="0.25">
      <c r="C3052" s="112"/>
      <c r="D3052" s="112"/>
      <c r="E3052" s="113"/>
      <c r="F3052" s="113"/>
      <c r="G3052" s="112"/>
      <c r="H3052" s="112"/>
      <c r="Z3052" s="112"/>
      <c r="AA3052" s="112"/>
    </row>
    <row r="3053" spans="3:27" x14ac:dyDescent="0.25">
      <c r="C3053" s="112"/>
      <c r="D3053" s="112"/>
      <c r="E3053" s="113"/>
      <c r="F3053" s="113"/>
      <c r="G3053" s="112"/>
      <c r="H3053" s="112"/>
      <c r="Z3053" s="112"/>
      <c r="AA3053" s="112"/>
    </row>
    <row r="3054" spans="3:27" x14ac:dyDescent="0.25">
      <c r="C3054" s="112"/>
      <c r="D3054" s="112"/>
      <c r="E3054" s="113"/>
      <c r="F3054" s="113"/>
      <c r="G3054" s="112"/>
      <c r="H3054" s="112"/>
      <c r="Z3054" s="112"/>
      <c r="AA3054" s="112"/>
    </row>
    <row r="3055" spans="3:27" x14ac:dyDescent="0.25">
      <c r="C3055" s="112"/>
      <c r="D3055" s="112"/>
      <c r="E3055" s="113"/>
      <c r="F3055" s="113"/>
      <c r="G3055" s="112"/>
      <c r="H3055" s="112"/>
      <c r="Z3055" s="112"/>
      <c r="AA3055" s="112"/>
    </row>
    <row r="3056" spans="3:27" x14ac:dyDescent="0.25">
      <c r="C3056" s="112"/>
      <c r="D3056" s="112"/>
      <c r="E3056" s="113"/>
      <c r="F3056" s="113"/>
      <c r="G3056" s="112"/>
      <c r="H3056" s="112"/>
      <c r="Z3056" s="112"/>
      <c r="AA3056" s="112"/>
    </row>
    <row r="3057" spans="3:27" x14ac:dyDescent="0.25">
      <c r="C3057" s="112"/>
      <c r="D3057" s="112"/>
      <c r="E3057" s="113"/>
      <c r="F3057" s="113"/>
      <c r="G3057" s="112"/>
      <c r="H3057" s="112"/>
      <c r="Z3057" s="112"/>
      <c r="AA3057" s="112"/>
    </row>
    <row r="3058" spans="3:27" x14ac:dyDescent="0.25">
      <c r="C3058" s="112"/>
      <c r="D3058" s="112"/>
      <c r="E3058" s="113"/>
      <c r="F3058" s="113"/>
      <c r="G3058" s="112"/>
      <c r="H3058" s="112"/>
      <c r="Z3058" s="112"/>
      <c r="AA3058" s="112"/>
    </row>
    <row r="3059" spans="3:27" x14ac:dyDescent="0.25">
      <c r="C3059" s="112"/>
      <c r="D3059" s="112"/>
      <c r="E3059" s="113"/>
      <c r="F3059" s="113"/>
      <c r="G3059" s="112"/>
      <c r="H3059" s="112"/>
      <c r="Z3059" s="112"/>
      <c r="AA3059" s="112"/>
    </row>
    <row r="3060" spans="3:27" x14ac:dyDescent="0.25">
      <c r="C3060" s="112"/>
      <c r="D3060" s="112"/>
      <c r="E3060" s="113"/>
      <c r="F3060" s="113"/>
      <c r="G3060" s="112"/>
      <c r="H3060" s="112"/>
      <c r="Z3060" s="112"/>
      <c r="AA3060" s="112"/>
    </row>
    <row r="3061" spans="3:27" x14ac:dyDescent="0.25">
      <c r="C3061" s="112"/>
      <c r="D3061" s="112"/>
      <c r="E3061" s="113"/>
      <c r="F3061" s="113"/>
      <c r="G3061" s="112"/>
      <c r="H3061" s="112"/>
      <c r="Z3061" s="112"/>
      <c r="AA3061" s="112"/>
    </row>
    <row r="3062" spans="3:27" x14ac:dyDescent="0.25">
      <c r="C3062" s="112"/>
      <c r="D3062" s="112"/>
      <c r="E3062" s="113"/>
      <c r="F3062" s="113"/>
      <c r="G3062" s="112"/>
      <c r="H3062" s="112"/>
      <c r="Z3062" s="112"/>
      <c r="AA3062" s="112"/>
    </row>
    <row r="3063" spans="3:27" x14ac:dyDescent="0.25">
      <c r="C3063" s="112"/>
      <c r="D3063" s="112"/>
      <c r="E3063" s="113"/>
      <c r="F3063" s="113"/>
      <c r="G3063" s="112"/>
      <c r="H3063" s="112"/>
      <c r="Z3063" s="112"/>
      <c r="AA3063" s="112"/>
    </row>
    <row r="3064" spans="3:27" x14ac:dyDescent="0.25">
      <c r="C3064" s="112"/>
      <c r="D3064" s="112"/>
      <c r="E3064" s="113"/>
      <c r="F3064" s="113"/>
      <c r="G3064" s="112"/>
      <c r="H3064" s="112"/>
      <c r="Z3064" s="112"/>
      <c r="AA3064" s="112"/>
    </row>
    <row r="3065" spans="3:27" x14ac:dyDescent="0.25">
      <c r="C3065" s="112"/>
      <c r="D3065" s="112"/>
      <c r="E3065" s="113"/>
      <c r="F3065" s="113"/>
      <c r="G3065" s="112"/>
      <c r="H3065" s="112"/>
      <c r="Z3065" s="112"/>
      <c r="AA3065" s="112"/>
    </row>
    <row r="3066" spans="3:27" x14ac:dyDescent="0.25">
      <c r="C3066" s="112"/>
      <c r="D3066" s="112"/>
      <c r="E3066" s="113"/>
      <c r="F3066" s="113"/>
      <c r="G3066" s="112"/>
      <c r="H3066" s="112"/>
      <c r="Z3066" s="112"/>
      <c r="AA3066" s="112"/>
    </row>
    <row r="3067" spans="3:27" x14ac:dyDescent="0.25">
      <c r="C3067" s="112"/>
      <c r="D3067" s="112"/>
      <c r="E3067" s="113"/>
      <c r="F3067" s="113"/>
      <c r="G3067" s="112"/>
      <c r="H3067" s="112"/>
      <c r="Z3067" s="112"/>
      <c r="AA3067" s="112"/>
    </row>
    <row r="3068" spans="3:27" x14ac:dyDescent="0.25">
      <c r="C3068" s="112"/>
      <c r="D3068" s="112"/>
      <c r="E3068" s="113"/>
      <c r="F3068" s="113"/>
      <c r="G3068" s="112"/>
      <c r="H3068" s="112"/>
      <c r="Z3068" s="112"/>
      <c r="AA3068" s="112"/>
    </row>
    <row r="3069" spans="3:27" x14ac:dyDescent="0.25">
      <c r="C3069" s="112"/>
      <c r="D3069" s="112"/>
      <c r="E3069" s="113"/>
      <c r="F3069" s="113"/>
      <c r="G3069" s="112"/>
      <c r="H3069" s="112"/>
      <c r="Z3069" s="112"/>
      <c r="AA3069" s="112"/>
    </row>
    <row r="3070" spans="3:27" x14ac:dyDescent="0.25">
      <c r="C3070" s="112"/>
      <c r="D3070" s="112"/>
      <c r="E3070" s="113"/>
      <c r="F3070" s="113"/>
      <c r="G3070" s="112"/>
      <c r="H3070" s="112"/>
      <c r="Z3070" s="112"/>
      <c r="AA3070" s="112"/>
    </row>
    <row r="3071" spans="3:27" x14ac:dyDescent="0.25">
      <c r="C3071" s="112"/>
      <c r="D3071" s="112"/>
      <c r="E3071" s="113"/>
      <c r="F3071" s="113"/>
      <c r="G3071" s="112"/>
      <c r="H3071" s="112"/>
      <c r="Z3071" s="112"/>
      <c r="AA3071" s="112"/>
    </row>
    <row r="3072" spans="3:27" x14ac:dyDescent="0.25">
      <c r="C3072" s="112"/>
      <c r="D3072" s="112"/>
      <c r="E3072" s="113"/>
      <c r="F3072" s="113"/>
      <c r="G3072" s="112"/>
      <c r="H3072" s="112"/>
      <c r="Z3072" s="112"/>
      <c r="AA3072" s="112"/>
    </row>
    <row r="3073" spans="3:27" x14ac:dyDescent="0.25">
      <c r="C3073" s="112"/>
      <c r="D3073" s="112"/>
      <c r="E3073" s="113"/>
      <c r="F3073" s="113"/>
      <c r="G3073" s="112"/>
      <c r="H3073" s="112"/>
      <c r="Z3073" s="112"/>
      <c r="AA3073" s="112"/>
    </row>
    <row r="3074" spans="3:27" x14ac:dyDescent="0.25">
      <c r="C3074" s="112"/>
      <c r="D3074" s="112"/>
      <c r="E3074" s="113"/>
      <c r="F3074" s="113"/>
      <c r="G3074" s="112"/>
      <c r="H3074" s="112"/>
      <c r="Z3074" s="112"/>
      <c r="AA3074" s="112"/>
    </row>
    <row r="3075" spans="3:27" x14ac:dyDescent="0.25">
      <c r="C3075" s="112"/>
      <c r="D3075" s="112"/>
      <c r="E3075" s="113"/>
      <c r="F3075" s="113"/>
      <c r="G3075" s="112"/>
      <c r="H3075" s="112"/>
      <c r="Z3075" s="112"/>
      <c r="AA3075" s="112"/>
    </row>
    <row r="3076" spans="3:27" x14ac:dyDescent="0.25">
      <c r="C3076" s="112"/>
      <c r="D3076" s="112"/>
      <c r="E3076" s="113"/>
      <c r="F3076" s="113"/>
      <c r="G3076" s="112"/>
      <c r="H3076" s="112"/>
      <c r="Z3076" s="112"/>
      <c r="AA3076" s="112"/>
    </row>
    <row r="3077" spans="3:27" x14ac:dyDescent="0.25">
      <c r="C3077" s="112"/>
      <c r="D3077" s="112"/>
      <c r="E3077" s="113"/>
      <c r="F3077" s="113"/>
      <c r="G3077" s="112"/>
      <c r="H3077" s="112"/>
      <c r="Z3077" s="112"/>
      <c r="AA3077" s="112"/>
    </row>
    <row r="3078" spans="3:27" x14ac:dyDescent="0.25">
      <c r="C3078" s="112"/>
      <c r="D3078" s="112"/>
      <c r="E3078" s="113"/>
      <c r="F3078" s="113"/>
      <c r="G3078" s="112"/>
      <c r="H3078" s="112"/>
      <c r="Z3078" s="112"/>
      <c r="AA3078" s="112"/>
    </row>
    <row r="3079" spans="3:27" x14ac:dyDescent="0.25">
      <c r="C3079" s="112"/>
      <c r="D3079" s="112"/>
      <c r="E3079" s="113"/>
      <c r="F3079" s="113"/>
      <c r="G3079" s="112"/>
      <c r="H3079" s="112"/>
      <c r="Z3079" s="112"/>
      <c r="AA3079" s="112"/>
    </row>
    <row r="3080" spans="3:27" x14ac:dyDescent="0.25">
      <c r="C3080" s="112"/>
      <c r="D3080" s="112"/>
      <c r="E3080" s="113"/>
      <c r="F3080" s="113"/>
      <c r="G3080" s="112"/>
      <c r="H3080" s="112"/>
      <c r="Z3080" s="112"/>
      <c r="AA3080" s="112"/>
    </row>
    <row r="3081" spans="3:27" x14ac:dyDescent="0.25">
      <c r="C3081" s="112"/>
      <c r="D3081" s="112"/>
      <c r="E3081" s="113"/>
      <c r="F3081" s="113"/>
      <c r="G3081" s="112"/>
      <c r="H3081" s="112"/>
      <c r="Z3081" s="112"/>
      <c r="AA3081" s="112"/>
    </row>
    <row r="3082" spans="3:27" x14ac:dyDescent="0.25">
      <c r="C3082" s="112"/>
      <c r="D3082" s="112"/>
      <c r="E3082" s="113"/>
      <c r="F3082" s="113"/>
      <c r="G3082" s="112"/>
      <c r="H3082" s="112"/>
      <c r="Z3082" s="112"/>
      <c r="AA3082" s="112"/>
    </row>
    <row r="3083" spans="3:27" x14ac:dyDescent="0.25">
      <c r="C3083" s="112"/>
      <c r="D3083" s="112"/>
      <c r="E3083" s="113"/>
      <c r="F3083" s="113"/>
      <c r="G3083" s="112"/>
      <c r="H3083" s="112"/>
      <c r="Z3083" s="112"/>
      <c r="AA3083" s="112"/>
    </row>
    <row r="3084" spans="3:27" x14ac:dyDescent="0.25">
      <c r="C3084" s="112"/>
      <c r="D3084" s="112"/>
      <c r="E3084" s="113"/>
      <c r="F3084" s="113"/>
      <c r="G3084" s="112"/>
      <c r="H3084" s="112"/>
      <c r="Z3084" s="112"/>
      <c r="AA3084" s="112"/>
    </row>
    <row r="3085" spans="3:27" x14ac:dyDescent="0.25">
      <c r="C3085" s="112"/>
      <c r="D3085" s="112"/>
      <c r="E3085" s="113"/>
      <c r="F3085" s="113"/>
      <c r="G3085" s="112"/>
      <c r="H3085" s="112"/>
      <c r="Z3085" s="112"/>
      <c r="AA3085" s="112"/>
    </row>
    <row r="3086" spans="3:27" x14ac:dyDescent="0.25">
      <c r="C3086" s="112"/>
      <c r="D3086" s="112"/>
      <c r="E3086" s="113"/>
      <c r="F3086" s="113"/>
      <c r="G3086" s="112"/>
      <c r="H3086" s="112"/>
      <c r="Z3086" s="112"/>
      <c r="AA3086" s="112"/>
    </row>
    <row r="3087" spans="3:27" x14ac:dyDescent="0.25">
      <c r="C3087" s="112"/>
      <c r="D3087" s="112"/>
      <c r="E3087" s="113"/>
      <c r="F3087" s="113"/>
      <c r="G3087" s="112"/>
      <c r="H3087" s="112"/>
      <c r="Z3087" s="112"/>
      <c r="AA3087" s="112"/>
    </row>
    <row r="3088" spans="3:27" x14ac:dyDescent="0.25">
      <c r="C3088" s="112"/>
      <c r="D3088" s="112"/>
      <c r="E3088" s="113"/>
      <c r="F3088" s="113"/>
      <c r="G3088" s="112"/>
      <c r="H3088" s="112"/>
      <c r="Z3088" s="112"/>
      <c r="AA3088" s="112"/>
    </row>
    <row r="3089" spans="3:27" x14ac:dyDescent="0.25">
      <c r="C3089" s="112"/>
      <c r="D3089" s="112"/>
      <c r="E3089" s="113"/>
      <c r="F3089" s="113"/>
      <c r="G3089" s="112"/>
      <c r="H3089" s="112"/>
      <c r="Z3089" s="112"/>
      <c r="AA3089" s="112"/>
    </row>
    <row r="3090" spans="3:27" x14ac:dyDescent="0.25">
      <c r="C3090" s="112"/>
      <c r="D3090" s="112"/>
      <c r="E3090" s="113"/>
      <c r="F3090" s="113"/>
      <c r="G3090" s="112"/>
      <c r="H3090" s="112"/>
      <c r="Z3090" s="112"/>
      <c r="AA3090" s="112"/>
    </row>
    <row r="3091" spans="3:27" x14ac:dyDescent="0.25">
      <c r="C3091" s="112"/>
      <c r="D3091" s="112"/>
      <c r="E3091" s="113"/>
      <c r="F3091" s="113"/>
      <c r="G3091" s="112"/>
      <c r="H3091" s="112"/>
      <c r="Z3091" s="112"/>
      <c r="AA3091" s="112"/>
    </row>
    <row r="3092" spans="3:27" x14ac:dyDescent="0.25">
      <c r="C3092" s="112"/>
      <c r="D3092" s="112"/>
      <c r="E3092" s="113"/>
      <c r="F3092" s="113"/>
      <c r="G3092" s="112"/>
      <c r="H3092" s="112"/>
      <c r="Z3092" s="112"/>
      <c r="AA3092" s="112"/>
    </row>
    <row r="3093" spans="3:27" x14ac:dyDescent="0.25">
      <c r="C3093" s="112"/>
      <c r="D3093" s="112"/>
      <c r="E3093" s="113"/>
      <c r="F3093" s="113"/>
      <c r="G3093" s="112"/>
      <c r="H3093" s="112"/>
      <c r="Z3093" s="112"/>
      <c r="AA3093" s="112"/>
    </row>
    <row r="3094" spans="3:27" x14ac:dyDescent="0.25">
      <c r="C3094" s="112"/>
      <c r="D3094" s="112"/>
      <c r="E3094" s="113"/>
      <c r="F3094" s="113"/>
      <c r="G3094" s="112"/>
      <c r="H3094" s="112"/>
      <c r="Z3094" s="112"/>
      <c r="AA3094" s="112"/>
    </row>
    <row r="3095" spans="3:27" x14ac:dyDescent="0.25">
      <c r="C3095" s="112"/>
      <c r="D3095" s="112"/>
      <c r="E3095" s="113"/>
      <c r="F3095" s="113"/>
      <c r="G3095" s="112"/>
      <c r="H3095" s="112"/>
      <c r="Z3095" s="112"/>
      <c r="AA3095" s="112"/>
    </row>
    <row r="3096" spans="3:27" x14ac:dyDescent="0.25">
      <c r="C3096" s="112"/>
      <c r="D3096" s="112"/>
      <c r="E3096" s="113"/>
      <c r="F3096" s="113"/>
      <c r="G3096" s="112"/>
      <c r="H3096" s="112"/>
      <c r="Z3096" s="112"/>
      <c r="AA3096" s="112"/>
    </row>
    <row r="3097" spans="3:27" x14ac:dyDescent="0.25">
      <c r="C3097" s="112"/>
      <c r="D3097" s="112"/>
      <c r="E3097" s="113"/>
      <c r="F3097" s="113"/>
      <c r="G3097" s="112"/>
      <c r="H3097" s="112"/>
      <c r="Z3097" s="112"/>
      <c r="AA3097" s="112"/>
    </row>
    <row r="3098" spans="3:27" x14ac:dyDescent="0.25">
      <c r="C3098" s="112"/>
      <c r="D3098" s="112"/>
      <c r="E3098" s="113"/>
      <c r="F3098" s="113"/>
      <c r="G3098" s="112"/>
      <c r="H3098" s="112"/>
      <c r="Z3098" s="112"/>
      <c r="AA3098" s="112"/>
    </row>
    <row r="3099" spans="3:27" x14ac:dyDescent="0.25">
      <c r="C3099" s="112"/>
      <c r="D3099" s="112"/>
      <c r="E3099" s="113"/>
      <c r="F3099" s="113"/>
      <c r="G3099" s="112"/>
      <c r="H3099" s="112"/>
      <c r="Z3099" s="112"/>
      <c r="AA3099" s="112"/>
    </row>
    <row r="3100" spans="3:27" x14ac:dyDescent="0.25">
      <c r="C3100" s="112"/>
      <c r="D3100" s="112"/>
      <c r="E3100" s="113"/>
      <c r="F3100" s="113"/>
      <c r="G3100" s="112"/>
      <c r="H3100" s="112"/>
      <c r="Z3100" s="112"/>
      <c r="AA3100" s="112"/>
    </row>
    <row r="3101" spans="3:27" x14ac:dyDescent="0.25">
      <c r="C3101" s="112"/>
      <c r="D3101" s="112"/>
      <c r="E3101" s="113"/>
      <c r="F3101" s="113"/>
      <c r="G3101" s="112"/>
      <c r="H3101" s="112"/>
      <c r="Z3101" s="112"/>
      <c r="AA3101" s="112"/>
    </row>
    <row r="3102" spans="3:27" x14ac:dyDescent="0.25">
      <c r="C3102" s="112"/>
      <c r="D3102" s="112"/>
      <c r="E3102" s="113"/>
      <c r="F3102" s="113"/>
      <c r="G3102" s="112"/>
      <c r="H3102" s="112"/>
      <c r="Z3102" s="112"/>
      <c r="AA3102" s="112"/>
    </row>
    <row r="3103" spans="3:27" x14ac:dyDescent="0.25">
      <c r="C3103" s="112"/>
      <c r="D3103" s="112"/>
      <c r="E3103" s="113"/>
      <c r="F3103" s="113"/>
      <c r="G3103" s="112"/>
      <c r="H3103" s="112"/>
      <c r="Z3103" s="112"/>
      <c r="AA3103" s="112"/>
    </row>
    <row r="3104" spans="3:27" x14ac:dyDescent="0.25">
      <c r="C3104" s="112"/>
      <c r="D3104" s="112"/>
      <c r="E3104" s="113"/>
      <c r="F3104" s="113"/>
      <c r="G3104" s="112"/>
      <c r="H3104" s="112"/>
      <c r="Z3104" s="112"/>
      <c r="AA3104" s="112"/>
    </row>
    <row r="3105" spans="3:27" x14ac:dyDescent="0.25">
      <c r="C3105" s="112"/>
      <c r="D3105" s="112"/>
      <c r="E3105" s="113"/>
      <c r="F3105" s="113"/>
      <c r="G3105" s="112"/>
      <c r="H3105" s="112"/>
      <c r="Z3105" s="112"/>
      <c r="AA3105" s="112"/>
    </row>
    <row r="3106" spans="3:27" x14ac:dyDescent="0.25">
      <c r="C3106" s="112"/>
      <c r="D3106" s="112"/>
      <c r="E3106" s="113"/>
      <c r="F3106" s="113"/>
      <c r="G3106" s="112"/>
      <c r="H3106" s="112"/>
      <c r="Z3106" s="112"/>
      <c r="AA3106" s="112"/>
    </row>
    <row r="3107" spans="3:27" x14ac:dyDescent="0.25">
      <c r="C3107" s="112"/>
      <c r="D3107" s="112"/>
      <c r="E3107" s="113"/>
      <c r="F3107" s="113"/>
      <c r="G3107" s="112"/>
      <c r="H3107" s="112"/>
      <c r="Z3107" s="112"/>
      <c r="AA3107" s="112"/>
    </row>
    <row r="3108" spans="3:27" x14ac:dyDescent="0.25">
      <c r="C3108" s="112"/>
      <c r="D3108" s="112"/>
      <c r="E3108" s="113"/>
      <c r="F3108" s="113"/>
      <c r="G3108" s="112"/>
      <c r="H3108" s="112"/>
      <c r="Z3108" s="112"/>
      <c r="AA3108" s="112"/>
    </row>
    <row r="3109" spans="3:27" x14ac:dyDescent="0.25">
      <c r="C3109" s="112"/>
      <c r="D3109" s="112"/>
      <c r="E3109" s="113"/>
      <c r="F3109" s="113"/>
      <c r="G3109" s="112"/>
      <c r="H3109" s="112"/>
      <c r="Z3109" s="112"/>
      <c r="AA3109" s="112"/>
    </row>
    <row r="3110" spans="3:27" x14ac:dyDescent="0.25">
      <c r="C3110" s="112"/>
      <c r="D3110" s="112"/>
      <c r="E3110" s="113"/>
      <c r="F3110" s="113"/>
      <c r="G3110" s="112"/>
      <c r="H3110" s="112"/>
      <c r="Z3110" s="112"/>
      <c r="AA3110" s="112"/>
    </row>
    <row r="3111" spans="3:27" x14ac:dyDescent="0.25">
      <c r="C3111" s="112"/>
      <c r="D3111" s="112"/>
      <c r="E3111" s="113"/>
      <c r="F3111" s="113"/>
      <c r="G3111" s="112"/>
      <c r="H3111" s="112"/>
      <c r="Z3111" s="112"/>
      <c r="AA3111" s="112"/>
    </row>
    <row r="3112" spans="3:27" x14ac:dyDescent="0.25">
      <c r="C3112" s="112"/>
      <c r="D3112" s="112"/>
      <c r="E3112" s="113"/>
      <c r="F3112" s="113"/>
      <c r="G3112" s="112"/>
      <c r="H3112" s="112"/>
      <c r="Z3112" s="112"/>
      <c r="AA3112" s="112"/>
    </row>
    <row r="3113" spans="3:27" x14ac:dyDescent="0.25">
      <c r="C3113" s="112"/>
      <c r="D3113" s="112"/>
      <c r="E3113" s="113"/>
      <c r="F3113" s="113"/>
      <c r="G3113" s="112"/>
      <c r="H3113" s="112"/>
      <c r="Z3113" s="112"/>
      <c r="AA3113" s="112"/>
    </row>
    <row r="3114" spans="3:27" x14ac:dyDescent="0.25">
      <c r="C3114" s="112"/>
      <c r="D3114" s="112"/>
      <c r="E3114" s="113"/>
      <c r="F3114" s="113"/>
      <c r="G3114" s="112"/>
      <c r="H3114" s="112"/>
      <c r="Z3114" s="112"/>
      <c r="AA3114" s="112"/>
    </row>
    <row r="3115" spans="3:27" x14ac:dyDescent="0.25">
      <c r="C3115" s="112"/>
      <c r="D3115" s="112"/>
      <c r="E3115" s="113"/>
      <c r="F3115" s="113"/>
      <c r="G3115" s="112"/>
      <c r="H3115" s="112"/>
      <c r="Z3115" s="112"/>
      <c r="AA3115" s="112"/>
    </row>
    <row r="3116" spans="3:27" x14ac:dyDescent="0.25">
      <c r="C3116" s="112"/>
      <c r="D3116" s="112"/>
      <c r="E3116" s="113"/>
      <c r="F3116" s="113"/>
      <c r="G3116" s="112"/>
      <c r="H3116" s="112"/>
      <c r="Z3116" s="112"/>
      <c r="AA3116" s="112"/>
    </row>
    <row r="3117" spans="3:27" x14ac:dyDescent="0.25">
      <c r="C3117" s="112"/>
      <c r="D3117" s="112"/>
      <c r="E3117" s="113"/>
      <c r="F3117" s="113"/>
      <c r="G3117" s="112"/>
      <c r="H3117" s="112"/>
      <c r="Z3117" s="112"/>
      <c r="AA3117" s="112"/>
    </row>
    <row r="3118" spans="3:27" x14ac:dyDescent="0.25">
      <c r="C3118" s="112"/>
      <c r="D3118" s="112"/>
      <c r="E3118" s="113"/>
      <c r="F3118" s="113"/>
      <c r="G3118" s="112"/>
      <c r="H3118" s="112"/>
      <c r="Z3118" s="112"/>
      <c r="AA3118" s="112"/>
    </row>
    <row r="3119" spans="3:27" x14ac:dyDescent="0.25">
      <c r="C3119" s="112"/>
      <c r="D3119" s="112"/>
      <c r="E3119" s="113"/>
      <c r="F3119" s="113"/>
      <c r="G3119" s="112"/>
      <c r="H3119" s="112"/>
      <c r="Z3119" s="112"/>
      <c r="AA3119" s="112"/>
    </row>
    <row r="3120" spans="3:27" x14ac:dyDescent="0.25">
      <c r="C3120" s="112"/>
      <c r="D3120" s="112"/>
      <c r="E3120" s="113"/>
      <c r="F3120" s="113"/>
      <c r="G3120" s="112"/>
      <c r="H3120" s="112"/>
      <c r="Z3120" s="112"/>
      <c r="AA3120" s="112"/>
    </row>
    <row r="3121" spans="3:27" x14ac:dyDescent="0.25">
      <c r="C3121" s="112"/>
      <c r="D3121" s="112"/>
      <c r="E3121" s="113"/>
      <c r="F3121" s="113"/>
      <c r="G3121" s="112"/>
      <c r="H3121" s="112"/>
      <c r="Z3121" s="112"/>
      <c r="AA3121" s="112"/>
    </row>
    <row r="3122" spans="3:27" x14ac:dyDescent="0.25">
      <c r="C3122" s="112"/>
      <c r="D3122" s="112"/>
      <c r="E3122" s="113"/>
      <c r="F3122" s="113"/>
      <c r="G3122" s="112"/>
      <c r="H3122" s="112"/>
      <c r="Z3122" s="112"/>
      <c r="AA3122" s="112"/>
    </row>
    <row r="3123" spans="3:27" x14ac:dyDescent="0.25">
      <c r="C3123" s="112"/>
      <c r="D3123" s="112"/>
      <c r="E3123" s="113"/>
      <c r="F3123" s="113"/>
      <c r="G3123" s="112"/>
      <c r="H3123" s="112"/>
      <c r="Z3123" s="112"/>
      <c r="AA3123" s="112"/>
    </row>
    <row r="3124" spans="3:27" x14ac:dyDescent="0.25">
      <c r="C3124" s="112"/>
      <c r="D3124" s="112"/>
      <c r="E3124" s="113"/>
      <c r="F3124" s="113"/>
      <c r="G3124" s="112"/>
      <c r="H3124" s="112"/>
      <c r="Z3124" s="112"/>
      <c r="AA3124" s="112"/>
    </row>
    <row r="3125" spans="3:27" x14ac:dyDescent="0.25">
      <c r="C3125" s="112"/>
      <c r="D3125" s="112"/>
      <c r="E3125" s="113"/>
      <c r="F3125" s="113"/>
      <c r="G3125" s="112"/>
      <c r="H3125" s="112"/>
      <c r="Z3125" s="112"/>
      <c r="AA3125" s="112"/>
    </row>
    <row r="3126" spans="3:27" x14ac:dyDescent="0.25">
      <c r="C3126" s="112"/>
      <c r="D3126" s="112"/>
      <c r="E3126" s="113"/>
      <c r="F3126" s="113"/>
      <c r="G3126" s="112"/>
      <c r="H3126" s="112"/>
      <c r="Z3126" s="112"/>
      <c r="AA3126" s="112"/>
    </row>
    <row r="3127" spans="3:27" x14ac:dyDescent="0.25">
      <c r="C3127" s="112"/>
      <c r="D3127" s="112"/>
      <c r="E3127" s="113"/>
      <c r="F3127" s="113"/>
      <c r="G3127" s="112"/>
      <c r="H3127" s="112"/>
      <c r="Z3127" s="112"/>
      <c r="AA3127" s="112"/>
    </row>
    <row r="3128" spans="3:27" x14ac:dyDescent="0.25">
      <c r="C3128" s="112"/>
      <c r="D3128" s="112"/>
      <c r="E3128" s="113"/>
      <c r="F3128" s="113"/>
      <c r="G3128" s="112"/>
      <c r="H3128" s="112"/>
      <c r="Z3128" s="112"/>
      <c r="AA3128" s="112"/>
    </row>
    <row r="3129" spans="3:27" x14ac:dyDescent="0.25">
      <c r="C3129" s="112"/>
      <c r="D3129" s="112"/>
      <c r="E3129" s="113"/>
      <c r="F3129" s="113"/>
      <c r="G3129" s="112"/>
      <c r="H3129" s="112"/>
      <c r="Z3129" s="112"/>
      <c r="AA3129" s="112"/>
    </row>
    <row r="3130" spans="3:27" x14ac:dyDescent="0.25">
      <c r="C3130" s="112"/>
      <c r="D3130" s="112"/>
      <c r="E3130" s="113"/>
      <c r="F3130" s="113"/>
      <c r="G3130" s="112"/>
      <c r="H3130" s="112"/>
      <c r="Z3130" s="112"/>
      <c r="AA3130" s="112"/>
    </row>
    <row r="3131" spans="3:27" x14ac:dyDescent="0.25">
      <c r="C3131" s="112"/>
      <c r="D3131" s="112"/>
      <c r="E3131" s="113"/>
      <c r="F3131" s="113"/>
      <c r="G3131" s="112"/>
      <c r="H3131" s="112"/>
      <c r="Z3131" s="112"/>
      <c r="AA3131" s="112"/>
    </row>
    <row r="3132" spans="3:27" x14ac:dyDescent="0.25">
      <c r="C3132" s="112"/>
      <c r="D3132" s="112"/>
      <c r="E3132" s="113"/>
      <c r="F3132" s="113"/>
      <c r="G3132" s="112"/>
      <c r="H3132" s="112"/>
      <c r="Z3132" s="112"/>
      <c r="AA3132" s="112"/>
    </row>
    <row r="3133" spans="3:27" x14ac:dyDescent="0.25">
      <c r="C3133" s="112"/>
      <c r="D3133" s="112"/>
      <c r="E3133" s="113"/>
      <c r="F3133" s="113"/>
      <c r="G3133" s="112"/>
      <c r="H3133" s="112"/>
      <c r="Z3133" s="112"/>
      <c r="AA3133" s="112"/>
    </row>
    <row r="3134" spans="3:27" x14ac:dyDescent="0.25">
      <c r="C3134" s="112"/>
      <c r="D3134" s="112"/>
      <c r="E3134" s="113"/>
      <c r="F3134" s="113"/>
      <c r="G3134" s="112"/>
      <c r="H3134" s="112"/>
      <c r="Z3134" s="112"/>
      <c r="AA3134" s="112"/>
    </row>
    <row r="3135" spans="3:27" x14ac:dyDescent="0.25">
      <c r="C3135" s="112"/>
      <c r="D3135" s="112"/>
      <c r="E3135" s="113"/>
      <c r="F3135" s="113"/>
      <c r="G3135" s="112"/>
      <c r="H3135" s="112"/>
      <c r="Z3135" s="112"/>
      <c r="AA3135" s="112"/>
    </row>
    <row r="3136" spans="3:27" x14ac:dyDescent="0.25">
      <c r="C3136" s="112"/>
      <c r="D3136" s="112"/>
      <c r="E3136" s="113"/>
      <c r="F3136" s="113"/>
      <c r="G3136" s="112"/>
      <c r="H3136" s="112"/>
      <c r="Z3136" s="112"/>
      <c r="AA3136" s="112"/>
    </row>
    <row r="3137" spans="3:27" x14ac:dyDescent="0.25">
      <c r="C3137" s="112"/>
      <c r="D3137" s="112"/>
      <c r="E3137" s="113"/>
      <c r="F3137" s="113"/>
      <c r="G3137" s="112"/>
      <c r="H3137" s="112"/>
      <c r="Z3137" s="112"/>
      <c r="AA3137" s="112"/>
    </row>
    <row r="3138" spans="3:27" x14ac:dyDescent="0.25">
      <c r="C3138" s="112"/>
      <c r="D3138" s="112"/>
      <c r="E3138" s="113"/>
      <c r="F3138" s="113"/>
      <c r="G3138" s="112"/>
      <c r="H3138" s="112"/>
      <c r="Z3138" s="112"/>
      <c r="AA3138" s="112"/>
    </row>
    <row r="3139" spans="3:27" x14ac:dyDescent="0.25">
      <c r="C3139" s="112"/>
      <c r="D3139" s="112"/>
      <c r="E3139" s="113"/>
      <c r="F3139" s="113"/>
      <c r="G3139" s="112"/>
      <c r="H3139" s="112"/>
      <c r="Z3139" s="112"/>
      <c r="AA3139" s="112"/>
    </row>
    <row r="3140" spans="3:27" x14ac:dyDescent="0.25">
      <c r="C3140" s="112"/>
      <c r="D3140" s="112"/>
      <c r="E3140" s="113"/>
      <c r="F3140" s="113"/>
      <c r="G3140" s="112"/>
      <c r="H3140" s="112"/>
      <c r="Z3140" s="112"/>
      <c r="AA3140" s="112"/>
    </row>
    <row r="3141" spans="3:27" x14ac:dyDescent="0.25">
      <c r="C3141" s="112"/>
      <c r="D3141" s="112"/>
      <c r="E3141" s="113"/>
      <c r="F3141" s="113"/>
      <c r="G3141" s="112"/>
      <c r="H3141" s="112"/>
      <c r="Z3141" s="112"/>
      <c r="AA3141" s="112"/>
    </row>
    <row r="3142" spans="3:27" x14ac:dyDescent="0.25">
      <c r="C3142" s="112"/>
      <c r="D3142" s="112"/>
      <c r="E3142" s="113"/>
      <c r="F3142" s="113"/>
      <c r="G3142" s="112"/>
      <c r="H3142" s="112"/>
      <c r="Z3142" s="112"/>
      <c r="AA3142" s="112"/>
    </row>
    <row r="3143" spans="3:27" x14ac:dyDescent="0.25">
      <c r="C3143" s="112"/>
      <c r="D3143" s="112"/>
      <c r="E3143" s="113"/>
      <c r="F3143" s="113"/>
      <c r="G3143" s="112"/>
      <c r="H3143" s="112"/>
      <c r="Z3143" s="112"/>
      <c r="AA3143" s="112"/>
    </row>
    <row r="3144" spans="3:27" x14ac:dyDescent="0.25">
      <c r="C3144" s="112"/>
      <c r="D3144" s="112"/>
      <c r="E3144" s="113"/>
      <c r="F3144" s="113"/>
      <c r="G3144" s="112"/>
      <c r="H3144" s="112"/>
      <c r="Z3144" s="112"/>
      <c r="AA3144" s="112"/>
    </row>
    <row r="3145" spans="3:27" x14ac:dyDescent="0.25">
      <c r="C3145" s="112"/>
      <c r="D3145" s="112"/>
      <c r="E3145" s="113"/>
      <c r="F3145" s="113"/>
      <c r="G3145" s="112"/>
      <c r="H3145" s="112"/>
      <c r="Z3145" s="112"/>
      <c r="AA3145" s="112"/>
    </row>
    <row r="3146" spans="3:27" x14ac:dyDescent="0.25">
      <c r="C3146" s="112"/>
      <c r="D3146" s="112"/>
      <c r="E3146" s="113"/>
      <c r="F3146" s="113"/>
      <c r="G3146" s="112"/>
      <c r="H3146" s="112"/>
      <c r="Z3146" s="112"/>
      <c r="AA3146" s="112"/>
    </row>
    <row r="3147" spans="3:27" x14ac:dyDescent="0.25">
      <c r="C3147" s="112"/>
      <c r="D3147" s="112"/>
      <c r="E3147" s="113"/>
      <c r="F3147" s="113"/>
      <c r="G3147" s="112"/>
      <c r="H3147" s="112"/>
      <c r="Z3147" s="112"/>
      <c r="AA3147" s="112"/>
    </row>
    <row r="3148" spans="3:27" x14ac:dyDescent="0.25">
      <c r="C3148" s="112"/>
      <c r="D3148" s="112"/>
      <c r="E3148" s="113"/>
      <c r="F3148" s="113"/>
      <c r="G3148" s="112"/>
      <c r="H3148" s="112"/>
      <c r="Z3148" s="112"/>
      <c r="AA3148" s="112"/>
    </row>
    <row r="3149" spans="3:27" x14ac:dyDescent="0.25">
      <c r="C3149" s="112"/>
      <c r="D3149" s="112"/>
      <c r="E3149" s="113"/>
      <c r="F3149" s="113"/>
      <c r="G3149" s="112"/>
      <c r="H3149" s="112"/>
      <c r="Z3149" s="112"/>
      <c r="AA3149" s="112"/>
    </row>
    <row r="3150" spans="3:27" x14ac:dyDescent="0.25">
      <c r="C3150" s="112"/>
      <c r="D3150" s="112"/>
      <c r="E3150" s="113"/>
      <c r="F3150" s="113"/>
      <c r="G3150" s="112"/>
      <c r="H3150" s="112"/>
      <c r="Z3150" s="112"/>
      <c r="AA3150" s="112"/>
    </row>
    <row r="3151" spans="3:27" x14ac:dyDescent="0.25">
      <c r="C3151" s="112"/>
      <c r="D3151" s="112"/>
      <c r="E3151" s="113"/>
      <c r="F3151" s="113"/>
      <c r="G3151" s="112"/>
      <c r="H3151" s="112"/>
      <c r="Z3151" s="112"/>
      <c r="AA3151" s="112"/>
    </row>
    <row r="3152" spans="3:27" x14ac:dyDescent="0.25">
      <c r="C3152" s="112"/>
      <c r="D3152" s="112"/>
      <c r="E3152" s="113"/>
      <c r="F3152" s="113"/>
      <c r="G3152" s="112"/>
      <c r="H3152" s="112"/>
      <c r="Z3152" s="112"/>
      <c r="AA3152" s="112"/>
    </row>
    <row r="3153" spans="3:27" x14ac:dyDescent="0.25">
      <c r="C3153" s="112"/>
      <c r="D3153" s="112"/>
      <c r="E3153" s="113"/>
      <c r="F3153" s="113"/>
      <c r="G3153" s="112"/>
      <c r="H3153" s="112"/>
      <c r="Z3153" s="112"/>
      <c r="AA3153" s="112"/>
    </row>
    <row r="3154" spans="3:27" x14ac:dyDescent="0.25">
      <c r="C3154" s="112"/>
      <c r="D3154" s="112"/>
      <c r="E3154" s="113"/>
      <c r="F3154" s="113"/>
      <c r="G3154" s="112"/>
      <c r="H3154" s="112"/>
      <c r="Z3154" s="112"/>
      <c r="AA3154" s="112"/>
    </row>
    <row r="3155" spans="3:27" x14ac:dyDescent="0.25">
      <c r="C3155" s="112"/>
      <c r="D3155" s="112"/>
      <c r="E3155" s="113"/>
      <c r="F3155" s="113"/>
      <c r="G3155" s="112"/>
      <c r="H3155" s="112"/>
      <c r="Z3155" s="112"/>
      <c r="AA3155" s="112"/>
    </row>
    <row r="3156" spans="3:27" x14ac:dyDescent="0.25">
      <c r="C3156" s="112"/>
      <c r="D3156" s="112"/>
      <c r="E3156" s="113"/>
      <c r="F3156" s="113"/>
      <c r="G3156" s="112"/>
      <c r="H3156" s="112"/>
      <c r="Z3156" s="112"/>
      <c r="AA3156" s="112"/>
    </row>
    <row r="3157" spans="3:27" x14ac:dyDescent="0.25">
      <c r="C3157" s="112"/>
      <c r="D3157" s="112"/>
      <c r="E3157" s="113"/>
      <c r="F3157" s="113"/>
      <c r="G3157" s="112"/>
      <c r="H3157" s="112"/>
      <c r="Z3157" s="112"/>
      <c r="AA3157" s="112"/>
    </row>
    <row r="3158" spans="3:27" x14ac:dyDescent="0.25">
      <c r="C3158" s="112"/>
      <c r="D3158" s="112"/>
      <c r="E3158" s="113"/>
      <c r="F3158" s="113"/>
      <c r="G3158" s="112"/>
      <c r="H3158" s="112"/>
      <c r="Z3158" s="112"/>
      <c r="AA3158" s="112"/>
    </row>
    <row r="3159" spans="3:27" x14ac:dyDescent="0.25">
      <c r="C3159" s="112"/>
      <c r="D3159" s="112"/>
      <c r="E3159" s="113"/>
      <c r="F3159" s="113"/>
      <c r="G3159" s="112"/>
      <c r="H3159" s="112"/>
      <c r="Z3159" s="112"/>
      <c r="AA3159" s="112"/>
    </row>
    <row r="3160" spans="3:27" x14ac:dyDescent="0.25">
      <c r="C3160" s="112"/>
      <c r="D3160" s="112"/>
      <c r="E3160" s="113"/>
      <c r="F3160" s="113"/>
      <c r="G3160" s="112"/>
      <c r="H3160" s="112"/>
      <c r="Z3160" s="112"/>
      <c r="AA3160" s="112"/>
    </row>
    <row r="3161" spans="3:27" x14ac:dyDescent="0.25">
      <c r="C3161" s="112"/>
      <c r="D3161" s="112"/>
      <c r="E3161" s="113"/>
      <c r="F3161" s="113"/>
      <c r="G3161" s="112"/>
      <c r="H3161" s="112"/>
      <c r="Z3161" s="112"/>
      <c r="AA3161" s="112"/>
    </row>
    <row r="3162" spans="3:27" x14ac:dyDescent="0.25">
      <c r="C3162" s="112"/>
      <c r="D3162" s="112"/>
      <c r="E3162" s="113"/>
      <c r="F3162" s="113"/>
      <c r="G3162" s="112"/>
      <c r="H3162" s="112"/>
      <c r="Z3162" s="112"/>
      <c r="AA3162" s="112"/>
    </row>
    <row r="3163" spans="3:27" x14ac:dyDescent="0.25">
      <c r="C3163" s="112"/>
      <c r="D3163" s="112"/>
      <c r="E3163" s="113"/>
      <c r="F3163" s="113"/>
      <c r="G3163" s="112"/>
      <c r="H3163" s="112"/>
      <c r="Z3163" s="112"/>
      <c r="AA3163" s="112"/>
    </row>
    <row r="3164" spans="3:27" x14ac:dyDescent="0.25">
      <c r="C3164" s="112"/>
      <c r="D3164" s="112"/>
      <c r="E3164" s="113"/>
      <c r="F3164" s="113"/>
      <c r="G3164" s="112"/>
      <c r="H3164" s="112"/>
      <c r="Z3164" s="112"/>
      <c r="AA3164" s="112"/>
    </row>
    <row r="3165" spans="3:27" x14ac:dyDescent="0.25">
      <c r="C3165" s="112"/>
      <c r="D3165" s="112"/>
      <c r="E3165" s="113"/>
      <c r="F3165" s="113"/>
      <c r="G3165" s="112"/>
      <c r="H3165" s="112"/>
      <c r="Z3165" s="112"/>
      <c r="AA3165" s="112"/>
    </row>
    <row r="3166" spans="3:27" x14ac:dyDescent="0.25">
      <c r="C3166" s="112"/>
      <c r="D3166" s="112"/>
      <c r="E3166" s="113"/>
      <c r="F3166" s="113"/>
      <c r="G3166" s="112"/>
      <c r="H3166" s="112"/>
      <c r="Z3166" s="112"/>
      <c r="AA3166" s="112"/>
    </row>
    <row r="3167" spans="3:27" x14ac:dyDescent="0.25">
      <c r="C3167" s="112"/>
      <c r="D3167" s="112"/>
      <c r="E3167" s="113"/>
      <c r="F3167" s="113"/>
      <c r="G3167" s="112"/>
      <c r="H3167" s="112"/>
      <c r="Z3167" s="112"/>
      <c r="AA3167" s="112"/>
    </row>
    <row r="3168" spans="3:27" x14ac:dyDescent="0.25">
      <c r="C3168" s="112"/>
      <c r="D3168" s="112"/>
      <c r="E3168" s="113"/>
      <c r="F3168" s="113"/>
      <c r="G3168" s="112"/>
      <c r="H3168" s="112"/>
      <c r="Z3168" s="112"/>
      <c r="AA3168" s="112"/>
    </row>
    <row r="3169" spans="3:27" x14ac:dyDescent="0.25">
      <c r="C3169" s="112"/>
      <c r="D3169" s="112"/>
      <c r="E3169" s="113"/>
      <c r="F3169" s="113"/>
      <c r="G3169" s="112"/>
      <c r="H3169" s="112"/>
      <c r="Z3169" s="112"/>
      <c r="AA3169" s="112"/>
    </row>
    <row r="3170" spans="3:27" x14ac:dyDescent="0.25">
      <c r="C3170" s="112"/>
      <c r="D3170" s="112"/>
      <c r="E3170" s="113"/>
      <c r="F3170" s="113"/>
      <c r="G3170" s="112"/>
      <c r="H3170" s="112"/>
      <c r="Z3170" s="112"/>
      <c r="AA3170" s="112"/>
    </row>
    <row r="3171" spans="3:27" x14ac:dyDescent="0.25">
      <c r="C3171" s="112"/>
      <c r="D3171" s="112"/>
      <c r="E3171" s="113"/>
      <c r="F3171" s="113"/>
      <c r="G3171" s="112"/>
      <c r="H3171" s="112"/>
      <c r="Z3171" s="112"/>
      <c r="AA3171" s="112"/>
    </row>
    <row r="3172" spans="3:27" x14ac:dyDescent="0.25">
      <c r="C3172" s="112"/>
      <c r="D3172" s="112"/>
      <c r="E3172" s="113"/>
      <c r="F3172" s="113"/>
      <c r="G3172" s="112"/>
      <c r="H3172" s="112"/>
      <c r="Z3172" s="112"/>
      <c r="AA3172" s="112"/>
    </row>
    <row r="3173" spans="3:27" x14ac:dyDescent="0.25">
      <c r="C3173" s="112"/>
      <c r="D3173" s="112"/>
      <c r="E3173" s="113"/>
      <c r="F3173" s="113"/>
      <c r="G3173" s="112"/>
      <c r="H3173" s="112"/>
      <c r="Z3173" s="112"/>
      <c r="AA3173" s="112"/>
    </row>
    <row r="3174" spans="3:27" x14ac:dyDescent="0.25">
      <c r="C3174" s="112"/>
      <c r="D3174" s="112"/>
      <c r="E3174" s="113"/>
      <c r="F3174" s="113"/>
      <c r="G3174" s="112"/>
      <c r="H3174" s="112"/>
      <c r="Z3174" s="112"/>
      <c r="AA3174" s="112"/>
    </row>
    <row r="3175" spans="3:27" x14ac:dyDescent="0.25">
      <c r="C3175" s="112"/>
      <c r="D3175" s="112"/>
      <c r="E3175" s="113"/>
      <c r="F3175" s="113"/>
      <c r="G3175" s="112"/>
      <c r="H3175" s="112"/>
      <c r="Z3175" s="112"/>
      <c r="AA3175" s="112"/>
    </row>
    <row r="3176" spans="3:27" x14ac:dyDescent="0.25">
      <c r="C3176" s="112"/>
      <c r="D3176" s="112"/>
      <c r="E3176" s="113"/>
      <c r="F3176" s="113"/>
      <c r="G3176" s="112"/>
      <c r="H3176" s="112"/>
      <c r="Z3176" s="112"/>
      <c r="AA3176" s="112"/>
    </row>
    <row r="3177" spans="3:27" x14ac:dyDescent="0.25">
      <c r="C3177" s="112"/>
      <c r="D3177" s="112"/>
      <c r="E3177" s="113"/>
      <c r="F3177" s="113"/>
      <c r="G3177" s="112"/>
      <c r="H3177" s="112"/>
      <c r="Z3177" s="112"/>
      <c r="AA3177" s="112"/>
    </row>
    <row r="3178" spans="3:27" x14ac:dyDescent="0.25">
      <c r="C3178" s="112"/>
      <c r="D3178" s="112"/>
      <c r="E3178" s="113"/>
      <c r="F3178" s="113"/>
      <c r="G3178" s="112"/>
      <c r="H3178" s="112"/>
      <c r="Z3178" s="112"/>
      <c r="AA3178" s="112"/>
    </row>
    <row r="3179" spans="3:27" x14ac:dyDescent="0.25">
      <c r="C3179" s="112"/>
      <c r="D3179" s="112"/>
      <c r="E3179" s="113"/>
      <c r="F3179" s="113"/>
      <c r="G3179" s="112"/>
      <c r="H3179" s="112"/>
      <c r="Z3179" s="112"/>
      <c r="AA3179" s="112"/>
    </row>
    <row r="3180" spans="3:27" x14ac:dyDescent="0.25">
      <c r="C3180" s="112"/>
      <c r="D3180" s="112"/>
      <c r="E3180" s="113"/>
      <c r="F3180" s="113"/>
      <c r="G3180" s="112"/>
      <c r="H3180" s="112"/>
      <c r="Z3180" s="112"/>
      <c r="AA3180" s="112"/>
    </row>
    <row r="3181" spans="3:27" x14ac:dyDescent="0.25">
      <c r="C3181" s="112"/>
      <c r="D3181" s="112"/>
      <c r="E3181" s="113"/>
      <c r="F3181" s="113"/>
      <c r="G3181" s="112"/>
      <c r="H3181" s="112"/>
      <c r="Z3181" s="112"/>
      <c r="AA3181" s="112"/>
    </row>
    <row r="3182" spans="3:27" x14ac:dyDescent="0.25">
      <c r="C3182" s="112"/>
      <c r="D3182" s="112"/>
      <c r="E3182" s="113"/>
      <c r="F3182" s="113"/>
      <c r="G3182" s="112"/>
      <c r="H3182" s="112"/>
      <c r="Z3182" s="112"/>
      <c r="AA3182" s="112"/>
    </row>
    <row r="3183" spans="3:27" x14ac:dyDescent="0.25">
      <c r="C3183" s="112"/>
      <c r="D3183" s="112"/>
      <c r="E3183" s="113"/>
      <c r="F3183" s="113"/>
      <c r="G3183" s="112"/>
      <c r="H3183" s="112"/>
      <c r="Z3183" s="112"/>
      <c r="AA3183" s="112"/>
    </row>
    <row r="3184" spans="3:27" x14ac:dyDescent="0.25">
      <c r="C3184" s="112"/>
      <c r="D3184" s="112"/>
      <c r="E3184" s="113"/>
      <c r="F3184" s="113"/>
      <c r="G3184" s="112"/>
      <c r="H3184" s="112"/>
      <c r="Z3184" s="112"/>
      <c r="AA3184" s="112"/>
    </row>
    <row r="3185" spans="3:27" x14ac:dyDescent="0.25">
      <c r="C3185" s="112"/>
      <c r="D3185" s="112"/>
      <c r="E3185" s="113"/>
      <c r="F3185" s="113"/>
      <c r="G3185" s="112"/>
      <c r="H3185" s="112"/>
      <c r="Z3185" s="112"/>
      <c r="AA3185" s="112"/>
    </row>
    <row r="3186" spans="3:27" x14ac:dyDescent="0.25">
      <c r="C3186" s="112"/>
      <c r="D3186" s="112"/>
      <c r="E3186" s="113"/>
      <c r="F3186" s="113"/>
      <c r="G3186" s="112"/>
      <c r="H3186" s="112"/>
      <c r="Z3186" s="112"/>
      <c r="AA3186" s="112"/>
    </row>
    <row r="3187" spans="3:27" x14ac:dyDescent="0.25">
      <c r="C3187" s="112"/>
      <c r="D3187" s="112"/>
      <c r="E3187" s="113"/>
      <c r="F3187" s="113"/>
      <c r="G3187" s="112"/>
      <c r="H3187" s="112"/>
      <c r="Z3187" s="112"/>
      <c r="AA3187" s="112"/>
    </row>
    <row r="3188" spans="3:27" x14ac:dyDescent="0.25">
      <c r="C3188" s="112"/>
      <c r="D3188" s="112"/>
      <c r="E3188" s="113"/>
      <c r="F3188" s="113"/>
      <c r="G3188" s="112"/>
      <c r="H3188" s="112"/>
      <c r="Z3188" s="112"/>
      <c r="AA3188" s="112"/>
    </row>
    <row r="3189" spans="3:27" x14ac:dyDescent="0.25">
      <c r="C3189" s="112"/>
      <c r="D3189" s="112"/>
      <c r="E3189" s="113"/>
      <c r="F3189" s="113"/>
      <c r="G3189" s="112"/>
      <c r="H3189" s="112"/>
      <c r="Z3189" s="112"/>
      <c r="AA3189" s="112"/>
    </row>
    <row r="3190" spans="3:27" x14ac:dyDescent="0.25">
      <c r="C3190" s="112"/>
      <c r="D3190" s="112"/>
      <c r="E3190" s="113"/>
      <c r="F3190" s="113"/>
      <c r="G3190" s="112"/>
      <c r="H3190" s="112"/>
      <c r="Z3190" s="112"/>
      <c r="AA3190" s="112"/>
    </row>
    <row r="3191" spans="3:27" x14ac:dyDescent="0.25">
      <c r="C3191" s="112"/>
      <c r="D3191" s="112"/>
      <c r="E3191" s="113"/>
      <c r="F3191" s="113"/>
      <c r="G3191" s="112"/>
      <c r="H3191" s="112"/>
      <c r="Z3191" s="112"/>
      <c r="AA3191" s="112"/>
    </row>
    <row r="3192" spans="3:27" x14ac:dyDescent="0.25">
      <c r="C3192" s="112"/>
      <c r="D3192" s="112"/>
      <c r="E3192" s="113"/>
      <c r="F3192" s="113"/>
      <c r="G3192" s="112"/>
      <c r="H3192" s="112"/>
      <c r="Z3192" s="112"/>
      <c r="AA3192" s="112"/>
    </row>
    <row r="3193" spans="3:27" x14ac:dyDescent="0.25">
      <c r="C3193" s="112"/>
      <c r="D3193" s="112"/>
      <c r="E3193" s="113"/>
      <c r="F3193" s="113"/>
      <c r="G3193" s="112"/>
      <c r="H3193" s="112"/>
      <c r="Z3193" s="112"/>
      <c r="AA3193" s="112"/>
    </row>
    <row r="3194" spans="3:27" x14ac:dyDescent="0.25">
      <c r="C3194" s="112"/>
      <c r="D3194" s="112"/>
      <c r="E3194" s="113"/>
      <c r="F3194" s="113"/>
      <c r="G3194" s="112"/>
      <c r="H3194" s="112"/>
      <c r="Z3194" s="112"/>
      <c r="AA3194" s="112"/>
    </row>
    <row r="3195" spans="3:27" x14ac:dyDescent="0.25">
      <c r="C3195" s="112"/>
      <c r="D3195" s="112"/>
      <c r="E3195" s="113"/>
      <c r="F3195" s="113"/>
      <c r="G3195" s="112"/>
      <c r="H3195" s="112"/>
      <c r="Z3195" s="112"/>
      <c r="AA3195" s="112"/>
    </row>
    <row r="3196" spans="3:27" x14ac:dyDescent="0.25">
      <c r="C3196" s="112"/>
      <c r="D3196" s="112"/>
      <c r="E3196" s="113"/>
      <c r="F3196" s="113"/>
      <c r="G3196" s="112"/>
      <c r="H3196" s="112"/>
      <c r="Z3196" s="112"/>
      <c r="AA3196" s="112"/>
    </row>
    <row r="3197" spans="3:27" x14ac:dyDescent="0.25">
      <c r="C3197" s="112"/>
      <c r="D3197" s="112"/>
      <c r="E3197" s="113"/>
      <c r="F3197" s="113"/>
      <c r="G3197" s="112"/>
      <c r="H3197" s="112"/>
      <c r="Z3197" s="112"/>
      <c r="AA3197" s="112"/>
    </row>
    <row r="3198" spans="3:27" x14ac:dyDescent="0.25">
      <c r="C3198" s="112"/>
      <c r="D3198" s="112"/>
      <c r="E3198" s="113"/>
      <c r="F3198" s="113"/>
      <c r="G3198" s="112"/>
      <c r="H3198" s="112"/>
      <c r="Z3198" s="112"/>
      <c r="AA3198" s="112"/>
    </row>
    <row r="3199" spans="3:27" x14ac:dyDescent="0.25">
      <c r="C3199" s="112"/>
      <c r="D3199" s="112"/>
      <c r="E3199" s="113"/>
      <c r="F3199" s="113"/>
      <c r="G3199" s="112"/>
      <c r="H3199" s="112"/>
      <c r="Z3199" s="112"/>
      <c r="AA3199" s="112"/>
    </row>
    <row r="3200" spans="3:27" x14ac:dyDescent="0.25">
      <c r="C3200" s="112"/>
      <c r="D3200" s="112"/>
      <c r="E3200" s="113"/>
      <c r="F3200" s="113"/>
      <c r="G3200" s="112"/>
      <c r="H3200" s="112"/>
      <c r="Z3200" s="112"/>
      <c r="AA3200" s="112"/>
    </row>
    <row r="3201" spans="3:27" x14ac:dyDescent="0.25">
      <c r="C3201" s="112"/>
      <c r="D3201" s="112"/>
      <c r="E3201" s="113"/>
      <c r="F3201" s="113"/>
      <c r="G3201" s="112"/>
      <c r="H3201" s="112"/>
      <c r="Z3201" s="112"/>
      <c r="AA3201" s="112"/>
    </row>
    <row r="3202" spans="3:27" x14ac:dyDescent="0.25">
      <c r="C3202" s="112"/>
      <c r="D3202" s="112"/>
      <c r="E3202" s="113"/>
      <c r="F3202" s="113"/>
      <c r="G3202" s="112"/>
      <c r="H3202" s="112"/>
      <c r="Z3202" s="112"/>
      <c r="AA3202" s="112"/>
    </row>
    <row r="3203" spans="3:27" x14ac:dyDescent="0.25">
      <c r="C3203" s="112"/>
      <c r="D3203" s="112"/>
      <c r="E3203" s="113"/>
      <c r="F3203" s="113"/>
      <c r="G3203" s="112"/>
      <c r="H3203" s="112"/>
      <c r="Z3203" s="112"/>
      <c r="AA3203" s="112"/>
    </row>
    <row r="3204" spans="3:27" x14ac:dyDescent="0.25">
      <c r="C3204" s="112"/>
      <c r="D3204" s="112"/>
      <c r="E3204" s="113"/>
      <c r="F3204" s="113"/>
      <c r="G3204" s="112"/>
      <c r="H3204" s="112"/>
      <c r="Z3204" s="112"/>
      <c r="AA3204" s="112"/>
    </row>
    <row r="3205" spans="3:27" x14ac:dyDescent="0.25">
      <c r="C3205" s="112"/>
      <c r="D3205" s="112"/>
      <c r="E3205" s="113"/>
      <c r="F3205" s="113"/>
      <c r="G3205" s="112"/>
      <c r="H3205" s="112"/>
      <c r="Z3205" s="112"/>
      <c r="AA3205" s="112"/>
    </row>
    <row r="3206" spans="3:27" x14ac:dyDescent="0.25">
      <c r="C3206" s="112"/>
      <c r="D3206" s="112"/>
      <c r="E3206" s="113"/>
      <c r="F3206" s="113"/>
      <c r="G3206" s="112"/>
      <c r="H3206" s="112"/>
      <c r="Z3206" s="112"/>
      <c r="AA3206" s="112"/>
    </row>
    <row r="3207" spans="3:27" x14ac:dyDescent="0.25">
      <c r="C3207" s="112"/>
      <c r="D3207" s="112"/>
      <c r="E3207" s="113"/>
      <c r="F3207" s="113"/>
      <c r="G3207" s="112"/>
      <c r="H3207" s="112"/>
      <c r="Z3207" s="112"/>
      <c r="AA3207" s="112"/>
    </row>
    <row r="3208" spans="3:27" x14ac:dyDescent="0.25">
      <c r="C3208" s="112"/>
      <c r="D3208" s="112"/>
      <c r="E3208" s="113"/>
      <c r="F3208" s="113"/>
      <c r="G3208" s="112"/>
      <c r="H3208" s="112"/>
      <c r="Z3208" s="112"/>
      <c r="AA3208" s="112"/>
    </row>
    <row r="3209" spans="3:27" x14ac:dyDescent="0.25">
      <c r="C3209" s="112"/>
      <c r="D3209" s="112"/>
      <c r="E3209" s="113"/>
      <c r="F3209" s="113"/>
      <c r="G3209" s="112"/>
      <c r="H3209" s="112"/>
      <c r="Z3209" s="112"/>
      <c r="AA3209" s="112"/>
    </row>
    <row r="3210" spans="3:27" x14ac:dyDescent="0.25">
      <c r="C3210" s="112"/>
      <c r="D3210" s="112"/>
      <c r="E3210" s="113"/>
      <c r="F3210" s="113"/>
      <c r="G3210" s="112"/>
      <c r="H3210" s="112"/>
      <c r="Z3210" s="112"/>
      <c r="AA3210" s="112"/>
    </row>
    <row r="3211" spans="3:27" x14ac:dyDescent="0.25">
      <c r="C3211" s="112"/>
      <c r="D3211" s="112"/>
      <c r="E3211" s="113"/>
      <c r="F3211" s="113"/>
      <c r="G3211" s="112"/>
      <c r="H3211" s="112"/>
      <c r="Z3211" s="112"/>
      <c r="AA3211" s="112"/>
    </row>
    <row r="3212" spans="3:27" x14ac:dyDescent="0.25">
      <c r="C3212" s="112"/>
      <c r="D3212" s="112"/>
      <c r="E3212" s="113"/>
      <c r="F3212" s="113"/>
      <c r="G3212" s="112"/>
      <c r="H3212" s="112"/>
      <c r="Z3212" s="112"/>
      <c r="AA3212" s="112"/>
    </row>
    <row r="3213" spans="3:27" x14ac:dyDescent="0.25">
      <c r="C3213" s="112"/>
      <c r="D3213" s="112"/>
      <c r="E3213" s="113"/>
      <c r="F3213" s="113"/>
      <c r="G3213" s="112"/>
      <c r="H3213" s="112"/>
      <c r="Z3213" s="112"/>
      <c r="AA3213" s="112"/>
    </row>
    <row r="3214" spans="3:27" x14ac:dyDescent="0.25">
      <c r="C3214" s="112"/>
      <c r="D3214" s="112"/>
      <c r="E3214" s="113"/>
      <c r="F3214" s="113"/>
      <c r="G3214" s="112"/>
      <c r="H3214" s="112"/>
      <c r="Z3214" s="112"/>
      <c r="AA3214" s="112"/>
    </row>
    <row r="3215" spans="3:27" x14ac:dyDescent="0.25">
      <c r="C3215" s="112"/>
      <c r="D3215" s="112"/>
      <c r="E3215" s="113"/>
      <c r="F3215" s="113"/>
      <c r="G3215" s="112"/>
      <c r="H3215" s="112"/>
      <c r="Z3215" s="112"/>
      <c r="AA3215" s="112"/>
    </row>
    <row r="3216" spans="3:27" x14ac:dyDescent="0.25">
      <c r="C3216" s="112"/>
      <c r="D3216" s="112"/>
      <c r="E3216" s="113"/>
      <c r="F3216" s="113"/>
      <c r="G3216" s="112"/>
      <c r="H3216" s="112"/>
      <c r="Z3216" s="112"/>
      <c r="AA3216" s="112"/>
    </row>
    <row r="3217" spans="3:27" x14ac:dyDescent="0.25">
      <c r="C3217" s="112"/>
      <c r="D3217" s="112"/>
      <c r="E3217" s="113"/>
      <c r="F3217" s="113"/>
      <c r="G3217" s="112"/>
      <c r="H3217" s="112"/>
      <c r="Z3217" s="112"/>
      <c r="AA3217" s="112"/>
    </row>
    <row r="3218" spans="3:27" x14ac:dyDescent="0.25">
      <c r="C3218" s="112"/>
      <c r="D3218" s="112"/>
      <c r="E3218" s="113"/>
      <c r="F3218" s="113"/>
      <c r="G3218" s="112"/>
      <c r="H3218" s="112"/>
      <c r="Z3218" s="112"/>
      <c r="AA3218" s="112"/>
    </row>
    <row r="3219" spans="3:27" x14ac:dyDescent="0.25">
      <c r="C3219" s="112"/>
      <c r="D3219" s="112"/>
      <c r="E3219" s="113"/>
      <c r="F3219" s="113"/>
      <c r="G3219" s="112"/>
      <c r="H3219" s="112"/>
      <c r="Z3219" s="112"/>
      <c r="AA3219" s="112"/>
    </row>
    <row r="3220" spans="3:27" x14ac:dyDescent="0.25">
      <c r="C3220" s="112"/>
      <c r="D3220" s="112"/>
      <c r="E3220" s="113"/>
      <c r="F3220" s="113"/>
      <c r="G3220" s="112"/>
      <c r="H3220" s="112"/>
      <c r="Z3220" s="112"/>
      <c r="AA3220" s="112"/>
    </row>
    <row r="3221" spans="3:27" x14ac:dyDescent="0.25">
      <c r="C3221" s="112"/>
      <c r="D3221" s="112"/>
      <c r="E3221" s="113"/>
      <c r="F3221" s="113"/>
      <c r="G3221" s="112"/>
      <c r="H3221" s="112"/>
      <c r="Z3221" s="112"/>
      <c r="AA3221" s="112"/>
    </row>
    <row r="3222" spans="3:27" x14ac:dyDescent="0.25">
      <c r="C3222" s="112"/>
      <c r="D3222" s="112"/>
      <c r="E3222" s="113"/>
      <c r="F3222" s="113"/>
      <c r="G3222" s="112"/>
      <c r="H3222" s="112"/>
      <c r="Z3222" s="112"/>
      <c r="AA3222" s="112"/>
    </row>
    <row r="3223" spans="3:27" x14ac:dyDescent="0.25">
      <c r="C3223" s="112"/>
      <c r="D3223" s="112"/>
      <c r="E3223" s="113"/>
      <c r="F3223" s="113"/>
      <c r="G3223" s="112"/>
      <c r="H3223" s="112"/>
      <c r="Z3223" s="112"/>
      <c r="AA3223" s="112"/>
    </row>
    <row r="3224" spans="3:27" x14ac:dyDescent="0.25">
      <c r="C3224" s="112"/>
      <c r="D3224" s="112"/>
      <c r="E3224" s="113"/>
      <c r="F3224" s="113"/>
      <c r="G3224" s="112"/>
      <c r="H3224" s="112"/>
      <c r="Z3224" s="112"/>
      <c r="AA3224" s="112"/>
    </row>
    <row r="3225" spans="3:27" x14ac:dyDescent="0.25">
      <c r="C3225" s="112"/>
      <c r="D3225" s="112"/>
      <c r="E3225" s="113"/>
      <c r="F3225" s="113"/>
      <c r="G3225" s="112"/>
      <c r="H3225" s="112"/>
      <c r="Z3225" s="112"/>
      <c r="AA3225" s="112"/>
    </row>
    <row r="3226" spans="3:27" x14ac:dyDescent="0.25">
      <c r="C3226" s="112"/>
      <c r="D3226" s="112"/>
      <c r="E3226" s="113"/>
      <c r="F3226" s="113"/>
      <c r="G3226" s="112"/>
      <c r="H3226" s="112"/>
      <c r="Z3226" s="112"/>
      <c r="AA3226" s="112"/>
    </row>
    <row r="3227" spans="3:27" x14ac:dyDescent="0.25">
      <c r="C3227" s="112"/>
      <c r="D3227" s="112"/>
      <c r="E3227" s="113"/>
      <c r="F3227" s="113"/>
      <c r="G3227" s="112"/>
      <c r="H3227" s="112"/>
      <c r="Z3227" s="112"/>
      <c r="AA3227" s="112"/>
    </row>
    <row r="3228" spans="3:27" x14ac:dyDescent="0.25">
      <c r="C3228" s="112"/>
      <c r="D3228" s="112"/>
      <c r="E3228" s="113"/>
      <c r="F3228" s="113"/>
      <c r="G3228" s="112"/>
      <c r="H3228" s="112"/>
      <c r="Z3228" s="112"/>
      <c r="AA3228" s="112"/>
    </row>
    <row r="3229" spans="3:27" x14ac:dyDescent="0.25">
      <c r="C3229" s="112"/>
      <c r="D3229" s="112"/>
      <c r="E3229" s="113"/>
      <c r="F3229" s="113"/>
      <c r="G3229" s="112"/>
      <c r="H3229" s="112"/>
      <c r="Z3229" s="112"/>
      <c r="AA3229" s="112"/>
    </row>
    <row r="3230" spans="3:27" x14ac:dyDescent="0.25">
      <c r="C3230" s="112"/>
      <c r="D3230" s="112"/>
      <c r="E3230" s="113"/>
      <c r="F3230" s="113"/>
      <c r="G3230" s="112"/>
      <c r="H3230" s="112"/>
      <c r="Z3230" s="112"/>
      <c r="AA3230" s="112"/>
    </row>
    <row r="3231" spans="3:27" x14ac:dyDescent="0.25">
      <c r="C3231" s="112"/>
      <c r="D3231" s="112"/>
      <c r="E3231" s="113"/>
      <c r="F3231" s="113"/>
      <c r="G3231" s="112"/>
      <c r="H3231" s="112"/>
      <c r="Z3231" s="112"/>
      <c r="AA3231" s="112"/>
    </row>
    <row r="3232" spans="3:27" x14ac:dyDescent="0.25">
      <c r="C3232" s="112"/>
      <c r="D3232" s="112"/>
      <c r="E3232" s="113"/>
      <c r="F3232" s="113"/>
      <c r="G3232" s="112"/>
      <c r="H3232" s="112"/>
      <c r="Z3232" s="112"/>
      <c r="AA3232" s="112"/>
    </row>
    <row r="3233" spans="3:27" x14ac:dyDescent="0.25">
      <c r="C3233" s="112"/>
      <c r="D3233" s="112"/>
      <c r="E3233" s="113"/>
      <c r="F3233" s="113"/>
      <c r="G3233" s="112"/>
      <c r="H3233" s="112"/>
      <c r="Z3233" s="112"/>
      <c r="AA3233" s="112"/>
    </row>
    <row r="3234" spans="3:27" x14ac:dyDescent="0.25">
      <c r="C3234" s="112"/>
      <c r="D3234" s="112"/>
      <c r="E3234" s="113"/>
      <c r="F3234" s="113"/>
      <c r="G3234" s="112"/>
      <c r="H3234" s="112"/>
      <c r="Z3234" s="112"/>
      <c r="AA3234" s="112"/>
    </row>
    <row r="3235" spans="3:27" x14ac:dyDescent="0.25">
      <c r="C3235" s="112"/>
      <c r="D3235" s="112"/>
      <c r="E3235" s="113"/>
      <c r="F3235" s="113"/>
      <c r="G3235" s="112"/>
      <c r="H3235" s="112"/>
      <c r="Z3235" s="112"/>
      <c r="AA3235" s="112"/>
    </row>
    <row r="3236" spans="3:27" x14ac:dyDescent="0.25">
      <c r="C3236" s="112"/>
      <c r="D3236" s="112"/>
      <c r="E3236" s="113"/>
      <c r="F3236" s="113"/>
      <c r="G3236" s="112"/>
      <c r="H3236" s="112"/>
      <c r="Z3236" s="112"/>
      <c r="AA3236" s="112"/>
    </row>
    <row r="3237" spans="3:27" x14ac:dyDescent="0.25">
      <c r="C3237" s="112"/>
      <c r="D3237" s="112"/>
      <c r="E3237" s="113"/>
      <c r="F3237" s="113"/>
      <c r="G3237" s="112"/>
      <c r="H3237" s="112"/>
      <c r="Z3237" s="112"/>
      <c r="AA3237" s="112"/>
    </row>
    <row r="3238" spans="3:27" x14ac:dyDescent="0.25">
      <c r="C3238" s="112"/>
      <c r="D3238" s="112"/>
      <c r="E3238" s="113"/>
      <c r="F3238" s="113"/>
      <c r="G3238" s="112"/>
      <c r="H3238" s="112"/>
      <c r="Z3238" s="112"/>
      <c r="AA3238" s="112"/>
    </row>
    <row r="3239" spans="3:27" x14ac:dyDescent="0.25">
      <c r="C3239" s="112"/>
      <c r="D3239" s="112"/>
      <c r="E3239" s="113"/>
      <c r="F3239" s="113"/>
      <c r="G3239" s="112"/>
      <c r="H3239" s="112"/>
      <c r="Z3239" s="112"/>
      <c r="AA3239" s="112"/>
    </row>
    <row r="3240" spans="3:27" x14ac:dyDescent="0.25">
      <c r="C3240" s="112"/>
      <c r="D3240" s="112"/>
      <c r="E3240" s="113"/>
      <c r="F3240" s="113"/>
      <c r="G3240" s="112"/>
      <c r="H3240" s="112"/>
      <c r="Z3240" s="112"/>
      <c r="AA3240" s="112"/>
    </row>
    <row r="3241" spans="3:27" x14ac:dyDescent="0.25">
      <c r="C3241" s="112"/>
      <c r="D3241" s="112"/>
      <c r="E3241" s="113"/>
      <c r="F3241" s="113"/>
      <c r="G3241" s="112"/>
      <c r="H3241" s="112"/>
      <c r="Z3241" s="112"/>
      <c r="AA3241" s="112"/>
    </row>
    <row r="3242" spans="3:27" x14ac:dyDescent="0.25">
      <c r="C3242" s="112"/>
      <c r="D3242" s="112"/>
      <c r="E3242" s="113"/>
      <c r="F3242" s="113"/>
      <c r="G3242" s="112"/>
      <c r="H3242" s="112"/>
      <c r="Z3242" s="112"/>
      <c r="AA3242" s="112"/>
    </row>
    <row r="3243" spans="3:27" x14ac:dyDescent="0.25">
      <c r="C3243" s="112"/>
      <c r="D3243" s="112"/>
      <c r="E3243" s="113"/>
      <c r="F3243" s="113"/>
      <c r="G3243" s="112"/>
      <c r="H3243" s="112"/>
      <c r="Z3243" s="112"/>
      <c r="AA3243" s="112"/>
    </row>
    <row r="3244" spans="3:27" x14ac:dyDescent="0.25">
      <c r="C3244" s="112"/>
      <c r="D3244" s="112"/>
      <c r="E3244" s="113"/>
      <c r="F3244" s="113"/>
      <c r="G3244" s="112"/>
      <c r="H3244" s="112"/>
      <c r="Z3244" s="112"/>
      <c r="AA3244" s="112"/>
    </row>
    <row r="3245" spans="3:27" x14ac:dyDescent="0.25">
      <c r="C3245" s="112"/>
      <c r="D3245" s="112"/>
      <c r="E3245" s="113"/>
      <c r="F3245" s="113"/>
      <c r="G3245" s="112"/>
      <c r="H3245" s="112"/>
      <c r="Z3245" s="112"/>
      <c r="AA3245" s="112"/>
    </row>
    <row r="3246" spans="3:27" x14ac:dyDescent="0.25">
      <c r="C3246" s="112"/>
      <c r="D3246" s="112"/>
      <c r="E3246" s="113"/>
      <c r="F3246" s="113"/>
      <c r="G3246" s="112"/>
      <c r="H3246" s="112"/>
      <c r="Z3246" s="112"/>
      <c r="AA3246" s="112"/>
    </row>
    <row r="3247" spans="3:27" x14ac:dyDescent="0.25">
      <c r="C3247" s="112"/>
      <c r="D3247" s="112"/>
      <c r="E3247" s="113"/>
      <c r="F3247" s="113"/>
      <c r="G3247" s="112"/>
      <c r="H3247" s="112"/>
      <c r="Z3247" s="112"/>
      <c r="AA3247" s="112"/>
    </row>
    <row r="3248" spans="3:27" x14ac:dyDescent="0.25">
      <c r="C3248" s="112"/>
      <c r="D3248" s="112"/>
      <c r="E3248" s="113"/>
      <c r="F3248" s="113"/>
      <c r="G3248" s="112"/>
      <c r="H3248" s="112"/>
      <c r="Z3248" s="112"/>
      <c r="AA3248" s="112"/>
    </row>
    <row r="3249" spans="3:27" x14ac:dyDescent="0.25">
      <c r="C3249" s="112"/>
      <c r="D3249" s="112"/>
      <c r="E3249" s="113"/>
      <c r="F3249" s="113"/>
      <c r="G3249" s="112"/>
      <c r="H3249" s="112"/>
      <c r="Z3249" s="112"/>
      <c r="AA3249" s="112"/>
    </row>
    <row r="3250" spans="3:27" x14ac:dyDescent="0.25">
      <c r="C3250" s="112"/>
      <c r="D3250" s="112"/>
      <c r="E3250" s="113"/>
      <c r="F3250" s="113"/>
      <c r="G3250" s="112"/>
      <c r="H3250" s="112"/>
      <c r="Z3250" s="112"/>
      <c r="AA3250" s="112"/>
    </row>
    <row r="3251" spans="3:27" x14ac:dyDescent="0.25">
      <c r="C3251" s="112"/>
      <c r="D3251" s="112"/>
      <c r="E3251" s="113"/>
      <c r="F3251" s="113"/>
      <c r="G3251" s="112"/>
      <c r="H3251" s="112"/>
      <c r="Z3251" s="112"/>
      <c r="AA3251" s="112"/>
    </row>
    <row r="3252" spans="3:27" x14ac:dyDescent="0.25">
      <c r="C3252" s="112"/>
      <c r="D3252" s="112"/>
      <c r="E3252" s="113"/>
      <c r="F3252" s="113"/>
      <c r="G3252" s="112"/>
      <c r="H3252" s="112"/>
      <c r="Z3252" s="112"/>
      <c r="AA3252" s="112"/>
    </row>
    <row r="3253" spans="3:27" x14ac:dyDescent="0.25">
      <c r="C3253" s="112"/>
      <c r="D3253" s="112"/>
      <c r="E3253" s="113"/>
      <c r="F3253" s="113"/>
      <c r="G3253" s="112"/>
      <c r="H3253" s="112"/>
      <c r="Z3253" s="112"/>
      <c r="AA3253" s="112"/>
    </row>
    <row r="3254" spans="3:27" x14ac:dyDescent="0.25">
      <c r="C3254" s="112"/>
      <c r="D3254" s="112"/>
      <c r="E3254" s="113"/>
      <c r="F3254" s="113"/>
      <c r="G3254" s="112"/>
      <c r="H3254" s="112"/>
      <c r="Z3254" s="112"/>
      <c r="AA3254" s="112"/>
    </row>
    <row r="3255" spans="3:27" x14ac:dyDescent="0.25">
      <c r="C3255" s="112"/>
      <c r="D3255" s="112"/>
      <c r="E3255" s="113"/>
      <c r="F3255" s="113"/>
      <c r="G3255" s="112"/>
      <c r="H3255" s="112"/>
      <c r="Z3255" s="112"/>
      <c r="AA3255" s="112"/>
    </row>
    <row r="3256" spans="3:27" x14ac:dyDescent="0.25">
      <c r="C3256" s="112"/>
      <c r="D3256" s="112"/>
      <c r="E3256" s="113"/>
      <c r="F3256" s="113"/>
      <c r="G3256" s="112"/>
      <c r="H3256" s="112"/>
      <c r="Z3256" s="112"/>
      <c r="AA3256" s="112"/>
    </row>
    <row r="3257" spans="3:27" x14ac:dyDescent="0.25">
      <c r="C3257" s="112"/>
      <c r="D3257" s="112"/>
      <c r="E3257" s="113"/>
      <c r="F3257" s="113"/>
      <c r="G3257" s="112"/>
      <c r="H3257" s="112"/>
      <c r="Z3257" s="112"/>
      <c r="AA3257" s="112"/>
    </row>
    <row r="3258" spans="3:27" x14ac:dyDescent="0.25">
      <c r="C3258" s="112"/>
      <c r="D3258" s="112"/>
      <c r="E3258" s="113"/>
      <c r="F3258" s="113"/>
      <c r="G3258" s="112"/>
      <c r="H3258" s="112"/>
      <c r="Z3258" s="112"/>
      <c r="AA3258" s="112"/>
    </row>
    <row r="3259" spans="3:27" x14ac:dyDescent="0.25">
      <c r="C3259" s="112"/>
      <c r="D3259" s="112"/>
      <c r="E3259" s="113"/>
      <c r="F3259" s="113"/>
      <c r="G3259" s="112"/>
      <c r="H3259" s="112"/>
      <c r="Z3259" s="112"/>
      <c r="AA3259" s="112"/>
    </row>
    <row r="3260" spans="3:27" x14ac:dyDescent="0.25">
      <c r="C3260" s="112"/>
      <c r="D3260" s="112"/>
      <c r="E3260" s="113"/>
      <c r="F3260" s="113"/>
      <c r="G3260" s="112"/>
      <c r="H3260" s="112"/>
      <c r="Z3260" s="112"/>
      <c r="AA3260" s="112"/>
    </row>
    <row r="3261" spans="3:27" x14ac:dyDescent="0.25">
      <c r="C3261" s="112"/>
      <c r="D3261" s="112"/>
      <c r="E3261" s="113"/>
      <c r="F3261" s="113"/>
      <c r="G3261" s="112"/>
      <c r="H3261" s="112"/>
      <c r="Z3261" s="112"/>
      <c r="AA3261" s="112"/>
    </row>
    <row r="3262" spans="3:27" x14ac:dyDescent="0.25">
      <c r="C3262" s="112"/>
      <c r="D3262" s="112"/>
      <c r="E3262" s="113"/>
      <c r="F3262" s="113"/>
      <c r="G3262" s="112"/>
      <c r="H3262" s="112"/>
      <c r="Z3262" s="112"/>
      <c r="AA3262" s="112"/>
    </row>
    <row r="3263" spans="3:27" x14ac:dyDescent="0.25">
      <c r="C3263" s="112"/>
      <c r="D3263" s="112"/>
      <c r="E3263" s="113"/>
      <c r="F3263" s="113"/>
      <c r="G3263" s="112"/>
      <c r="H3263" s="112"/>
      <c r="Z3263" s="112"/>
      <c r="AA3263" s="112"/>
    </row>
    <row r="3264" spans="3:27" x14ac:dyDescent="0.25">
      <c r="C3264" s="112"/>
      <c r="D3264" s="112"/>
      <c r="E3264" s="113"/>
      <c r="F3264" s="113"/>
      <c r="G3264" s="112"/>
      <c r="H3264" s="112"/>
      <c r="Z3264" s="112"/>
      <c r="AA3264" s="112"/>
    </row>
    <row r="3265" spans="3:27" x14ac:dyDescent="0.25">
      <c r="C3265" s="112"/>
      <c r="D3265" s="112"/>
      <c r="E3265" s="113"/>
      <c r="F3265" s="113"/>
      <c r="G3265" s="112"/>
      <c r="H3265" s="112"/>
      <c r="Z3265" s="112"/>
      <c r="AA3265" s="112"/>
    </row>
    <row r="3266" spans="3:27" x14ac:dyDescent="0.25">
      <c r="C3266" s="112"/>
      <c r="D3266" s="112"/>
      <c r="E3266" s="113"/>
      <c r="F3266" s="113"/>
      <c r="G3266" s="112"/>
      <c r="H3266" s="112"/>
      <c r="Z3266" s="112"/>
      <c r="AA3266" s="112"/>
    </row>
    <row r="3267" spans="3:27" x14ac:dyDescent="0.25">
      <c r="C3267" s="112"/>
      <c r="D3267" s="112"/>
      <c r="E3267" s="113"/>
      <c r="F3267" s="113"/>
      <c r="G3267" s="112"/>
      <c r="H3267" s="112"/>
      <c r="Z3267" s="112"/>
      <c r="AA3267" s="112"/>
    </row>
    <row r="3268" spans="3:27" x14ac:dyDescent="0.25">
      <c r="C3268" s="112"/>
      <c r="D3268" s="112"/>
      <c r="E3268" s="113"/>
      <c r="F3268" s="113"/>
      <c r="G3268" s="112"/>
      <c r="H3268" s="112"/>
      <c r="Z3268" s="112"/>
      <c r="AA3268" s="112"/>
    </row>
    <row r="3269" spans="3:27" x14ac:dyDescent="0.25">
      <c r="C3269" s="112"/>
      <c r="D3269" s="112"/>
      <c r="E3269" s="113"/>
      <c r="F3269" s="113"/>
      <c r="G3269" s="112"/>
      <c r="H3269" s="112"/>
      <c r="Z3269" s="112"/>
      <c r="AA3269" s="112"/>
    </row>
    <row r="3270" spans="3:27" x14ac:dyDescent="0.25">
      <c r="C3270" s="112"/>
      <c r="D3270" s="112"/>
      <c r="E3270" s="113"/>
      <c r="F3270" s="113"/>
      <c r="G3270" s="112"/>
      <c r="H3270" s="112"/>
      <c r="Z3270" s="112"/>
      <c r="AA3270" s="112"/>
    </row>
    <row r="3271" spans="3:27" x14ac:dyDescent="0.25">
      <c r="C3271" s="112"/>
      <c r="D3271" s="112"/>
      <c r="E3271" s="113"/>
      <c r="F3271" s="113"/>
      <c r="G3271" s="112"/>
      <c r="H3271" s="112"/>
      <c r="Z3271" s="112"/>
      <c r="AA3271" s="112"/>
    </row>
    <row r="3272" spans="3:27" x14ac:dyDescent="0.25">
      <c r="C3272" s="112"/>
      <c r="D3272" s="112"/>
      <c r="E3272" s="113"/>
      <c r="F3272" s="113"/>
      <c r="G3272" s="112"/>
      <c r="H3272" s="112"/>
      <c r="Z3272" s="112"/>
      <c r="AA3272" s="112"/>
    </row>
    <row r="3273" spans="3:27" x14ac:dyDescent="0.25">
      <c r="C3273" s="112"/>
      <c r="D3273" s="112"/>
      <c r="E3273" s="113"/>
      <c r="F3273" s="113"/>
      <c r="G3273" s="112"/>
      <c r="H3273" s="112"/>
      <c r="Z3273" s="112"/>
      <c r="AA3273" s="112"/>
    </row>
    <row r="3274" spans="3:27" x14ac:dyDescent="0.25">
      <c r="C3274" s="112"/>
      <c r="D3274" s="112"/>
      <c r="E3274" s="113"/>
      <c r="F3274" s="113"/>
      <c r="G3274" s="112"/>
      <c r="H3274" s="112"/>
      <c r="Z3274" s="112"/>
      <c r="AA3274" s="112"/>
    </row>
    <row r="3275" spans="3:27" x14ac:dyDescent="0.25">
      <c r="C3275" s="112"/>
      <c r="D3275" s="112"/>
      <c r="E3275" s="113"/>
      <c r="F3275" s="113"/>
      <c r="G3275" s="112"/>
      <c r="H3275" s="112"/>
      <c r="Z3275" s="112"/>
      <c r="AA3275" s="112"/>
    </row>
    <row r="3276" spans="3:27" x14ac:dyDescent="0.25">
      <c r="C3276" s="112"/>
      <c r="D3276" s="112"/>
      <c r="E3276" s="113"/>
      <c r="F3276" s="113"/>
      <c r="G3276" s="112"/>
      <c r="H3276" s="112"/>
      <c r="Z3276" s="112"/>
      <c r="AA3276" s="112"/>
    </row>
    <row r="3277" spans="3:27" x14ac:dyDescent="0.25">
      <c r="C3277" s="112"/>
      <c r="D3277" s="112"/>
      <c r="E3277" s="113"/>
      <c r="F3277" s="113"/>
      <c r="G3277" s="112"/>
      <c r="H3277" s="112"/>
      <c r="Z3277" s="112"/>
      <c r="AA3277" s="112"/>
    </row>
    <row r="3278" spans="3:27" x14ac:dyDescent="0.25">
      <c r="C3278" s="112"/>
      <c r="D3278" s="112"/>
      <c r="E3278" s="113"/>
      <c r="F3278" s="113"/>
      <c r="G3278" s="112"/>
      <c r="H3278" s="112"/>
      <c r="Z3278" s="112"/>
      <c r="AA3278" s="112"/>
    </row>
    <row r="3279" spans="3:27" x14ac:dyDescent="0.25">
      <c r="C3279" s="112"/>
      <c r="D3279" s="112"/>
      <c r="E3279" s="113"/>
      <c r="F3279" s="113"/>
      <c r="G3279" s="112"/>
      <c r="H3279" s="112"/>
      <c r="Z3279" s="112"/>
      <c r="AA3279" s="112"/>
    </row>
    <row r="3280" spans="3:27" x14ac:dyDescent="0.25">
      <c r="C3280" s="112"/>
      <c r="D3280" s="112"/>
      <c r="E3280" s="113"/>
      <c r="F3280" s="113"/>
      <c r="G3280" s="112"/>
      <c r="H3280" s="112"/>
      <c r="Z3280" s="112"/>
      <c r="AA3280" s="112"/>
    </row>
    <row r="3281" spans="3:27" x14ac:dyDescent="0.25">
      <c r="C3281" s="112"/>
      <c r="D3281" s="112"/>
      <c r="E3281" s="113"/>
      <c r="F3281" s="113"/>
      <c r="G3281" s="112"/>
      <c r="H3281" s="112"/>
      <c r="Z3281" s="112"/>
      <c r="AA3281" s="112"/>
    </row>
    <row r="3282" spans="3:27" x14ac:dyDescent="0.25">
      <c r="C3282" s="112"/>
      <c r="D3282" s="112"/>
      <c r="E3282" s="113"/>
      <c r="F3282" s="113"/>
      <c r="G3282" s="112"/>
      <c r="H3282" s="112"/>
      <c r="Z3282" s="112"/>
      <c r="AA3282" s="112"/>
    </row>
    <row r="3283" spans="3:27" x14ac:dyDescent="0.25">
      <c r="C3283" s="112"/>
      <c r="D3283" s="112"/>
      <c r="E3283" s="113"/>
      <c r="F3283" s="113"/>
      <c r="G3283" s="112"/>
      <c r="H3283" s="112"/>
      <c r="Z3283" s="112"/>
      <c r="AA3283" s="112"/>
    </row>
    <row r="3284" spans="3:27" x14ac:dyDescent="0.25">
      <c r="C3284" s="112"/>
      <c r="D3284" s="112"/>
      <c r="E3284" s="113"/>
      <c r="F3284" s="113"/>
      <c r="G3284" s="112"/>
      <c r="H3284" s="112"/>
      <c r="Z3284" s="112"/>
      <c r="AA3284" s="112"/>
    </row>
    <row r="3285" spans="3:27" x14ac:dyDescent="0.25">
      <c r="C3285" s="112"/>
      <c r="D3285" s="112"/>
      <c r="E3285" s="113"/>
      <c r="F3285" s="113"/>
      <c r="G3285" s="112"/>
      <c r="H3285" s="112"/>
      <c r="Z3285" s="112"/>
      <c r="AA3285" s="112"/>
    </row>
    <row r="3286" spans="3:27" x14ac:dyDescent="0.25">
      <c r="C3286" s="112"/>
      <c r="D3286" s="112"/>
      <c r="E3286" s="113"/>
      <c r="F3286" s="113"/>
      <c r="G3286" s="112"/>
      <c r="H3286" s="112"/>
      <c r="Z3286" s="112"/>
      <c r="AA3286" s="112"/>
    </row>
    <row r="3287" spans="3:27" x14ac:dyDescent="0.25">
      <c r="C3287" s="112"/>
      <c r="D3287" s="112"/>
      <c r="E3287" s="113"/>
      <c r="F3287" s="113"/>
      <c r="G3287" s="112"/>
      <c r="H3287" s="112"/>
      <c r="Z3287" s="112"/>
      <c r="AA3287" s="112"/>
    </row>
    <row r="3288" spans="3:27" x14ac:dyDescent="0.25">
      <c r="C3288" s="112"/>
      <c r="D3288" s="112"/>
      <c r="E3288" s="113"/>
      <c r="F3288" s="113"/>
      <c r="G3288" s="112"/>
      <c r="H3288" s="112"/>
      <c r="Z3288" s="112"/>
      <c r="AA3288" s="112"/>
    </row>
    <row r="3289" spans="3:27" x14ac:dyDescent="0.25">
      <c r="C3289" s="112"/>
      <c r="D3289" s="112"/>
      <c r="E3289" s="113"/>
      <c r="F3289" s="113"/>
      <c r="G3289" s="112"/>
      <c r="H3289" s="112"/>
      <c r="Z3289" s="112"/>
      <c r="AA3289" s="112"/>
    </row>
    <row r="3290" spans="3:27" x14ac:dyDescent="0.25">
      <c r="C3290" s="112"/>
      <c r="D3290" s="112"/>
      <c r="E3290" s="113"/>
      <c r="F3290" s="113"/>
      <c r="G3290" s="112"/>
      <c r="H3290" s="112"/>
      <c r="Z3290" s="112"/>
      <c r="AA3290" s="112"/>
    </row>
    <row r="3291" spans="3:27" x14ac:dyDescent="0.25">
      <c r="C3291" s="112"/>
      <c r="D3291" s="112"/>
      <c r="E3291" s="113"/>
      <c r="F3291" s="113"/>
      <c r="G3291" s="112"/>
      <c r="H3291" s="112"/>
      <c r="Z3291" s="112"/>
      <c r="AA3291" s="112"/>
    </row>
    <row r="3292" spans="3:27" x14ac:dyDescent="0.25">
      <c r="C3292" s="112"/>
      <c r="D3292" s="112"/>
      <c r="E3292" s="113"/>
      <c r="F3292" s="113"/>
      <c r="G3292" s="112"/>
      <c r="H3292" s="112"/>
      <c r="Z3292" s="112"/>
      <c r="AA3292" s="112"/>
    </row>
    <row r="3293" spans="3:27" x14ac:dyDescent="0.25">
      <c r="C3293" s="112"/>
      <c r="D3293" s="112"/>
      <c r="E3293" s="113"/>
      <c r="F3293" s="113"/>
      <c r="G3293" s="112"/>
      <c r="H3293" s="112"/>
      <c r="Z3293" s="112"/>
      <c r="AA3293" s="112"/>
    </row>
    <row r="3294" spans="3:27" x14ac:dyDescent="0.25">
      <c r="C3294" s="112"/>
      <c r="D3294" s="112"/>
      <c r="E3294" s="113"/>
      <c r="F3294" s="113"/>
      <c r="G3294" s="112"/>
      <c r="H3294" s="112"/>
      <c r="Z3294" s="112"/>
      <c r="AA3294" s="112"/>
    </row>
    <row r="3295" spans="3:27" x14ac:dyDescent="0.25">
      <c r="C3295" s="112"/>
      <c r="D3295" s="112"/>
      <c r="E3295" s="113"/>
      <c r="F3295" s="113"/>
      <c r="G3295" s="112"/>
      <c r="H3295" s="112"/>
      <c r="Z3295" s="112"/>
      <c r="AA3295" s="112"/>
    </row>
    <row r="3296" spans="3:27" x14ac:dyDescent="0.25">
      <c r="C3296" s="112"/>
      <c r="D3296" s="112"/>
      <c r="E3296" s="113"/>
      <c r="F3296" s="113"/>
      <c r="G3296" s="112"/>
      <c r="H3296" s="112"/>
      <c r="Z3296" s="112"/>
      <c r="AA3296" s="112"/>
    </row>
    <row r="3297" spans="3:27" x14ac:dyDescent="0.25">
      <c r="C3297" s="112"/>
      <c r="D3297" s="112"/>
      <c r="E3297" s="113"/>
      <c r="F3297" s="113"/>
      <c r="G3297" s="112"/>
      <c r="H3297" s="112"/>
      <c r="Z3297" s="112"/>
      <c r="AA3297" s="112"/>
    </row>
    <row r="3298" spans="3:27" x14ac:dyDescent="0.25">
      <c r="C3298" s="112"/>
      <c r="D3298" s="112"/>
      <c r="E3298" s="113"/>
      <c r="F3298" s="113"/>
      <c r="G3298" s="112"/>
      <c r="H3298" s="112"/>
      <c r="Z3298" s="112"/>
      <c r="AA3298" s="112"/>
    </row>
    <row r="3299" spans="3:27" x14ac:dyDescent="0.25">
      <c r="C3299" s="112"/>
      <c r="D3299" s="112"/>
      <c r="E3299" s="113"/>
      <c r="F3299" s="113"/>
      <c r="G3299" s="112"/>
      <c r="H3299" s="112"/>
      <c r="Z3299" s="112"/>
      <c r="AA3299" s="112"/>
    </row>
    <row r="3300" spans="3:27" x14ac:dyDescent="0.25">
      <c r="C3300" s="112"/>
      <c r="D3300" s="112"/>
      <c r="E3300" s="113"/>
      <c r="F3300" s="113"/>
      <c r="G3300" s="112"/>
      <c r="H3300" s="112"/>
      <c r="Z3300" s="112"/>
      <c r="AA3300" s="112"/>
    </row>
    <row r="3301" spans="3:27" x14ac:dyDescent="0.25">
      <c r="C3301" s="112"/>
      <c r="D3301" s="112"/>
      <c r="E3301" s="113"/>
      <c r="F3301" s="113"/>
      <c r="G3301" s="112"/>
      <c r="H3301" s="112"/>
      <c r="Z3301" s="112"/>
      <c r="AA3301" s="112"/>
    </row>
    <row r="3302" spans="3:27" x14ac:dyDescent="0.25">
      <c r="C3302" s="112"/>
      <c r="D3302" s="112"/>
      <c r="E3302" s="113"/>
      <c r="F3302" s="113"/>
      <c r="G3302" s="112"/>
      <c r="H3302" s="112"/>
      <c r="Z3302" s="112"/>
      <c r="AA3302" s="112"/>
    </row>
    <row r="3303" spans="3:27" x14ac:dyDescent="0.25">
      <c r="C3303" s="112"/>
      <c r="D3303" s="112"/>
      <c r="E3303" s="113"/>
      <c r="F3303" s="113"/>
      <c r="G3303" s="112"/>
      <c r="H3303" s="112"/>
      <c r="Z3303" s="112"/>
      <c r="AA3303" s="112"/>
    </row>
    <row r="3304" spans="3:27" x14ac:dyDescent="0.25">
      <c r="C3304" s="112"/>
      <c r="D3304" s="112"/>
      <c r="E3304" s="113"/>
      <c r="F3304" s="113"/>
      <c r="G3304" s="112"/>
      <c r="H3304" s="112"/>
      <c r="Z3304" s="112"/>
      <c r="AA3304" s="112"/>
    </row>
    <row r="3305" spans="3:27" x14ac:dyDescent="0.25">
      <c r="C3305" s="112"/>
      <c r="D3305" s="112"/>
      <c r="E3305" s="113"/>
      <c r="F3305" s="113"/>
      <c r="G3305" s="112"/>
      <c r="H3305" s="112"/>
      <c r="Z3305" s="112"/>
      <c r="AA3305" s="112"/>
    </row>
    <row r="3306" spans="3:27" x14ac:dyDescent="0.25">
      <c r="C3306" s="112"/>
      <c r="D3306" s="112"/>
      <c r="E3306" s="113"/>
      <c r="F3306" s="113"/>
      <c r="G3306" s="112"/>
      <c r="H3306" s="112"/>
      <c r="Z3306" s="112"/>
      <c r="AA3306" s="112"/>
    </row>
    <row r="3307" spans="3:27" x14ac:dyDescent="0.25">
      <c r="C3307" s="112"/>
      <c r="D3307" s="112"/>
      <c r="E3307" s="113"/>
      <c r="F3307" s="113"/>
      <c r="G3307" s="112"/>
      <c r="H3307" s="112"/>
      <c r="Z3307" s="112"/>
      <c r="AA3307" s="112"/>
    </row>
    <row r="3308" spans="3:27" x14ac:dyDescent="0.25">
      <c r="C3308" s="112"/>
      <c r="D3308" s="112"/>
      <c r="E3308" s="113"/>
      <c r="F3308" s="113"/>
      <c r="G3308" s="112"/>
      <c r="H3308" s="112"/>
      <c r="Z3308" s="112"/>
      <c r="AA3308" s="112"/>
    </row>
    <row r="3309" spans="3:27" x14ac:dyDescent="0.25">
      <c r="C3309" s="112"/>
      <c r="D3309" s="112"/>
      <c r="E3309" s="113"/>
      <c r="F3309" s="113"/>
      <c r="G3309" s="112"/>
      <c r="H3309" s="112"/>
      <c r="Z3309" s="112"/>
      <c r="AA3309" s="112"/>
    </row>
    <row r="3310" spans="3:27" x14ac:dyDescent="0.25">
      <c r="C3310" s="112"/>
      <c r="D3310" s="112"/>
      <c r="E3310" s="113"/>
      <c r="F3310" s="113"/>
      <c r="G3310" s="112"/>
      <c r="H3310" s="112"/>
      <c r="Z3310" s="112"/>
      <c r="AA3310" s="112"/>
    </row>
    <row r="3311" spans="3:27" x14ac:dyDescent="0.25">
      <c r="C3311" s="112"/>
      <c r="D3311" s="112"/>
      <c r="E3311" s="113"/>
      <c r="F3311" s="113"/>
      <c r="G3311" s="112"/>
      <c r="H3311" s="112"/>
      <c r="Z3311" s="112"/>
      <c r="AA3311" s="112"/>
    </row>
    <row r="3312" spans="3:27" x14ac:dyDescent="0.25">
      <c r="C3312" s="112"/>
      <c r="D3312" s="112"/>
      <c r="E3312" s="113"/>
      <c r="F3312" s="113"/>
      <c r="G3312" s="112"/>
      <c r="H3312" s="112"/>
      <c r="Z3312" s="112"/>
      <c r="AA3312" s="112"/>
    </row>
    <row r="3313" spans="3:27" x14ac:dyDescent="0.25">
      <c r="C3313" s="112"/>
      <c r="D3313" s="112"/>
      <c r="E3313" s="113"/>
      <c r="F3313" s="113"/>
      <c r="G3313" s="112"/>
      <c r="H3313" s="112"/>
      <c r="Z3313" s="112"/>
      <c r="AA3313" s="112"/>
    </row>
    <row r="3314" spans="3:27" x14ac:dyDescent="0.25">
      <c r="C3314" s="112"/>
      <c r="D3314" s="112"/>
      <c r="E3314" s="113"/>
      <c r="F3314" s="113"/>
      <c r="G3314" s="112"/>
      <c r="H3314" s="112"/>
      <c r="Z3314" s="112"/>
      <c r="AA3314" s="112"/>
    </row>
    <row r="3315" spans="3:27" x14ac:dyDescent="0.25">
      <c r="C3315" s="112"/>
      <c r="D3315" s="112"/>
      <c r="E3315" s="113"/>
      <c r="F3315" s="113"/>
      <c r="G3315" s="112"/>
      <c r="H3315" s="112"/>
      <c r="Z3315" s="112"/>
      <c r="AA3315" s="112"/>
    </row>
    <row r="3316" spans="3:27" x14ac:dyDescent="0.25">
      <c r="C3316" s="112"/>
      <c r="D3316" s="112"/>
      <c r="E3316" s="113"/>
      <c r="F3316" s="113"/>
      <c r="G3316" s="112"/>
      <c r="H3316" s="112"/>
      <c r="Z3316" s="112"/>
      <c r="AA3316" s="112"/>
    </row>
    <row r="3317" spans="3:27" x14ac:dyDescent="0.25">
      <c r="C3317" s="112"/>
      <c r="D3317" s="112"/>
      <c r="E3317" s="113"/>
      <c r="F3317" s="113"/>
      <c r="G3317" s="112"/>
      <c r="H3317" s="112"/>
      <c r="Z3317" s="112"/>
      <c r="AA3317" s="112"/>
    </row>
    <row r="3318" spans="3:27" x14ac:dyDescent="0.25">
      <c r="C3318" s="112"/>
      <c r="D3318" s="112"/>
      <c r="E3318" s="113"/>
      <c r="F3318" s="113"/>
      <c r="G3318" s="112"/>
      <c r="H3318" s="112"/>
      <c r="Z3318" s="112"/>
      <c r="AA3318" s="112"/>
    </row>
    <row r="3319" spans="3:27" x14ac:dyDescent="0.25">
      <c r="C3319" s="112"/>
      <c r="D3319" s="112"/>
      <c r="E3319" s="113"/>
      <c r="F3319" s="113"/>
      <c r="G3319" s="112"/>
      <c r="H3319" s="112"/>
      <c r="Z3319" s="112"/>
      <c r="AA3319" s="112"/>
    </row>
    <row r="3320" spans="3:27" x14ac:dyDescent="0.25">
      <c r="C3320" s="112"/>
      <c r="D3320" s="112"/>
      <c r="E3320" s="113"/>
      <c r="F3320" s="113"/>
      <c r="G3320" s="112"/>
      <c r="H3320" s="112"/>
      <c r="Z3320" s="112"/>
      <c r="AA3320" s="112"/>
    </row>
    <row r="3321" spans="3:27" x14ac:dyDescent="0.25">
      <c r="C3321" s="112"/>
      <c r="D3321" s="112"/>
      <c r="E3321" s="113"/>
      <c r="F3321" s="113"/>
      <c r="G3321" s="112"/>
      <c r="H3321" s="112"/>
      <c r="Z3321" s="112"/>
      <c r="AA3321" s="112"/>
    </row>
    <row r="3322" spans="3:27" x14ac:dyDescent="0.25">
      <c r="C3322" s="112"/>
      <c r="D3322" s="112"/>
      <c r="E3322" s="113"/>
      <c r="F3322" s="113"/>
      <c r="G3322" s="112"/>
      <c r="H3322" s="112"/>
      <c r="Z3322" s="112"/>
      <c r="AA3322" s="112"/>
    </row>
    <row r="3323" spans="3:27" x14ac:dyDescent="0.25">
      <c r="C3323" s="112"/>
      <c r="D3323" s="112"/>
      <c r="E3323" s="113"/>
      <c r="F3323" s="113"/>
      <c r="G3323" s="112"/>
      <c r="H3323" s="112"/>
      <c r="Z3323" s="112"/>
      <c r="AA3323" s="112"/>
    </row>
    <row r="3324" spans="3:27" x14ac:dyDescent="0.25">
      <c r="C3324" s="112"/>
      <c r="D3324" s="112"/>
      <c r="E3324" s="113"/>
      <c r="F3324" s="113"/>
      <c r="G3324" s="112"/>
      <c r="H3324" s="112"/>
      <c r="Z3324" s="112"/>
      <c r="AA3324" s="112"/>
    </row>
    <row r="3325" spans="3:27" x14ac:dyDescent="0.25">
      <c r="C3325" s="112"/>
      <c r="D3325" s="112"/>
      <c r="E3325" s="113"/>
      <c r="F3325" s="113"/>
      <c r="G3325" s="112"/>
      <c r="H3325" s="112"/>
      <c r="Z3325" s="112"/>
      <c r="AA3325" s="112"/>
    </row>
    <row r="3326" spans="3:27" x14ac:dyDescent="0.25">
      <c r="C3326" s="112"/>
      <c r="D3326" s="112"/>
      <c r="E3326" s="113"/>
      <c r="F3326" s="113"/>
      <c r="G3326" s="112"/>
      <c r="H3326" s="112"/>
      <c r="Z3326" s="112"/>
      <c r="AA3326" s="112"/>
    </row>
    <row r="3327" spans="3:27" x14ac:dyDescent="0.25">
      <c r="C3327" s="112"/>
      <c r="D3327" s="112"/>
      <c r="E3327" s="113"/>
      <c r="F3327" s="113"/>
      <c r="G3327" s="112"/>
      <c r="H3327" s="112"/>
      <c r="Z3327" s="112"/>
      <c r="AA3327" s="112"/>
    </row>
    <row r="3328" spans="3:27" x14ac:dyDescent="0.25">
      <c r="C3328" s="112"/>
      <c r="D3328" s="112"/>
      <c r="E3328" s="113"/>
      <c r="F3328" s="113"/>
      <c r="G3328" s="112"/>
      <c r="H3328" s="112"/>
      <c r="Z3328" s="112"/>
      <c r="AA3328" s="112"/>
    </row>
    <row r="3329" spans="3:27" x14ac:dyDescent="0.25">
      <c r="C3329" s="112"/>
      <c r="D3329" s="112"/>
      <c r="E3329" s="113"/>
      <c r="F3329" s="113"/>
      <c r="G3329" s="112"/>
      <c r="H3329" s="112"/>
      <c r="Z3329" s="112"/>
      <c r="AA3329" s="112"/>
    </row>
    <row r="3330" spans="3:27" x14ac:dyDescent="0.25">
      <c r="C3330" s="112"/>
      <c r="D3330" s="112"/>
      <c r="E3330" s="113"/>
      <c r="F3330" s="113"/>
      <c r="G3330" s="112"/>
      <c r="H3330" s="112"/>
      <c r="Z3330" s="112"/>
      <c r="AA3330" s="112"/>
    </row>
    <row r="3331" spans="3:27" x14ac:dyDescent="0.25">
      <c r="C3331" s="112"/>
      <c r="D3331" s="112"/>
      <c r="E3331" s="113"/>
      <c r="F3331" s="113"/>
      <c r="G3331" s="112"/>
      <c r="H3331" s="112"/>
      <c r="Z3331" s="112"/>
      <c r="AA3331" s="112"/>
    </row>
    <row r="3332" spans="3:27" x14ac:dyDescent="0.25">
      <c r="C3332" s="112"/>
      <c r="D3332" s="112"/>
      <c r="E3332" s="113"/>
      <c r="F3332" s="113"/>
      <c r="G3332" s="112"/>
      <c r="H3332" s="112"/>
      <c r="Z3332" s="112"/>
      <c r="AA3332" s="112"/>
    </row>
    <row r="3333" spans="3:27" x14ac:dyDescent="0.25">
      <c r="C3333" s="112"/>
      <c r="D3333" s="112"/>
      <c r="E3333" s="113"/>
      <c r="F3333" s="113"/>
      <c r="G3333" s="112"/>
      <c r="H3333" s="112"/>
      <c r="Z3333" s="112"/>
      <c r="AA3333" s="112"/>
    </row>
    <row r="3334" spans="3:27" x14ac:dyDescent="0.25">
      <c r="C3334" s="112"/>
      <c r="D3334" s="112"/>
      <c r="E3334" s="113"/>
      <c r="F3334" s="113"/>
      <c r="G3334" s="112"/>
      <c r="H3334" s="112"/>
      <c r="Z3334" s="112"/>
      <c r="AA3334" s="112"/>
    </row>
    <row r="3335" spans="3:27" x14ac:dyDescent="0.25">
      <c r="C3335" s="112"/>
      <c r="D3335" s="112"/>
      <c r="E3335" s="113"/>
      <c r="F3335" s="113"/>
      <c r="G3335" s="112"/>
      <c r="H3335" s="112"/>
      <c r="Z3335" s="112"/>
      <c r="AA3335" s="112"/>
    </row>
    <row r="3336" spans="3:27" x14ac:dyDescent="0.25">
      <c r="C3336" s="112"/>
      <c r="D3336" s="112"/>
      <c r="E3336" s="113"/>
      <c r="F3336" s="113"/>
      <c r="G3336" s="112"/>
      <c r="H3336" s="112"/>
      <c r="Z3336" s="112"/>
      <c r="AA3336" s="112"/>
    </row>
    <row r="3337" spans="3:27" x14ac:dyDescent="0.25">
      <c r="C3337" s="112"/>
      <c r="D3337" s="112"/>
      <c r="E3337" s="113"/>
      <c r="F3337" s="113"/>
      <c r="G3337" s="112"/>
      <c r="H3337" s="112"/>
      <c r="Z3337" s="112"/>
      <c r="AA3337" s="112"/>
    </row>
    <row r="3338" spans="3:27" x14ac:dyDescent="0.25">
      <c r="C3338" s="112"/>
      <c r="D3338" s="112"/>
      <c r="E3338" s="113"/>
      <c r="F3338" s="113"/>
      <c r="G3338" s="112"/>
      <c r="H3338" s="112"/>
      <c r="Z3338" s="112"/>
      <c r="AA3338" s="112"/>
    </row>
    <row r="3339" spans="3:27" x14ac:dyDescent="0.25">
      <c r="C3339" s="112"/>
      <c r="D3339" s="112"/>
      <c r="E3339" s="113"/>
      <c r="F3339" s="113"/>
      <c r="G3339" s="112"/>
      <c r="H3339" s="112"/>
      <c r="Z3339" s="112"/>
      <c r="AA3339" s="112"/>
    </row>
    <row r="3340" spans="3:27" x14ac:dyDescent="0.25">
      <c r="C3340" s="112"/>
      <c r="D3340" s="112"/>
      <c r="E3340" s="113"/>
      <c r="F3340" s="113"/>
      <c r="G3340" s="112"/>
      <c r="H3340" s="112"/>
      <c r="Z3340" s="112"/>
      <c r="AA3340" s="112"/>
    </row>
    <row r="3341" spans="3:27" x14ac:dyDescent="0.25">
      <c r="C3341" s="112"/>
      <c r="D3341" s="112"/>
      <c r="E3341" s="113"/>
      <c r="F3341" s="113"/>
      <c r="G3341" s="112"/>
      <c r="H3341" s="112"/>
      <c r="Z3341" s="112"/>
      <c r="AA3341" s="112"/>
    </row>
    <row r="3342" spans="3:27" x14ac:dyDescent="0.25">
      <c r="C3342" s="112"/>
      <c r="D3342" s="112"/>
      <c r="E3342" s="113"/>
      <c r="F3342" s="113"/>
      <c r="G3342" s="112"/>
      <c r="H3342" s="112"/>
      <c r="Z3342" s="112"/>
      <c r="AA3342" s="112"/>
    </row>
    <row r="3343" spans="3:27" x14ac:dyDescent="0.25">
      <c r="C3343" s="112"/>
      <c r="D3343" s="112"/>
      <c r="E3343" s="113"/>
      <c r="F3343" s="113"/>
      <c r="G3343" s="112"/>
      <c r="H3343" s="112"/>
      <c r="Z3343" s="112"/>
      <c r="AA3343" s="112"/>
    </row>
    <row r="3344" spans="3:27" x14ac:dyDescent="0.25">
      <c r="C3344" s="112"/>
      <c r="D3344" s="112"/>
      <c r="E3344" s="113"/>
      <c r="F3344" s="113"/>
      <c r="G3344" s="112"/>
      <c r="H3344" s="112"/>
      <c r="Z3344" s="112"/>
      <c r="AA3344" s="112"/>
    </row>
    <row r="3345" spans="3:27" x14ac:dyDescent="0.25">
      <c r="C3345" s="112"/>
      <c r="D3345" s="112"/>
      <c r="E3345" s="113"/>
      <c r="F3345" s="113"/>
      <c r="G3345" s="112"/>
      <c r="H3345" s="112"/>
      <c r="Z3345" s="112"/>
      <c r="AA3345" s="112"/>
    </row>
    <row r="3346" spans="3:27" x14ac:dyDescent="0.25">
      <c r="C3346" s="112"/>
      <c r="D3346" s="112"/>
      <c r="E3346" s="113"/>
      <c r="F3346" s="113"/>
      <c r="G3346" s="112"/>
      <c r="H3346" s="112"/>
      <c r="Z3346" s="112"/>
      <c r="AA3346" s="112"/>
    </row>
    <row r="3347" spans="3:27" x14ac:dyDescent="0.25">
      <c r="C3347" s="112"/>
      <c r="D3347" s="112"/>
      <c r="E3347" s="113"/>
      <c r="F3347" s="113"/>
      <c r="G3347" s="112"/>
      <c r="H3347" s="112"/>
      <c r="Z3347" s="112"/>
      <c r="AA3347" s="112"/>
    </row>
    <row r="3348" spans="3:27" x14ac:dyDescent="0.25">
      <c r="C3348" s="112"/>
      <c r="D3348" s="112"/>
      <c r="E3348" s="113"/>
      <c r="F3348" s="113"/>
      <c r="G3348" s="112"/>
      <c r="H3348" s="112"/>
      <c r="Z3348" s="112"/>
      <c r="AA3348" s="112"/>
    </row>
    <row r="3349" spans="3:27" x14ac:dyDescent="0.25">
      <c r="C3349" s="112"/>
      <c r="D3349" s="112"/>
      <c r="E3349" s="113"/>
      <c r="F3349" s="113"/>
      <c r="G3349" s="112"/>
      <c r="H3349" s="112"/>
      <c r="Z3349" s="112"/>
      <c r="AA3349" s="112"/>
    </row>
    <row r="3350" spans="3:27" x14ac:dyDescent="0.25">
      <c r="C3350" s="112"/>
      <c r="D3350" s="112"/>
      <c r="E3350" s="113"/>
      <c r="F3350" s="113"/>
      <c r="G3350" s="112"/>
      <c r="H3350" s="112"/>
      <c r="Z3350" s="112"/>
      <c r="AA3350" s="112"/>
    </row>
    <row r="3351" spans="3:27" x14ac:dyDescent="0.25">
      <c r="C3351" s="112"/>
      <c r="D3351" s="112"/>
      <c r="E3351" s="113"/>
      <c r="F3351" s="113"/>
      <c r="G3351" s="112"/>
      <c r="H3351" s="112"/>
      <c r="Z3351" s="112"/>
      <c r="AA3351" s="112"/>
    </row>
    <row r="3352" spans="3:27" x14ac:dyDescent="0.25">
      <c r="C3352" s="112"/>
      <c r="D3352" s="112"/>
      <c r="E3352" s="113"/>
      <c r="F3352" s="113"/>
      <c r="G3352" s="112"/>
      <c r="H3352" s="112"/>
      <c r="Z3352" s="112"/>
      <c r="AA3352" s="112"/>
    </row>
    <row r="3353" spans="3:27" x14ac:dyDescent="0.25">
      <c r="C3353" s="112"/>
      <c r="D3353" s="112"/>
      <c r="E3353" s="113"/>
      <c r="F3353" s="113"/>
      <c r="G3353" s="112"/>
      <c r="H3353" s="112"/>
      <c r="Z3353" s="112"/>
      <c r="AA3353" s="112"/>
    </row>
    <row r="3354" spans="3:27" x14ac:dyDescent="0.25">
      <c r="C3354" s="112"/>
      <c r="D3354" s="112"/>
      <c r="E3354" s="113"/>
      <c r="F3354" s="113"/>
      <c r="G3354" s="112"/>
      <c r="H3354" s="112"/>
      <c r="Z3354" s="112"/>
      <c r="AA3354" s="112"/>
    </row>
    <row r="3355" spans="3:27" x14ac:dyDescent="0.25">
      <c r="C3355" s="112"/>
      <c r="D3355" s="112"/>
      <c r="E3355" s="113"/>
      <c r="F3355" s="113"/>
      <c r="G3355" s="112"/>
      <c r="H3355" s="112"/>
      <c r="Z3355" s="112"/>
      <c r="AA3355" s="112"/>
    </row>
    <row r="3356" spans="3:27" x14ac:dyDescent="0.25">
      <c r="C3356" s="112"/>
      <c r="D3356" s="112"/>
      <c r="E3356" s="113"/>
      <c r="F3356" s="113"/>
      <c r="G3356" s="112"/>
      <c r="H3356" s="112"/>
      <c r="Z3356" s="112"/>
      <c r="AA3356" s="112"/>
    </row>
    <row r="3357" spans="3:27" x14ac:dyDescent="0.25">
      <c r="C3357" s="112"/>
      <c r="D3357" s="112"/>
      <c r="E3357" s="113"/>
      <c r="F3357" s="113"/>
      <c r="G3357" s="112"/>
      <c r="H3357" s="112"/>
      <c r="Z3357" s="112"/>
      <c r="AA3357" s="112"/>
    </row>
    <row r="3358" spans="3:27" x14ac:dyDescent="0.25">
      <c r="C3358" s="112"/>
      <c r="D3358" s="112"/>
      <c r="E3358" s="113"/>
      <c r="F3358" s="113"/>
      <c r="G3358" s="112"/>
      <c r="H3358" s="112"/>
      <c r="Z3358" s="112"/>
      <c r="AA3358" s="112"/>
    </row>
    <row r="3359" spans="3:27" x14ac:dyDescent="0.25">
      <c r="C3359" s="112"/>
      <c r="D3359" s="112"/>
      <c r="E3359" s="113"/>
      <c r="F3359" s="113"/>
      <c r="G3359" s="112"/>
      <c r="H3359" s="112"/>
      <c r="Z3359" s="112"/>
      <c r="AA3359" s="112"/>
    </row>
    <row r="3360" spans="3:27" x14ac:dyDescent="0.25">
      <c r="C3360" s="112"/>
      <c r="D3360" s="112"/>
      <c r="E3360" s="113"/>
      <c r="F3360" s="113"/>
      <c r="G3360" s="112"/>
      <c r="H3360" s="112"/>
      <c r="Z3360" s="112"/>
      <c r="AA3360" s="112"/>
    </row>
    <row r="3361" spans="3:27" x14ac:dyDescent="0.25">
      <c r="C3361" s="112"/>
      <c r="D3361" s="112"/>
      <c r="E3361" s="113"/>
      <c r="F3361" s="113"/>
      <c r="G3361" s="112"/>
      <c r="H3361" s="112"/>
      <c r="Z3361" s="112"/>
      <c r="AA3361" s="112"/>
    </row>
    <row r="3362" spans="3:27" x14ac:dyDescent="0.25">
      <c r="C3362" s="112"/>
      <c r="D3362" s="112"/>
      <c r="E3362" s="113"/>
      <c r="F3362" s="113"/>
      <c r="G3362" s="112"/>
      <c r="H3362" s="112"/>
      <c r="Z3362" s="112"/>
      <c r="AA3362" s="112"/>
    </row>
    <row r="3363" spans="3:27" x14ac:dyDescent="0.25">
      <c r="C3363" s="112"/>
      <c r="D3363" s="112"/>
      <c r="E3363" s="113"/>
      <c r="F3363" s="113"/>
      <c r="G3363" s="112"/>
      <c r="H3363" s="112"/>
      <c r="Z3363" s="112"/>
      <c r="AA3363" s="112"/>
    </row>
    <row r="3364" spans="3:27" x14ac:dyDescent="0.25">
      <c r="C3364" s="112"/>
      <c r="D3364" s="112"/>
      <c r="E3364" s="113"/>
      <c r="F3364" s="113"/>
      <c r="G3364" s="112"/>
      <c r="H3364" s="112"/>
      <c r="Z3364" s="112"/>
      <c r="AA3364" s="112"/>
    </row>
    <row r="3365" spans="3:27" x14ac:dyDescent="0.25">
      <c r="C3365" s="112"/>
      <c r="D3365" s="112"/>
      <c r="E3365" s="113"/>
      <c r="F3365" s="113"/>
      <c r="G3365" s="112"/>
      <c r="H3365" s="112"/>
      <c r="Z3365" s="112"/>
      <c r="AA3365" s="112"/>
    </row>
    <row r="3366" spans="3:27" x14ac:dyDescent="0.25">
      <c r="C3366" s="112"/>
      <c r="D3366" s="112"/>
      <c r="E3366" s="113"/>
      <c r="F3366" s="113"/>
      <c r="G3366" s="112"/>
      <c r="H3366" s="112"/>
      <c r="Z3366" s="112"/>
      <c r="AA3366" s="112"/>
    </row>
    <row r="3367" spans="3:27" x14ac:dyDescent="0.25">
      <c r="C3367" s="112"/>
      <c r="D3367" s="112"/>
      <c r="E3367" s="113"/>
      <c r="F3367" s="113"/>
      <c r="G3367" s="112"/>
      <c r="H3367" s="112"/>
      <c r="Z3367" s="112"/>
      <c r="AA3367" s="112"/>
    </row>
    <row r="3368" spans="3:27" x14ac:dyDescent="0.25">
      <c r="C3368" s="112"/>
      <c r="D3368" s="112"/>
      <c r="E3368" s="113"/>
      <c r="F3368" s="113"/>
      <c r="G3368" s="112"/>
      <c r="H3368" s="112"/>
      <c r="Z3368" s="112"/>
      <c r="AA3368" s="112"/>
    </row>
    <row r="3369" spans="3:27" x14ac:dyDescent="0.25">
      <c r="C3369" s="112"/>
      <c r="D3369" s="112"/>
      <c r="E3369" s="113"/>
      <c r="F3369" s="113"/>
      <c r="G3369" s="112"/>
      <c r="H3369" s="112"/>
      <c r="Z3369" s="112"/>
      <c r="AA3369" s="112"/>
    </row>
    <row r="3370" spans="3:27" x14ac:dyDescent="0.25">
      <c r="C3370" s="112"/>
      <c r="D3370" s="112"/>
      <c r="E3370" s="113"/>
      <c r="F3370" s="113"/>
      <c r="G3370" s="112"/>
      <c r="H3370" s="112"/>
      <c r="Z3370" s="112"/>
      <c r="AA3370" s="112"/>
    </row>
    <row r="3371" spans="3:27" x14ac:dyDescent="0.25">
      <c r="C3371" s="112"/>
      <c r="D3371" s="112"/>
      <c r="E3371" s="113"/>
      <c r="F3371" s="113"/>
      <c r="G3371" s="112"/>
      <c r="H3371" s="112"/>
      <c r="Z3371" s="112"/>
      <c r="AA3371" s="112"/>
    </row>
    <row r="3372" spans="3:27" x14ac:dyDescent="0.25">
      <c r="C3372" s="112"/>
      <c r="D3372" s="112"/>
      <c r="E3372" s="113"/>
      <c r="F3372" s="113"/>
      <c r="G3372" s="112"/>
      <c r="H3372" s="112"/>
      <c r="Z3372" s="112"/>
      <c r="AA3372" s="112"/>
    </row>
    <row r="3373" spans="3:27" x14ac:dyDescent="0.25">
      <c r="C3373" s="112"/>
      <c r="D3373" s="112"/>
      <c r="E3373" s="113"/>
      <c r="F3373" s="113"/>
      <c r="G3373" s="112"/>
      <c r="H3373" s="112"/>
      <c r="Z3373" s="112"/>
      <c r="AA3373" s="112"/>
    </row>
    <row r="3374" spans="3:27" x14ac:dyDescent="0.25">
      <c r="C3374" s="112"/>
      <c r="D3374" s="112"/>
      <c r="E3374" s="113"/>
      <c r="F3374" s="113"/>
      <c r="G3374" s="112"/>
      <c r="H3374" s="112"/>
      <c r="Z3374" s="112"/>
      <c r="AA3374" s="112"/>
    </row>
    <row r="3375" spans="3:27" x14ac:dyDescent="0.25">
      <c r="C3375" s="112"/>
      <c r="D3375" s="112"/>
      <c r="E3375" s="113"/>
      <c r="F3375" s="113"/>
      <c r="G3375" s="112"/>
      <c r="H3375" s="112"/>
      <c r="Z3375" s="112"/>
      <c r="AA3375" s="112"/>
    </row>
    <row r="3376" spans="3:27" x14ac:dyDescent="0.25">
      <c r="C3376" s="112"/>
      <c r="D3376" s="112"/>
      <c r="E3376" s="113"/>
      <c r="F3376" s="113"/>
      <c r="G3376" s="112"/>
      <c r="H3376" s="112"/>
      <c r="Z3376" s="112"/>
      <c r="AA3376" s="112"/>
    </row>
    <row r="3377" spans="3:27" x14ac:dyDescent="0.25">
      <c r="C3377" s="112"/>
      <c r="D3377" s="112"/>
      <c r="E3377" s="113"/>
      <c r="F3377" s="113"/>
      <c r="G3377" s="112"/>
      <c r="H3377" s="112"/>
      <c r="Z3377" s="112"/>
      <c r="AA3377" s="112"/>
    </row>
    <row r="3378" spans="3:27" x14ac:dyDescent="0.25">
      <c r="C3378" s="112"/>
      <c r="D3378" s="112"/>
      <c r="E3378" s="113"/>
      <c r="F3378" s="113"/>
      <c r="G3378" s="112"/>
      <c r="H3378" s="112"/>
      <c r="Z3378" s="112"/>
      <c r="AA3378" s="112"/>
    </row>
    <row r="3379" spans="3:27" x14ac:dyDescent="0.25">
      <c r="C3379" s="112"/>
      <c r="D3379" s="112"/>
      <c r="E3379" s="113"/>
      <c r="F3379" s="113"/>
      <c r="G3379" s="112"/>
      <c r="H3379" s="112"/>
      <c r="Z3379" s="112"/>
      <c r="AA3379" s="112"/>
    </row>
    <row r="3380" spans="3:27" x14ac:dyDescent="0.25">
      <c r="C3380" s="112"/>
      <c r="D3380" s="112"/>
      <c r="E3380" s="113"/>
      <c r="F3380" s="113"/>
      <c r="G3380" s="112"/>
      <c r="H3380" s="112"/>
      <c r="Z3380" s="112"/>
      <c r="AA3380" s="112"/>
    </row>
    <row r="3381" spans="3:27" x14ac:dyDescent="0.25">
      <c r="C3381" s="112"/>
      <c r="D3381" s="112"/>
      <c r="E3381" s="113"/>
      <c r="F3381" s="113"/>
      <c r="G3381" s="112"/>
      <c r="H3381" s="112"/>
      <c r="Z3381" s="112"/>
      <c r="AA3381" s="112"/>
    </row>
    <row r="3382" spans="3:27" x14ac:dyDescent="0.25">
      <c r="C3382" s="112"/>
      <c r="D3382" s="112"/>
      <c r="E3382" s="113"/>
      <c r="F3382" s="113"/>
      <c r="G3382" s="112"/>
      <c r="H3382" s="112"/>
      <c r="Z3382" s="112"/>
      <c r="AA3382" s="112"/>
    </row>
    <row r="3383" spans="3:27" x14ac:dyDescent="0.25">
      <c r="C3383" s="112"/>
      <c r="D3383" s="112"/>
      <c r="E3383" s="113"/>
      <c r="F3383" s="113"/>
      <c r="G3383" s="112"/>
      <c r="H3383" s="112"/>
      <c r="Z3383" s="112"/>
      <c r="AA3383" s="112"/>
    </row>
    <row r="3384" spans="3:27" x14ac:dyDescent="0.25">
      <c r="C3384" s="112"/>
      <c r="D3384" s="112"/>
      <c r="E3384" s="113"/>
      <c r="F3384" s="113"/>
      <c r="G3384" s="112"/>
      <c r="H3384" s="112"/>
      <c r="Z3384" s="112"/>
      <c r="AA3384" s="112"/>
    </row>
    <row r="3385" spans="3:27" x14ac:dyDescent="0.25">
      <c r="C3385" s="112"/>
      <c r="D3385" s="112"/>
      <c r="E3385" s="113"/>
      <c r="F3385" s="113"/>
      <c r="G3385" s="112"/>
      <c r="H3385" s="112"/>
      <c r="Z3385" s="112"/>
      <c r="AA3385" s="112"/>
    </row>
    <row r="3386" spans="3:27" x14ac:dyDescent="0.25">
      <c r="C3386" s="112"/>
      <c r="D3386" s="112"/>
      <c r="E3386" s="113"/>
      <c r="F3386" s="113"/>
      <c r="G3386" s="112"/>
      <c r="H3386" s="112"/>
      <c r="Z3386" s="112"/>
      <c r="AA3386" s="112"/>
    </row>
    <row r="3387" spans="3:27" x14ac:dyDescent="0.25">
      <c r="C3387" s="112"/>
      <c r="D3387" s="112"/>
      <c r="E3387" s="113"/>
      <c r="F3387" s="113"/>
      <c r="G3387" s="112"/>
      <c r="H3387" s="112"/>
      <c r="Z3387" s="112"/>
      <c r="AA3387" s="112"/>
    </row>
    <row r="3388" spans="3:27" x14ac:dyDescent="0.25">
      <c r="C3388" s="112"/>
      <c r="D3388" s="112"/>
      <c r="E3388" s="113"/>
      <c r="F3388" s="113"/>
      <c r="G3388" s="112"/>
      <c r="H3388" s="112"/>
      <c r="Z3388" s="112"/>
      <c r="AA3388" s="112"/>
    </row>
    <row r="3389" spans="3:27" x14ac:dyDescent="0.25">
      <c r="C3389" s="112"/>
      <c r="D3389" s="112"/>
      <c r="E3389" s="113"/>
      <c r="F3389" s="113"/>
      <c r="G3389" s="112"/>
      <c r="H3389" s="112"/>
      <c r="Z3389" s="112"/>
      <c r="AA3389" s="112"/>
    </row>
    <row r="3390" spans="3:27" x14ac:dyDescent="0.25">
      <c r="C3390" s="112"/>
      <c r="D3390" s="112"/>
      <c r="E3390" s="113"/>
      <c r="F3390" s="113"/>
      <c r="G3390" s="112"/>
      <c r="H3390" s="112"/>
      <c r="Z3390" s="112"/>
      <c r="AA3390" s="112"/>
    </row>
    <row r="3391" spans="3:27" x14ac:dyDescent="0.25">
      <c r="C3391" s="112"/>
      <c r="D3391" s="112"/>
      <c r="E3391" s="113"/>
      <c r="F3391" s="113"/>
      <c r="G3391" s="112"/>
      <c r="H3391" s="112"/>
      <c r="Z3391" s="112"/>
      <c r="AA3391" s="112"/>
    </row>
    <row r="3392" spans="3:27" x14ac:dyDescent="0.25">
      <c r="C3392" s="112"/>
      <c r="D3392" s="112"/>
      <c r="E3392" s="113"/>
      <c r="F3392" s="113"/>
      <c r="G3392" s="112"/>
      <c r="H3392" s="112"/>
      <c r="Z3392" s="112"/>
      <c r="AA3392" s="112"/>
    </row>
    <row r="3393" spans="3:27" x14ac:dyDescent="0.25">
      <c r="C3393" s="112"/>
      <c r="D3393" s="112"/>
      <c r="E3393" s="113"/>
      <c r="F3393" s="113"/>
      <c r="G3393" s="112"/>
      <c r="H3393" s="112"/>
      <c r="Z3393" s="112"/>
      <c r="AA3393" s="112"/>
    </row>
    <row r="3394" spans="3:27" x14ac:dyDescent="0.25">
      <c r="C3394" s="112"/>
      <c r="D3394" s="112"/>
      <c r="E3394" s="113"/>
      <c r="F3394" s="113"/>
      <c r="G3394" s="112"/>
      <c r="H3394" s="112"/>
      <c r="Z3394" s="112"/>
      <c r="AA3394" s="112"/>
    </row>
    <row r="3395" spans="3:27" x14ac:dyDescent="0.25">
      <c r="C3395" s="112"/>
      <c r="D3395" s="112"/>
      <c r="E3395" s="113"/>
      <c r="F3395" s="113"/>
      <c r="G3395" s="112"/>
      <c r="H3395" s="112"/>
      <c r="Z3395" s="112"/>
      <c r="AA3395" s="112"/>
    </row>
    <row r="3396" spans="3:27" x14ac:dyDescent="0.25">
      <c r="C3396" s="112"/>
      <c r="D3396" s="112"/>
      <c r="E3396" s="113"/>
      <c r="F3396" s="113"/>
      <c r="G3396" s="112"/>
      <c r="H3396" s="112"/>
      <c r="Z3396" s="112"/>
      <c r="AA3396" s="112"/>
    </row>
    <row r="3397" spans="3:27" x14ac:dyDescent="0.25">
      <c r="C3397" s="112"/>
      <c r="D3397" s="112"/>
      <c r="E3397" s="113"/>
      <c r="F3397" s="113"/>
      <c r="G3397" s="112"/>
      <c r="H3397" s="112"/>
      <c r="Z3397" s="112"/>
      <c r="AA3397" s="112"/>
    </row>
    <row r="3398" spans="3:27" x14ac:dyDescent="0.25">
      <c r="C3398" s="112"/>
      <c r="D3398" s="112"/>
      <c r="E3398" s="113"/>
      <c r="F3398" s="113"/>
      <c r="G3398" s="112"/>
      <c r="H3398" s="112"/>
      <c r="Z3398" s="112"/>
      <c r="AA3398" s="112"/>
    </row>
    <row r="3399" spans="3:27" x14ac:dyDescent="0.25">
      <c r="C3399" s="112"/>
      <c r="D3399" s="112"/>
      <c r="E3399" s="113"/>
      <c r="F3399" s="113"/>
      <c r="G3399" s="112"/>
      <c r="H3399" s="112"/>
      <c r="Z3399" s="112"/>
      <c r="AA3399" s="112"/>
    </row>
    <row r="3400" spans="3:27" x14ac:dyDescent="0.25">
      <c r="C3400" s="112"/>
      <c r="D3400" s="112"/>
      <c r="E3400" s="113"/>
      <c r="F3400" s="113"/>
      <c r="G3400" s="112"/>
      <c r="H3400" s="112"/>
      <c r="Z3400" s="112"/>
      <c r="AA3400" s="112"/>
    </row>
    <row r="3401" spans="3:27" x14ac:dyDescent="0.25">
      <c r="C3401" s="112"/>
      <c r="D3401" s="112"/>
      <c r="E3401" s="113"/>
      <c r="F3401" s="113"/>
      <c r="G3401" s="112"/>
      <c r="H3401" s="112"/>
      <c r="Z3401" s="112"/>
      <c r="AA3401" s="112"/>
    </row>
    <row r="3402" spans="3:27" x14ac:dyDescent="0.25">
      <c r="C3402" s="112"/>
      <c r="D3402" s="112"/>
      <c r="E3402" s="113"/>
      <c r="F3402" s="113"/>
      <c r="G3402" s="112"/>
      <c r="H3402" s="112"/>
      <c r="Z3402" s="112"/>
      <c r="AA3402" s="112"/>
    </row>
    <row r="3403" spans="3:27" x14ac:dyDescent="0.25">
      <c r="C3403" s="112"/>
      <c r="D3403" s="112"/>
      <c r="E3403" s="113"/>
      <c r="F3403" s="113"/>
      <c r="G3403" s="112"/>
      <c r="H3403" s="112"/>
      <c r="Z3403" s="112"/>
      <c r="AA3403" s="112"/>
    </row>
    <row r="3404" spans="3:27" x14ac:dyDescent="0.25">
      <c r="C3404" s="112"/>
      <c r="D3404" s="112"/>
      <c r="E3404" s="113"/>
      <c r="F3404" s="113"/>
      <c r="G3404" s="112"/>
      <c r="H3404" s="112"/>
      <c r="Z3404" s="112"/>
      <c r="AA3404" s="112"/>
    </row>
    <row r="3405" spans="3:27" x14ac:dyDescent="0.25">
      <c r="C3405" s="112"/>
      <c r="D3405" s="112"/>
      <c r="E3405" s="113"/>
      <c r="F3405" s="113"/>
      <c r="G3405" s="112"/>
      <c r="H3405" s="112"/>
      <c r="Z3405" s="112"/>
      <c r="AA3405" s="112"/>
    </row>
    <row r="3406" spans="3:27" x14ac:dyDescent="0.25">
      <c r="C3406" s="112"/>
      <c r="D3406" s="112"/>
      <c r="E3406" s="113"/>
      <c r="F3406" s="113"/>
      <c r="G3406" s="112"/>
      <c r="H3406" s="112"/>
      <c r="Z3406" s="112"/>
      <c r="AA3406" s="112"/>
    </row>
    <row r="3407" spans="3:27" x14ac:dyDescent="0.25">
      <c r="C3407" s="112"/>
      <c r="D3407" s="112"/>
      <c r="E3407" s="113"/>
      <c r="F3407" s="113"/>
      <c r="G3407" s="112"/>
      <c r="H3407" s="112"/>
      <c r="Z3407" s="112"/>
      <c r="AA3407" s="112"/>
    </row>
    <row r="3408" spans="3:27" x14ac:dyDescent="0.25">
      <c r="C3408" s="112"/>
      <c r="D3408" s="112"/>
      <c r="E3408" s="113"/>
      <c r="F3408" s="113"/>
      <c r="G3408" s="112"/>
      <c r="H3408" s="112"/>
      <c r="Z3408" s="112"/>
      <c r="AA3408" s="112"/>
    </row>
    <row r="3409" spans="3:27" x14ac:dyDescent="0.25">
      <c r="C3409" s="112"/>
      <c r="D3409" s="112"/>
      <c r="E3409" s="113"/>
      <c r="F3409" s="113"/>
      <c r="G3409" s="112"/>
      <c r="H3409" s="112"/>
      <c r="Z3409" s="112"/>
      <c r="AA3409" s="112"/>
    </row>
    <row r="3410" spans="3:27" x14ac:dyDescent="0.25">
      <c r="C3410" s="112"/>
      <c r="D3410" s="112"/>
      <c r="E3410" s="113"/>
      <c r="F3410" s="113"/>
      <c r="G3410" s="112"/>
      <c r="H3410" s="112"/>
      <c r="Z3410" s="112"/>
      <c r="AA3410" s="112"/>
    </row>
    <row r="3411" spans="3:27" x14ac:dyDescent="0.25">
      <c r="C3411" s="112"/>
      <c r="D3411" s="112"/>
      <c r="E3411" s="113"/>
      <c r="F3411" s="113"/>
      <c r="G3411" s="112"/>
      <c r="H3411" s="112"/>
      <c r="Z3411" s="112"/>
      <c r="AA3411" s="112"/>
    </row>
    <row r="3412" spans="3:27" x14ac:dyDescent="0.25">
      <c r="C3412" s="112"/>
      <c r="D3412" s="112"/>
      <c r="E3412" s="113"/>
      <c r="F3412" s="113"/>
      <c r="G3412" s="112"/>
      <c r="H3412" s="112"/>
      <c r="Z3412" s="112"/>
      <c r="AA3412" s="112"/>
    </row>
    <row r="3413" spans="3:27" x14ac:dyDescent="0.25">
      <c r="C3413" s="112"/>
      <c r="D3413" s="112"/>
      <c r="E3413" s="113"/>
      <c r="F3413" s="113"/>
      <c r="G3413" s="112"/>
      <c r="H3413" s="112"/>
      <c r="Z3413" s="112"/>
      <c r="AA3413" s="112"/>
    </row>
    <row r="3414" spans="3:27" x14ac:dyDescent="0.25">
      <c r="C3414" s="112"/>
      <c r="D3414" s="112"/>
      <c r="E3414" s="113"/>
      <c r="F3414" s="113"/>
      <c r="G3414" s="112"/>
      <c r="H3414" s="112"/>
      <c r="Z3414" s="112"/>
      <c r="AA3414" s="112"/>
    </row>
    <row r="3415" spans="3:27" x14ac:dyDescent="0.25">
      <c r="C3415" s="112"/>
      <c r="D3415" s="112"/>
      <c r="E3415" s="113"/>
      <c r="F3415" s="113"/>
      <c r="G3415" s="112"/>
      <c r="H3415" s="112"/>
      <c r="Z3415" s="112"/>
      <c r="AA3415" s="112"/>
    </row>
    <row r="3416" spans="3:27" x14ac:dyDescent="0.25">
      <c r="C3416" s="112"/>
      <c r="D3416" s="112"/>
      <c r="E3416" s="113"/>
      <c r="F3416" s="113"/>
      <c r="G3416" s="112"/>
      <c r="H3416" s="112"/>
      <c r="Z3416" s="112"/>
      <c r="AA3416" s="112"/>
    </row>
    <row r="3417" spans="3:27" x14ac:dyDescent="0.25">
      <c r="C3417" s="112"/>
      <c r="D3417" s="112"/>
      <c r="E3417" s="113"/>
      <c r="F3417" s="113"/>
      <c r="G3417" s="112"/>
      <c r="H3417" s="112"/>
      <c r="Z3417" s="112"/>
      <c r="AA3417" s="112"/>
    </row>
    <row r="3418" spans="3:27" x14ac:dyDescent="0.25">
      <c r="C3418" s="112"/>
      <c r="D3418" s="112"/>
      <c r="E3418" s="113"/>
      <c r="F3418" s="113"/>
      <c r="G3418" s="112"/>
      <c r="H3418" s="112"/>
      <c r="Z3418" s="112"/>
      <c r="AA3418" s="112"/>
    </row>
    <row r="3419" spans="3:27" x14ac:dyDescent="0.25">
      <c r="C3419" s="112"/>
      <c r="D3419" s="112"/>
      <c r="E3419" s="113"/>
      <c r="F3419" s="113"/>
      <c r="G3419" s="112"/>
      <c r="H3419" s="112"/>
      <c r="Z3419" s="112"/>
      <c r="AA3419" s="112"/>
    </row>
    <row r="3420" spans="3:27" x14ac:dyDescent="0.25">
      <c r="C3420" s="112"/>
      <c r="D3420" s="112"/>
      <c r="E3420" s="113"/>
      <c r="F3420" s="113"/>
      <c r="G3420" s="112"/>
      <c r="H3420" s="112"/>
      <c r="Z3420" s="112"/>
      <c r="AA3420" s="112"/>
    </row>
    <row r="3421" spans="3:27" x14ac:dyDescent="0.25">
      <c r="C3421" s="112"/>
      <c r="D3421" s="112"/>
      <c r="E3421" s="113"/>
      <c r="F3421" s="113"/>
      <c r="G3421" s="112"/>
      <c r="H3421" s="112"/>
      <c r="Z3421" s="112"/>
      <c r="AA3421" s="112"/>
    </row>
    <row r="3422" spans="3:27" x14ac:dyDescent="0.25">
      <c r="C3422" s="112"/>
      <c r="D3422" s="112"/>
      <c r="E3422" s="113"/>
      <c r="F3422" s="113"/>
      <c r="G3422" s="112"/>
      <c r="H3422" s="112"/>
      <c r="Z3422" s="112"/>
      <c r="AA3422" s="112"/>
    </row>
    <row r="3423" spans="3:27" x14ac:dyDescent="0.25">
      <c r="C3423" s="112"/>
      <c r="D3423" s="112"/>
      <c r="E3423" s="113"/>
      <c r="F3423" s="113"/>
      <c r="G3423" s="112"/>
      <c r="H3423" s="112"/>
      <c r="Z3423" s="112"/>
      <c r="AA3423" s="112"/>
    </row>
    <row r="3424" spans="3:27" x14ac:dyDescent="0.25">
      <c r="C3424" s="112"/>
      <c r="D3424" s="112"/>
      <c r="E3424" s="113"/>
      <c r="F3424" s="113"/>
      <c r="G3424" s="112"/>
      <c r="H3424" s="112"/>
      <c r="Z3424" s="112"/>
      <c r="AA3424" s="112"/>
    </row>
    <row r="3425" spans="3:27" x14ac:dyDescent="0.25">
      <c r="C3425" s="112"/>
      <c r="D3425" s="112"/>
      <c r="E3425" s="113"/>
      <c r="F3425" s="113"/>
      <c r="G3425" s="112"/>
      <c r="H3425" s="112"/>
      <c r="Z3425" s="112"/>
      <c r="AA3425" s="112"/>
    </row>
    <row r="3426" spans="3:27" x14ac:dyDescent="0.25">
      <c r="C3426" s="112"/>
      <c r="D3426" s="112"/>
      <c r="E3426" s="113"/>
      <c r="F3426" s="113"/>
      <c r="G3426" s="112"/>
      <c r="H3426" s="112"/>
      <c r="Z3426" s="112"/>
      <c r="AA3426" s="112"/>
    </row>
    <row r="3427" spans="3:27" x14ac:dyDescent="0.25">
      <c r="C3427" s="112"/>
      <c r="D3427" s="112"/>
      <c r="E3427" s="113"/>
      <c r="F3427" s="113"/>
      <c r="G3427" s="112"/>
      <c r="H3427" s="112"/>
      <c r="Z3427" s="112"/>
      <c r="AA3427" s="112"/>
    </row>
    <row r="3428" spans="3:27" x14ac:dyDescent="0.25">
      <c r="C3428" s="112"/>
      <c r="D3428" s="112"/>
      <c r="E3428" s="113"/>
      <c r="F3428" s="113"/>
      <c r="G3428" s="112"/>
      <c r="H3428" s="112"/>
      <c r="Z3428" s="112"/>
      <c r="AA3428" s="112"/>
    </row>
    <row r="3429" spans="3:27" x14ac:dyDescent="0.25">
      <c r="C3429" s="112"/>
      <c r="D3429" s="112"/>
      <c r="E3429" s="113"/>
      <c r="F3429" s="113"/>
      <c r="G3429" s="112"/>
      <c r="H3429" s="112"/>
      <c r="Z3429" s="112"/>
      <c r="AA3429" s="112"/>
    </row>
    <row r="3430" spans="3:27" x14ac:dyDescent="0.25">
      <c r="C3430" s="112"/>
      <c r="D3430" s="112"/>
      <c r="E3430" s="113"/>
      <c r="F3430" s="113"/>
      <c r="G3430" s="112"/>
      <c r="H3430" s="112"/>
      <c r="Z3430" s="112"/>
      <c r="AA3430" s="112"/>
    </row>
    <row r="3431" spans="3:27" x14ac:dyDescent="0.25">
      <c r="C3431" s="112"/>
      <c r="D3431" s="112"/>
      <c r="E3431" s="113"/>
      <c r="F3431" s="113"/>
      <c r="G3431" s="112"/>
      <c r="H3431" s="112"/>
      <c r="Z3431" s="112"/>
      <c r="AA3431" s="112"/>
    </row>
    <row r="3432" spans="3:27" x14ac:dyDescent="0.25">
      <c r="C3432" s="112"/>
      <c r="D3432" s="112"/>
      <c r="E3432" s="113"/>
      <c r="F3432" s="113"/>
      <c r="G3432" s="112"/>
      <c r="H3432" s="112"/>
      <c r="Z3432" s="112"/>
      <c r="AA3432" s="112"/>
    </row>
    <row r="3433" spans="3:27" x14ac:dyDescent="0.25">
      <c r="C3433" s="112"/>
      <c r="D3433" s="112"/>
      <c r="E3433" s="113"/>
      <c r="F3433" s="113"/>
      <c r="G3433" s="112"/>
      <c r="H3433" s="112"/>
      <c r="Z3433" s="112"/>
      <c r="AA3433" s="112"/>
    </row>
    <row r="3434" spans="3:27" x14ac:dyDescent="0.25">
      <c r="C3434" s="112"/>
      <c r="D3434" s="112"/>
      <c r="E3434" s="113"/>
      <c r="F3434" s="113"/>
      <c r="G3434" s="112"/>
      <c r="H3434" s="112"/>
      <c r="Z3434" s="112"/>
      <c r="AA3434" s="112"/>
    </row>
    <row r="3435" spans="3:27" x14ac:dyDescent="0.25">
      <c r="C3435" s="112"/>
      <c r="D3435" s="112"/>
      <c r="E3435" s="113"/>
      <c r="F3435" s="113"/>
      <c r="G3435" s="112"/>
      <c r="H3435" s="112"/>
      <c r="Z3435" s="112"/>
      <c r="AA3435" s="112"/>
    </row>
    <row r="3436" spans="3:27" x14ac:dyDescent="0.25">
      <c r="C3436" s="112"/>
      <c r="D3436" s="112"/>
      <c r="E3436" s="113"/>
      <c r="F3436" s="113"/>
      <c r="G3436" s="112"/>
      <c r="H3436" s="112"/>
      <c r="Z3436" s="112"/>
      <c r="AA3436" s="112"/>
    </row>
    <row r="3437" spans="3:27" x14ac:dyDescent="0.25">
      <c r="C3437" s="112"/>
      <c r="D3437" s="112"/>
      <c r="E3437" s="113"/>
      <c r="F3437" s="113"/>
      <c r="G3437" s="112"/>
      <c r="H3437" s="112"/>
      <c r="Z3437" s="112"/>
      <c r="AA3437" s="112"/>
    </row>
    <row r="3438" spans="3:27" x14ac:dyDescent="0.25">
      <c r="C3438" s="112"/>
      <c r="D3438" s="112"/>
      <c r="E3438" s="113"/>
      <c r="F3438" s="113"/>
      <c r="G3438" s="112"/>
      <c r="H3438" s="112"/>
      <c r="Z3438" s="112"/>
      <c r="AA3438" s="112"/>
    </row>
    <row r="3439" spans="3:27" x14ac:dyDescent="0.25">
      <c r="C3439" s="112"/>
      <c r="D3439" s="112"/>
      <c r="E3439" s="113"/>
      <c r="F3439" s="113"/>
      <c r="G3439" s="112"/>
      <c r="H3439" s="112"/>
      <c r="Z3439" s="112"/>
      <c r="AA3439" s="112"/>
    </row>
    <row r="3440" spans="3:27" x14ac:dyDescent="0.25">
      <c r="C3440" s="112"/>
      <c r="D3440" s="112"/>
      <c r="E3440" s="113"/>
      <c r="F3440" s="113"/>
      <c r="G3440" s="112"/>
      <c r="H3440" s="112"/>
      <c r="Z3440" s="112"/>
      <c r="AA3440" s="112"/>
    </row>
    <row r="3441" spans="3:27" x14ac:dyDescent="0.25">
      <c r="C3441" s="112"/>
      <c r="D3441" s="112"/>
      <c r="E3441" s="113"/>
      <c r="F3441" s="113"/>
      <c r="G3441" s="112"/>
      <c r="H3441" s="112"/>
      <c r="Z3441" s="112"/>
      <c r="AA3441" s="112"/>
    </row>
    <row r="3442" spans="3:27" x14ac:dyDescent="0.25">
      <c r="C3442" s="112"/>
      <c r="D3442" s="112"/>
      <c r="E3442" s="113"/>
      <c r="F3442" s="113"/>
      <c r="G3442" s="112"/>
      <c r="H3442" s="112"/>
      <c r="Z3442" s="112"/>
      <c r="AA3442" s="112"/>
    </row>
    <row r="3443" spans="3:27" x14ac:dyDescent="0.25">
      <c r="C3443" s="112"/>
      <c r="D3443" s="112"/>
      <c r="E3443" s="113"/>
      <c r="F3443" s="113"/>
      <c r="G3443" s="112"/>
      <c r="H3443" s="112"/>
      <c r="Z3443" s="112"/>
      <c r="AA3443" s="112"/>
    </row>
    <row r="3444" spans="3:27" x14ac:dyDescent="0.25">
      <c r="C3444" s="112"/>
      <c r="D3444" s="112"/>
      <c r="E3444" s="113"/>
      <c r="F3444" s="113"/>
      <c r="G3444" s="112"/>
      <c r="H3444" s="112"/>
      <c r="Z3444" s="112"/>
      <c r="AA3444" s="112"/>
    </row>
    <row r="3445" spans="3:27" x14ac:dyDescent="0.25">
      <c r="C3445" s="112"/>
      <c r="D3445" s="112"/>
      <c r="E3445" s="113"/>
      <c r="F3445" s="113"/>
      <c r="G3445" s="112"/>
      <c r="H3445" s="112"/>
      <c r="Z3445" s="112"/>
      <c r="AA3445" s="112"/>
    </row>
    <row r="3446" spans="3:27" x14ac:dyDescent="0.25">
      <c r="C3446" s="112"/>
      <c r="D3446" s="112"/>
      <c r="E3446" s="113"/>
      <c r="F3446" s="113"/>
      <c r="G3446" s="112"/>
      <c r="H3446" s="112"/>
      <c r="Z3446" s="112"/>
      <c r="AA3446" s="112"/>
    </row>
    <row r="3447" spans="3:27" x14ac:dyDescent="0.25">
      <c r="C3447" s="112"/>
      <c r="D3447" s="112"/>
      <c r="E3447" s="113"/>
      <c r="F3447" s="113"/>
      <c r="G3447" s="112"/>
      <c r="H3447" s="112"/>
      <c r="Z3447" s="112"/>
      <c r="AA3447" s="112"/>
    </row>
    <row r="3448" spans="3:27" x14ac:dyDescent="0.25">
      <c r="C3448" s="112"/>
      <c r="D3448" s="112"/>
      <c r="E3448" s="113"/>
      <c r="F3448" s="113"/>
      <c r="G3448" s="112"/>
      <c r="H3448" s="112"/>
      <c r="Z3448" s="112"/>
      <c r="AA3448" s="112"/>
    </row>
    <row r="3449" spans="3:27" x14ac:dyDescent="0.25">
      <c r="C3449" s="112"/>
      <c r="D3449" s="112"/>
      <c r="E3449" s="113"/>
      <c r="F3449" s="113"/>
      <c r="G3449" s="112"/>
      <c r="H3449" s="112"/>
      <c r="Z3449" s="112"/>
      <c r="AA3449" s="112"/>
    </row>
    <row r="3450" spans="3:27" x14ac:dyDescent="0.25">
      <c r="C3450" s="112"/>
      <c r="D3450" s="112"/>
      <c r="E3450" s="113"/>
      <c r="F3450" s="113"/>
      <c r="G3450" s="112"/>
      <c r="H3450" s="112"/>
      <c r="Z3450" s="112"/>
      <c r="AA3450" s="112"/>
    </row>
    <row r="3451" spans="3:27" x14ac:dyDescent="0.25">
      <c r="C3451" s="112"/>
      <c r="D3451" s="112"/>
      <c r="E3451" s="113"/>
      <c r="F3451" s="113"/>
      <c r="G3451" s="112"/>
      <c r="H3451" s="112"/>
      <c r="Z3451" s="112"/>
      <c r="AA3451" s="112"/>
    </row>
    <row r="3452" spans="3:27" x14ac:dyDescent="0.25">
      <c r="C3452" s="112"/>
      <c r="D3452" s="112"/>
      <c r="E3452" s="113"/>
      <c r="F3452" s="113"/>
      <c r="G3452" s="112"/>
      <c r="H3452" s="112"/>
      <c r="Z3452" s="112"/>
      <c r="AA3452" s="112"/>
    </row>
    <row r="3453" spans="3:27" x14ac:dyDescent="0.25">
      <c r="C3453" s="112"/>
      <c r="D3453" s="112"/>
      <c r="E3453" s="113"/>
      <c r="F3453" s="113"/>
      <c r="G3453" s="112"/>
      <c r="H3453" s="112"/>
      <c r="Z3453" s="112"/>
      <c r="AA3453" s="112"/>
    </row>
    <row r="3454" spans="3:27" x14ac:dyDescent="0.25">
      <c r="C3454" s="112"/>
      <c r="D3454" s="112"/>
      <c r="E3454" s="113"/>
      <c r="F3454" s="113"/>
      <c r="G3454" s="112"/>
      <c r="H3454" s="112"/>
      <c r="Z3454" s="112"/>
      <c r="AA3454" s="112"/>
    </row>
    <row r="3455" spans="3:27" x14ac:dyDescent="0.25">
      <c r="C3455" s="112"/>
      <c r="D3455" s="112"/>
      <c r="E3455" s="113"/>
      <c r="F3455" s="113"/>
      <c r="G3455" s="112"/>
      <c r="H3455" s="112"/>
      <c r="Z3455" s="112"/>
      <c r="AA3455" s="112"/>
    </row>
    <row r="3456" spans="3:27" x14ac:dyDescent="0.25">
      <c r="C3456" s="112"/>
      <c r="D3456" s="112"/>
      <c r="E3456" s="113"/>
      <c r="F3456" s="113"/>
      <c r="G3456" s="112"/>
      <c r="H3456" s="112"/>
      <c r="Z3456" s="112"/>
      <c r="AA3456" s="112"/>
    </row>
    <row r="3457" spans="3:27" x14ac:dyDescent="0.25">
      <c r="C3457" s="112"/>
      <c r="D3457" s="112"/>
      <c r="E3457" s="113"/>
      <c r="F3457" s="113"/>
      <c r="G3457" s="112"/>
      <c r="H3457" s="112"/>
      <c r="Z3457" s="112"/>
      <c r="AA3457" s="112"/>
    </row>
    <row r="3458" spans="3:27" x14ac:dyDescent="0.25">
      <c r="C3458" s="112"/>
      <c r="D3458" s="112"/>
      <c r="E3458" s="113"/>
      <c r="F3458" s="113"/>
      <c r="G3458" s="112"/>
      <c r="H3458" s="112"/>
      <c r="Z3458" s="112"/>
      <c r="AA3458" s="112"/>
    </row>
    <row r="3459" spans="3:27" x14ac:dyDescent="0.25">
      <c r="C3459" s="112"/>
      <c r="D3459" s="112"/>
      <c r="E3459" s="113"/>
      <c r="F3459" s="113"/>
      <c r="G3459" s="112"/>
      <c r="H3459" s="112"/>
      <c r="Z3459" s="112"/>
      <c r="AA3459" s="112"/>
    </row>
    <row r="3460" spans="3:27" x14ac:dyDescent="0.25">
      <c r="C3460" s="112"/>
      <c r="D3460" s="112"/>
      <c r="E3460" s="113"/>
      <c r="F3460" s="113"/>
      <c r="G3460" s="112"/>
      <c r="H3460" s="112"/>
      <c r="Z3460" s="112"/>
      <c r="AA3460" s="112"/>
    </row>
    <row r="3461" spans="3:27" x14ac:dyDescent="0.25">
      <c r="C3461" s="112"/>
      <c r="D3461" s="112"/>
      <c r="E3461" s="113"/>
      <c r="F3461" s="113"/>
      <c r="G3461" s="112"/>
      <c r="H3461" s="112"/>
      <c r="Z3461" s="112"/>
      <c r="AA3461" s="112"/>
    </row>
    <row r="3462" spans="3:27" x14ac:dyDescent="0.25">
      <c r="C3462" s="112"/>
      <c r="D3462" s="112"/>
      <c r="E3462" s="113"/>
      <c r="F3462" s="113"/>
      <c r="G3462" s="112"/>
      <c r="H3462" s="112"/>
      <c r="Z3462" s="112"/>
      <c r="AA3462" s="112"/>
    </row>
    <row r="3463" spans="3:27" x14ac:dyDescent="0.25">
      <c r="C3463" s="112"/>
      <c r="D3463" s="112"/>
      <c r="E3463" s="113"/>
      <c r="F3463" s="113"/>
      <c r="G3463" s="112"/>
      <c r="H3463" s="112"/>
      <c r="Z3463" s="112"/>
      <c r="AA3463" s="112"/>
    </row>
    <row r="3464" spans="3:27" x14ac:dyDescent="0.25">
      <c r="C3464" s="112"/>
      <c r="D3464" s="112"/>
      <c r="E3464" s="113"/>
      <c r="F3464" s="113"/>
      <c r="G3464" s="112"/>
      <c r="H3464" s="112"/>
      <c r="Z3464" s="112"/>
      <c r="AA3464" s="112"/>
    </row>
    <row r="3465" spans="3:27" x14ac:dyDescent="0.25">
      <c r="C3465" s="112"/>
      <c r="D3465" s="112"/>
      <c r="E3465" s="113"/>
      <c r="F3465" s="113"/>
      <c r="G3465" s="112"/>
      <c r="H3465" s="112"/>
      <c r="Z3465" s="112"/>
      <c r="AA3465" s="112"/>
    </row>
    <row r="3466" spans="3:27" x14ac:dyDescent="0.25">
      <c r="C3466" s="112"/>
      <c r="D3466" s="112"/>
      <c r="E3466" s="113"/>
      <c r="F3466" s="113"/>
      <c r="G3466" s="112"/>
      <c r="H3466" s="112"/>
      <c r="Z3466" s="112"/>
      <c r="AA3466" s="112"/>
    </row>
    <row r="3467" spans="3:27" x14ac:dyDescent="0.25">
      <c r="C3467" s="112"/>
      <c r="D3467" s="112"/>
      <c r="E3467" s="113"/>
      <c r="F3467" s="113"/>
      <c r="G3467" s="112"/>
      <c r="H3467" s="112"/>
      <c r="Z3467" s="112"/>
      <c r="AA3467" s="112"/>
    </row>
    <row r="3468" spans="3:27" x14ac:dyDescent="0.25">
      <c r="C3468" s="112"/>
      <c r="D3468" s="112"/>
      <c r="E3468" s="113"/>
      <c r="F3468" s="113"/>
      <c r="G3468" s="112"/>
      <c r="H3468" s="112"/>
      <c r="Z3468" s="112"/>
      <c r="AA3468" s="112"/>
    </row>
    <row r="3469" spans="3:27" x14ac:dyDescent="0.25">
      <c r="C3469" s="112"/>
      <c r="D3469" s="112"/>
      <c r="E3469" s="113"/>
      <c r="F3469" s="113"/>
      <c r="G3469" s="112"/>
      <c r="H3469" s="112"/>
      <c r="Z3469" s="112"/>
      <c r="AA3469" s="112"/>
    </row>
    <row r="3470" spans="3:27" x14ac:dyDescent="0.25">
      <c r="C3470" s="112"/>
      <c r="D3470" s="112"/>
      <c r="E3470" s="113"/>
      <c r="F3470" s="113"/>
      <c r="G3470" s="112"/>
      <c r="H3470" s="112"/>
      <c r="Z3470" s="112"/>
      <c r="AA3470" s="112"/>
    </row>
    <row r="3471" spans="3:27" x14ac:dyDescent="0.25">
      <c r="C3471" s="112"/>
      <c r="D3471" s="112"/>
      <c r="E3471" s="113"/>
      <c r="F3471" s="113"/>
      <c r="G3471" s="112"/>
      <c r="H3471" s="112"/>
      <c r="Z3471" s="112"/>
      <c r="AA3471" s="112"/>
    </row>
    <row r="3472" spans="3:27" x14ac:dyDescent="0.25">
      <c r="C3472" s="112"/>
      <c r="D3472" s="112"/>
      <c r="E3472" s="113"/>
      <c r="F3472" s="113"/>
      <c r="G3472" s="112"/>
      <c r="H3472" s="112"/>
      <c r="Z3472" s="112"/>
      <c r="AA3472" s="112"/>
    </row>
    <row r="3473" spans="3:27" x14ac:dyDescent="0.25">
      <c r="C3473" s="112"/>
      <c r="D3473" s="112"/>
      <c r="E3473" s="113"/>
      <c r="F3473" s="113"/>
      <c r="G3473" s="112"/>
      <c r="H3473" s="112"/>
      <c r="Z3473" s="112"/>
      <c r="AA3473" s="112"/>
    </row>
    <row r="3474" spans="3:27" x14ac:dyDescent="0.25">
      <c r="C3474" s="112"/>
      <c r="D3474" s="112"/>
      <c r="E3474" s="113"/>
      <c r="F3474" s="113"/>
      <c r="G3474" s="112"/>
      <c r="H3474" s="112"/>
      <c r="Z3474" s="112"/>
      <c r="AA3474" s="112"/>
    </row>
    <row r="3475" spans="3:27" x14ac:dyDescent="0.25">
      <c r="C3475" s="112"/>
      <c r="D3475" s="112"/>
      <c r="E3475" s="113"/>
      <c r="F3475" s="113"/>
      <c r="G3475" s="112"/>
      <c r="H3475" s="112"/>
      <c r="Z3475" s="112"/>
      <c r="AA3475" s="112"/>
    </row>
    <row r="3476" spans="3:27" x14ac:dyDescent="0.25">
      <c r="C3476" s="112"/>
      <c r="D3476" s="112"/>
      <c r="E3476" s="113"/>
      <c r="F3476" s="113"/>
      <c r="G3476" s="112"/>
      <c r="H3476" s="112"/>
      <c r="Z3476" s="112"/>
      <c r="AA3476" s="112"/>
    </row>
    <row r="3477" spans="3:27" x14ac:dyDescent="0.25">
      <c r="C3477" s="112"/>
      <c r="D3477" s="112"/>
      <c r="E3477" s="113"/>
      <c r="F3477" s="113"/>
      <c r="G3477" s="112"/>
      <c r="H3477" s="112"/>
      <c r="Z3477" s="112"/>
      <c r="AA3477" s="112"/>
    </row>
    <row r="3478" spans="3:27" x14ac:dyDescent="0.25">
      <c r="C3478" s="112"/>
      <c r="D3478" s="112"/>
      <c r="E3478" s="113"/>
      <c r="F3478" s="113"/>
      <c r="G3478" s="112"/>
      <c r="H3478" s="112"/>
      <c r="Z3478" s="112"/>
      <c r="AA3478" s="112"/>
    </row>
    <row r="3479" spans="3:27" x14ac:dyDescent="0.25">
      <c r="C3479" s="112"/>
      <c r="D3479" s="112"/>
      <c r="E3479" s="113"/>
      <c r="F3479" s="113"/>
      <c r="G3479" s="112"/>
      <c r="H3479" s="112"/>
      <c r="Z3479" s="112"/>
      <c r="AA3479" s="112"/>
    </row>
    <row r="3480" spans="3:27" x14ac:dyDescent="0.25">
      <c r="C3480" s="112"/>
      <c r="D3480" s="112"/>
      <c r="E3480" s="113"/>
      <c r="F3480" s="113"/>
      <c r="G3480" s="112"/>
      <c r="H3480" s="112"/>
      <c r="Z3480" s="112"/>
      <c r="AA3480" s="112"/>
    </row>
    <row r="3481" spans="3:27" x14ac:dyDescent="0.25">
      <c r="C3481" s="112"/>
      <c r="D3481" s="112"/>
      <c r="E3481" s="113"/>
      <c r="F3481" s="113"/>
      <c r="G3481" s="112"/>
      <c r="H3481" s="112"/>
      <c r="Z3481" s="112"/>
      <c r="AA3481" s="112"/>
    </row>
    <row r="3482" spans="3:27" x14ac:dyDescent="0.25">
      <c r="C3482" s="112"/>
      <c r="D3482" s="112"/>
      <c r="E3482" s="113"/>
      <c r="F3482" s="113"/>
      <c r="G3482" s="112"/>
      <c r="H3482" s="112"/>
      <c r="Z3482" s="112"/>
      <c r="AA3482" s="112"/>
    </row>
    <row r="3483" spans="3:27" x14ac:dyDescent="0.25">
      <c r="C3483" s="112"/>
      <c r="D3483" s="112"/>
      <c r="E3483" s="113"/>
      <c r="F3483" s="113"/>
      <c r="G3483" s="112"/>
      <c r="H3483" s="112"/>
      <c r="Z3483" s="112"/>
      <c r="AA3483" s="112"/>
    </row>
    <row r="3484" spans="3:27" x14ac:dyDescent="0.25">
      <c r="C3484" s="112"/>
      <c r="D3484" s="112"/>
      <c r="E3484" s="113"/>
      <c r="F3484" s="113"/>
      <c r="G3484" s="112"/>
      <c r="H3484" s="112"/>
      <c r="Z3484" s="112"/>
      <c r="AA3484" s="112"/>
    </row>
    <row r="3485" spans="3:27" x14ac:dyDescent="0.25">
      <c r="C3485" s="112"/>
      <c r="D3485" s="112"/>
      <c r="E3485" s="113"/>
      <c r="F3485" s="113"/>
      <c r="G3485" s="112"/>
      <c r="H3485" s="112"/>
      <c r="Z3485" s="112"/>
      <c r="AA3485" s="112"/>
    </row>
    <row r="3486" spans="3:27" x14ac:dyDescent="0.25">
      <c r="C3486" s="112"/>
      <c r="D3486" s="112"/>
      <c r="E3486" s="113"/>
      <c r="F3486" s="113"/>
      <c r="G3486" s="112"/>
      <c r="H3486" s="112"/>
      <c r="Z3486" s="112"/>
      <c r="AA3486" s="112"/>
    </row>
    <row r="3487" spans="3:27" x14ac:dyDescent="0.25">
      <c r="C3487" s="112"/>
      <c r="D3487" s="112"/>
      <c r="E3487" s="113"/>
      <c r="F3487" s="113"/>
      <c r="G3487" s="112"/>
      <c r="H3487" s="112"/>
      <c r="Z3487" s="112"/>
      <c r="AA3487" s="112"/>
    </row>
    <row r="3488" spans="3:27" x14ac:dyDescent="0.25">
      <c r="C3488" s="112"/>
      <c r="D3488" s="112"/>
      <c r="E3488" s="113"/>
      <c r="F3488" s="113"/>
      <c r="G3488" s="112"/>
      <c r="H3488" s="112"/>
      <c r="Z3488" s="112"/>
      <c r="AA3488" s="112"/>
    </row>
    <row r="3489" spans="3:27" x14ac:dyDescent="0.25">
      <c r="C3489" s="112"/>
      <c r="D3489" s="112"/>
      <c r="E3489" s="113"/>
      <c r="F3489" s="113"/>
      <c r="G3489" s="112"/>
      <c r="H3489" s="112"/>
      <c r="Z3489" s="112"/>
      <c r="AA3489" s="112"/>
    </row>
    <row r="3490" spans="3:27" x14ac:dyDescent="0.25">
      <c r="C3490" s="112"/>
      <c r="D3490" s="112"/>
      <c r="E3490" s="113"/>
      <c r="F3490" s="113"/>
      <c r="G3490" s="112"/>
      <c r="H3490" s="112"/>
      <c r="Z3490" s="112"/>
      <c r="AA3490" s="112"/>
    </row>
    <row r="3491" spans="3:27" x14ac:dyDescent="0.25">
      <c r="C3491" s="112"/>
      <c r="D3491" s="112"/>
      <c r="E3491" s="113"/>
      <c r="F3491" s="113"/>
      <c r="G3491" s="112"/>
      <c r="H3491" s="112"/>
      <c r="Z3491" s="112"/>
      <c r="AA3491" s="112"/>
    </row>
    <row r="3492" spans="3:27" x14ac:dyDescent="0.25">
      <c r="C3492" s="112"/>
      <c r="D3492" s="112"/>
      <c r="E3492" s="113"/>
      <c r="F3492" s="113"/>
      <c r="G3492" s="112"/>
      <c r="H3492" s="112"/>
      <c r="Z3492" s="112"/>
      <c r="AA3492" s="112"/>
    </row>
    <row r="3493" spans="3:27" x14ac:dyDescent="0.25">
      <c r="C3493" s="112"/>
      <c r="D3493" s="112"/>
      <c r="E3493" s="113"/>
      <c r="F3493" s="113"/>
      <c r="G3493" s="112"/>
      <c r="H3493" s="112"/>
      <c r="Z3493" s="112"/>
      <c r="AA3493" s="112"/>
    </row>
    <row r="3494" spans="3:27" x14ac:dyDescent="0.25">
      <c r="C3494" s="112"/>
      <c r="D3494" s="112"/>
      <c r="E3494" s="113"/>
      <c r="F3494" s="113"/>
      <c r="G3494" s="112"/>
      <c r="H3494" s="112"/>
      <c r="Z3494" s="112"/>
      <c r="AA3494" s="112"/>
    </row>
    <row r="3495" spans="3:27" x14ac:dyDescent="0.25">
      <c r="C3495" s="112"/>
      <c r="D3495" s="112"/>
      <c r="E3495" s="113"/>
      <c r="F3495" s="113"/>
      <c r="G3495" s="112"/>
      <c r="H3495" s="112"/>
      <c r="Z3495" s="112"/>
      <c r="AA3495" s="112"/>
    </row>
    <row r="3496" spans="3:27" x14ac:dyDescent="0.25">
      <c r="C3496" s="112"/>
      <c r="D3496" s="112"/>
      <c r="E3496" s="113"/>
      <c r="F3496" s="113"/>
      <c r="G3496" s="112"/>
      <c r="H3496" s="112"/>
      <c r="Z3496" s="112"/>
      <c r="AA3496" s="112"/>
    </row>
    <row r="3497" spans="3:27" x14ac:dyDescent="0.25">
      <c r="C3497" s="112"/>
      <c r="D3497" s="112"/>
      <c r="E3497" s="113"/>
      <c r="F3497" s="113"/>
      <c r="G3497" s="112"/>
      <c r="H3497" s="112"/>
      <c r="Z3497" s="112"/>
      <c r="AA3497" s="112"/>
    </row>
    <row r="3498" spans="3:27" x14ac:dyDescent="0.25">
      <c r="C3498" s="112"/>
      <c r="D3498" s="112"/>
      <c r="E3498" s="113"/>
      <c r="F3498" s="113"/>
      <c r="G3498" s="112"/>
      <c r="H3498" s="112"/>
      <c r="Z3498" s="112"/>
      <c r="AA3498" s="112"/>
    </row>
    <row r="3499" spans="3:27" x14ac:dyDescent="0.25">
      <c r="C3499" s="112"/>
      <c r="D3499" s="112"/>
      <c r="E3499" s="113"/>
      <c r="F3499" s="113"/>
      <c r="G3499" s="112"/>
      <c r="H3499" s="112"/>
      <c r="Z3499" s="112"/>
      <c r="AA3499" s="112"/>
    </row>
    <row r="3500" spans="3:27" x14ac:dyDescent="0.25">
      <c r="C3500" s="112"/>
      <c r="D3500" s="112"/>
      <c r="E3500" s="113"/>
      <c r="F3500" s="113"/>
      <c r="G3500" s="112"/>
      <c r="H3500" s="112"/>
      <c r="Z3500" s="112"/>
      <c r="AA3500" s="112"/>
    </row>
    <row r="3501" spans="3:27" x14ac:dyDescent="0.25">
      <c r="C3501" s="112"/>
      <c r="D3501" s="112"/>
      <c r="E3501" s="113"/>
      <c r="F3501" s="113"/>
      <c r="G3501" s="112"/>
      <c r="H3501" s="112"/>
      <c r="Z3501" s="112"/>
      <c r="AA3501" s="112"/>
    </row>
    <row r="3502" spans="3:27" x14ac:dyDescent="0.25">
      <c r="C3502" s="112"/>
      <c r="D3502" s="112"/>
      <c r="E3502" s="113"/>
      <c r="F3502" s="113"/>
      <c r="G3502" s="112"/>
      <c r="H3502" s="112"/>
      <c r="Z3502" s="112"/>
      <c r="AA3502" s="112"/>
    </row>
    <row r="3503" spans="3:27" x14ac:dyDescent="0.25">
      <c r="C3503" s="112"/>
      <c r="D3503" s="112"/>
      <c r="E3503" s="113"/>
      <c r="F3503" s="113"/>
      <c r="G3503" s="112"/>
      <c r="H3503" s="112"/>
      <c r="Z3503" s="112"/>
      <c r="AA3503" s="112"/>
    </row>
    <row r="3504" spans="3:27" x14ac:dyDescent="0.25">
      <c r="C3504" s="112"/>
      <c r="D3504" s="112"/>
      <c r="E3504" s="113"/>
      <c r="F3504" s="113"/>
      <c r="G3504" s="112"/>
      <c r="H3504" s="112"/>
      <c r="Z3504" s="112"/>
      <c r="AA3504" s="112"/>
    </row>
    <row r="3505" spans="3:27" x14ac:dyDescent="0.25">
      <c r="C3505" s="112"/>
      <c r="D3505" s="112"/>
      <c r="E3505" s="113"/>
      <c r="F3505" s="113"/>
      <c r="G3505" s="112"/>
      <c r="H3505" s="112"/>
      <c r="Z3505" s="112"/>
      <c r="AA3505" s="112"/>
    </row>
    <row r="3506" spans="3:27" x14ac:dyDescent="0.25">
      <c r="C3506" s="112"/>
      <c r="D3506" s="112"/>
      <c r="E3506" s="113"/>
      <c r="F3506" s="113"/>
      <c r="G3506" s="112"/>
      <c r="H3506" s="112"/>
      <c r="Z3506" s="112"/>
      <c r="AA3506" s="112"/>
    </row>
    <row r="3507" spans="3:27" x14ac:dyDescent="0.25">
      <c r="C3507" s="112"/>
      <c r="D3507" s="112"/>
      <c r="E3507" s="113"/>
      <c r="F3507" s="113"/>
      <c r="G3507" s="112"/>
      <c r="H3507" s="112"/>
      <c r="Z3507" s="112"/>
      <c r="AA3507" s="112"/>
    </row>
    <row r="3508" spans="3:27" x14ac:dyDescent="0.25">
      <c r="C3508" s="112"/>
      <c r="D3508" s="112"/>
      <c r="E3508" s="113"/>
      <c r="F3508" s="113"/>
      <c r="G3508" s="112"/>
      <c r="H3508" s="112"/>
      <c r="Z3508" s="112"/>
      <c r="AA3508" s="112"/>
    </row>
    <row r="3509" spans="3:27" x14ac:dyDescent="0.25">
      <c r="C3509" s="112"/>
      <c r="D3509" s="112"/>
      <c r="E3509" s="113"/>
      <c r="F3509" s="113"/>
      <c r="G3509" s="112"/>
      <c r="H3509" s="112"/>
      <c r="Z3509" s="112"/>
      <c r="AA3509" s="112"/>
    </row>
    <row r="3510" spans="3:27" x14ac:dyDescent="0.25">
      <c r="C3510" s="112"/>
      <c r="D3510" s="112"/>
      <c r="E3510" s="113"/>
      <c r="F3510" s="113"/>
      <c r="G3510" s="112"/>
      <c r="H3510" s="112"/>
      <c r="Z3510" s="112"/>
      <c r="AA3510" s="112"/>
    </row>
    <row r="3511" spans="3:27" x14ac:dyDescent="0.25">
      <c r="C3511" s="112"/>
      <c r="D3511" s="112"/>
      <c r="E3511" s="113"/>
      <c r="F3511" s="113"/>
      <c r="G3511" s="112"/>
      <c r="H3511" s="112"/>
      <c r="Z3511" s="112"/>
      <c r="AA3511" s="112"/>
    </row>
    <row r="3512" spans="3:27" x14ac:dyDescent="0.25">
      <c r="C3512" s="112"/>
      <c r="D3512" s="112"/>
      <c r="E3512" s="113"/>
      <c r="F3512" s="113"/>
      <c r="G3512" s="112"/>
      <c r="H3512" s="112"/>
      <c r="Z3512" s="112"/>
      <c r="AA3512" s="112"/>
    </row>
    <row r="3513" spans="3:27" x14ac:dyDescent="0.25">
      <c r="C3513" s="112"/>
      <c r="D3513" s="112"/>
      <c r="E3513" s="113"/>
      <c r="F3513" s="113"/>
      <c r="G3513" s="112"/>
      <c r="H3513" s="112"/>
      <c r="Z3513" s="112"/>
      <c r="AA3513" s="112"/>
    </row>
    <row r="3514" spans="3:27" x14ac:dyDescent="0.25">
      <c r="C3514" s="112"/>
      <c r="D3514" s="112"/>
      <c r="E3514" s="113"/>
      <c r="F3514" s="113"/>
      <c r="G3514" s="112"/>
      <c r="H3514" s="112"/>
      <c r="Z3514" s="112"/>
      <c r="AA3514" s="112"/>
    </row>
    <row r="3515" spans="3:27" x14ac:dyDescent="0.25">
      <c r="C3515" s="112"/>
      <c r="D3515" s="112"/>
      <c r="E3515" s="113"/>
      <c r="F3515" s="113"/>
      <c r="G3515" s="112"/>
      <c r="H3515" s="112"/>
      <c r="Z3515" s="112"/>
      <c r="AA3515" s="112"/>
    </row>
    <row r="3516" spans="3:27" x14ac:dyDescent="0.25">
      <c r="C3516" s="112"/>
      <c r="D3516" s="112"/>
      <c r="E3516" s="113"/>
      <c r="F3516" s="113"/>
      <c r="G3516" s="112"/>
      <c r="H3516" s="112"/>
      <c r="Z3516" s="112"/>
      <c r="AA3516" s="112"/>
    </row>
    <row r="3517" spans="3:27" x14ac:dyDescent="0.25">
      <c r="C3517" s="112"/>
      <c r="D3517" s="112"/>
      <c r="E3517" s="113"/>
      <c r="F3517" s="113"/>
      <c r="G3517" s="112"/>
      <c r="H3517" s="112"/>
      <c r="Z3517" s="112"/>
      <c r="AA3517" s="112"/>
    </row>
    <row r="3518" spans="3:27" x14ac:dyDescent="0.25">
      <c r="C3518" s="112"/>
      <c r="D3518" s="112"/>
      <c r="E3518" s="113"/>
      <c r="F3518" s="113"/>
      <c r="G3518" s="112"/>
      <c r="H3518" s="112"/>
      <c r="Z3518" s="112"/>
      <c r="AA3518" s="112"/>
    </row>
    <row r="3519" spans="3:27" x14ac:dyDescent="0.25">
      <c r="C3519" s="112"/>
      <c r="D3519" s="112"/>
      <c r="E3519" s="113"/>
      <c r="F3519" s="113"/>
      <c r="G3519" s="112"/>
      <c r="H3519" s="112"/>
      <c r="Z3519" s="112"/>
      <c r="AA3519" s="112"/>
    </row>
    <row r="3520" spans="3:27" x14ac:dyDescent="0.25">
      <c r="C3520" s="112"/>
      <c r="D3520" s="112"/>
      <c r="E3520" s="113"/>
      <c r="F3520" s="113"/>
      <c r="G3520" s="112"/>
      <c r="H3520" s="112"/>
      <c r="Z3520" s="112"/>
      <c r="AA3520" s="112"/>
    </row>
    <row r="3521" spans="3:27" x14ac:dyDescent="0.25">
      <c r="C3521" s="112"/>
      <c r="D3521" s="112"/>
      <c r="E3521" s="113"/>
      <c r="F3521" s="113"/>
      <c r="G3521" s="112"/>
      <c r="H3521" s="112"/>
      <c r="Z3521" s="112"/>
      <c r="AA3521" s="112"/>
    </row>
    <row r="3522" spans="3:27" x14ac:dyDescent="0.25">
      <c r="C3522" s="112"/>
      <c r="D3522" s="112"/>
      <c r="E3522" s="113"/>
      <c r="F3522" s="113"/>
      <c r="G3522" s="112"/>
      <c r="H3522" s="112"/>
      <c r="Z3522" s="112"/>
      <c r="AA3522" s="112"/>
    </row>
    <row r="3523" spans="3:27" x14ac:dyDescent="0.25">
      <c r="C3523" s="112"/>
      <c r="D3523" s="112"/>
      <c r="E3523" s="113"/>
      <c r="F3523" s="113"/>
      <c r="G3523" s="112"/>
      <c r="H3523" s="112"/>
      <c r="Z3523" s="112"/>
      <c r="AA3523" s="112"/>
    </row>
    <row r="3524" spans="3:27" x14ac:dyDescent="0.25">
      <c r="C3524" s="112"/>
      <c r="D3524" s="112"/>
      <c r="E3524" s="113"/>
      <c r="F3524" s="113"/>
      <c r="G3524" s="112"/>
      <c r="H3524" s="112"/>
      <c r="Z3524" s="112"/>
      <c r="AA3524" s="112"/>
    </row>
    <row r="3525" spans="3:27" x14ac:dyDescent="0.25">
      <c r="C3525" s="112"/>
      <c r="D3525" s="112"/>
      <c r="E3525" s="113"/>
      <c r="F3525" s="113"/>
      <c r="G3525" s="112"/>
      <c r="H3525" s="112"/>
      <c r="Z3525" s="112"/>
      <c r="AA3525" s="112"/>
    </row>
    <row r="3526" spans="3:27" x14ac:dyDescent="0.25">
      <c r="C3526" s="112"/>
      <c r="D3526" s="112"/>
      <c r="E3526" s="113"/>
      <c r="F3526" s="113"/>
      <c r="G3526" s="112"/>
      <c r="H3526" s="112"/>
      <c r="Z3526" s="112"/>
      <c r="AA3526" s="112"/>
    </row>
    <row r="3527" spans="3:27" x14ac:dyDescent="0.25">
      <c r="C3527" s="112"/>
      <c r="D3527" s="112"/>
      <c r="E3527" s="113"/>
      <c r="F3527" s="113"/>
      <c r="G3527" s="112"/>
      <c r="H3527" s="112"/>
      <c r="Z3527" s="112"/>
      <c r="AA3527" s="112"/>
    </row>
    <row r="3528" spans="3:27" x14ac:dyDescent="0.25">
      <c r="C3528" s="112"/>
      <c r="D3528" s="112"/>
      <c r="E3528" s="113"/>
      <c r="F3528" s="113"/>
      <c r="G3528" s="112"/>
      <c r="H3528" s="112"/>
      <c r="Z3528" s="112"/>
      <c r="AA3528" s="112"/>
    </row>
    <row r="3529" spans="3:27" x14ac:dyDescent="0.25">
      <c r="C3529" s="112"/>
      <c r="D3529" s="112"/>
      <c r="E3529" s="113"/>
      <c r="F3529" s="113"/>
      <c r="G3529" s="112"/>
      <c r="H3529" s="112"/>
      <c r="Z3529" s="112"/>
      <c r="AA3529" s="112"/>
    </row>
    <row r="3530" spans="3:27" x14ac:dyDescent="0.25">
      <c r="C3530" s="112"/>
      <c r="D3530" s="112"/>
      <c r="E3530" s="113"/>
      <c r="F3530" s="113"/>
      <c r="G3530" s="112"/>
      <c r="H3530" s="112"/>
      <c r="Z3530" s="112"/>
      <c r="AA3530" s="112"/>
    </row>
    <row r="3531" spans="3:27" x14ac:dyDescent="0.25">
      <c r="C3531" s="112"/>
      <c r="D3531" s="112"/>
      <c r="E3531" s="113"/>
      <c r="F3531" s="113"/>
      <c r="G3531" s="112"/>
      <c r="H3531" s="112"/>
      <c r="Z3531" s="112"/>
      <c r="AA3531" s="112"/>
    </row>
    <row r="3532" spans="3:27" x14ac:dyDescent="0.25">
      <c r="C3532" s="112"/>
      <c r="D3532" s="112"/>
      <c r="E3532" s="113"/>
      <c r="F3532" s="113"/>
      <c r="G3532" s="112"/>
      <c r="H3532" s="112"/>
      <c r="Z3532" s="112"/>
      <c r="AA3532" s="112"/>
    </row>
    <row r="3533" spans="3:27" x14ac:dyDescent="0.25">
      <c r="C3533" s="112"/>
      <c r="D3533" s="112"/>
      <c r="E3533" s="113"/>
      <c r="F3533" s="113"/>
      <c r="G3533" s="112"/>
      <c r="H3533" s="112"/>
      <c r="Z3533" s="112"/>
      <c r="AA3533" s="112"/>
    </row>
    <row r="3534" spans="3:27" x14ac:dyDescent="0.25">
      <c r="C3534" s="112"/>
      <c r="D3534" s="112"/>
      <c r="E3534" s="113"/>
      <c r="F3534" s="113"/>
      <c r="G3534" s="112"/>
      <c r="H3534" s="112"/>
      <c r="Z3534" s="112"/>
      <c r="AA3534" s="112"/>
    </row>
    <row r="3535" spans="3:27" x14ac:dyDescent="0.25">
      <c r="C3535" s="112"/>
      <c r="D3535" s="112"/>
      <c r="E3535" s="113"/>
      <c r="F3535" s="113"/>
      <c r="G3535" s="112"/>
      <c r="H3535" s="112"/>
      <c r="Z3535" s="112"/>
      <c r="AA3535" s="112"/>
    </row>
    <row r="3536" spans="3:27" x14ac:dyDescent="0.25">
      <c r="C3536" s="112"/>
      <c r="D3536" s="112"/>
      <c r="E3536" s="113"/>
      <c r="F3536" s="113"/>
      <c r="G3536" s="112"/>
      <c r="H3536" s="112"/>
      <c r="Z3536" s="112"/>
      <c r="AA3536" s="112"/>
    </row>
    <row r="3537" spans="3:27" x14ac:dyDescent="0.25">
      <c r="C3537" s="112"/>
      <c r="D3537" s="112"/>
      <c r="E3537" s="113"/>
      <c r="F3537" s="113"/>
      <c r="G3537" s="112"/>
      <c r="H3537" s="112"/>
      <c r="Z3537" s="112"/>
      <c r="AA3537" s="112"/>
    </row>
    <row r="3538" spans="3:27" x14ac:dyDescent="0.25">
      <c r="C3538" s="112"/>
      <c r="D3538" s="112"/>
      <c r="E3538" s="113"/>
      <c r="F3538" s="113"/>
      <c r="G3538" s="112"/>
      <c r="H3538" s="112"/>
      <c r="Z3538" s="112"/>
      <c r="AA3538" s="112"/>
    </row>
    <row r="3539" spans="3:27" x14ac:dyDescent="0.25">
      <c r="C3539" s="112"/>
      <c r="D3539" s="112"/>
      <c r="E3539" s="113"/>
      <c r="F3539" s="113"/>
      <c r="G3539" s="112"/>
      <c r="H3539" s="112"/>
      <c r="Z3539" s="112"/>
      <c r="AA3539" s="112"/>
    </row>
    <row r="3540" spans="3:27" x14ac:dyDescent="0.25">
      <c r="C3540" s="112"/>
      <c r="D3540" s="112"/>
      <c r="E3540" s="113"/>
      <c r="F3540" s="113"/>
      <c r="G3540" s="112"/>
      <c r="H3540" s="112"/>
      <c r="Z3540" s="112"/>
      <c r="AA3540" s="112"/>
    </row>
    <row r="3541" spans="3:27" x14ac:dyDescent="0.25">
      <c r="C3541" s="112"/>
      <c r="D3541" s="112"/>
      <c r="E3541" s="113"/>
      <c r="F3541" s="113"/>
      <c r="G3541" s="112"/>
      <c r="H3541" s="112"/>
      <c r="Z3541" s="112"/>
      <c r="AA3541" s="112"/>
    </row>
    <row r="3542" spans="3:27" x14ac:dyDescent="0.25">
      <c r="C3542" s="112"/>
      <c r="D3542" s="112"/>
      <c r="E3542" s="113"/>
      <c r="F3542" s="113"/>
      <c r="G3542" s="112"/>
      <c r="H3542" s="112"/>
      <c r="Z3542" s="112"/>
      <c r="AA3542" s="112"/>
    </row>
    <row r="3543" spans="3:27" x14ac:dyDescent="0.25">
      <c r="C3543" s="112"/>
      <c r="D3543" s="112"/>
      <c r="E3543" s="113"/>
      <c r="F3543" s="113"/>
      <c r="G3543" s="112"/>
      <c r="H3543" s="112"/>
      <c r="Z3543" s="112"/>
      <c r="AA3543" s="112"/>
    </row>
    <row r="3544" spans="3:27" x14ac:dyDescent="0.25">
      <c r="C3544" s="112"/>
      <c r="D3544" s="112"/>
      <c r="E3544" s="113"/>
      <c r="F3544" s="113"/>
      <c r="G3544" s="112"/>
      <c r="H3544" s="112"/>
      <c r="Z3544" s="112"/>
      <c r="AA3544" s="112"/>
    </row>
    <row r="3545" spans="3:27" x14ac:dyDescent="0.25">
      <c r="C3545" s="112"/>
      <c r="D3545" s="112"/>
      <c r="E3545" s="113"/>
      <c r="F3545" s="113"/>
      <c r="G3545" s="112"/>
      <c r="H3545" s="112"/>
      <c r="Z3545" s="112"/>
      <c r="AA3545" s="112"/>
    </row>
    <row r="3546" spans="3:27" x14ac:dyDescent="0.25">
      <c r="C3546" s="112"/>
      <c r="D3546" s="112"/>
      <c r="E3546" s="113"/>
      <c r="F3546" s="113"/>
      <c r="G3546" s="112"/>
      <c r="H3546" s="112"/>
      <c r="Z3546" s="112"/>
      <c r="AA3546" s="112"/>
    </row>
    <row r="3547" spans="3:27" x14ac:dyDescent="0.25">
      <c r="C3547" s="112"/>
      <c r="D3547" s="112"/>
      <c r="E3547" s="113"/>
      <c r="F3547" s="113"/>
      <c r="G3547" s="112"/>
      <c r="H3547" s="112"/>
      <c r="Z3547" s="112"/>
      <c r="AA3547" s="112"/>
    </row>
    <row r="3548" spans="3:27" x14ac:dyDescent="0.25">
      <c r="C3548" s="112"/>
      <c r="D3548" s="112"/>
      <c r="E3548" s="113"/>
      <c r="F3548" s="113"/>
      <c r="G3548" s="112"/>
      <c r="H3548" s="112"/>
      <c r="Z3548" s="112"/>
      <c r="AA3548" s="112"/>
    </row>
    <row r="3549" spans="3:27" x14ac:dyDescent="0.25">
      <c r="C3549" s="112"/>
      <c r="D3549" s="112"/>
      <c r="E3549" s="113"/>
      <c r="F3549" s="113"/>
      <c r="G3549" s="112"/>
      <c r="H3549" s="112"/>
      <c r="Z3549" s="112"/>
      <c r="AA3549" s="112"/>
    </row>
    <row r="3550" spans="3:27" x14ac:dyDescent="0.25">
      <c r="C3550" s="112"/>
      <c r="D3550" s="112"/>
      <c r="E3550" s="113"/>
      <c r="F3550" s="113"/>
      <c r="G3550" s="112"/>
      <c r="H3550" s="112"/>
      <c r="Z3550" s="112"/>
      <c r="AA3550" s="112"/>
    </row>
    <row r="3551" spans="3:27" x14ac:dyDescent="0.25">
      <c r="C3551" s="112"/>
      <c r="D3551" s="112"/>
      <c r="E3551" s="113"/>
      <c r="F3551" s="113"/>
      <c r="G3551" s="112"/>
      <c r="H3551" s="112"/>
      <c r="Z3551" s="112"/>
      <c r="AA3551" s="112"/>
    </row>
    <row r="3552" spans="3:27" x14ac:dyDescent="0.25">
      <c r="C3552" s="112"/>
      <c r="D3552" s="112"/>
      <c r="E3552" s="113"/>
      <c r="F3552" s="113"/>
      <c r="G3552" s="112"/>
      <c r="H3552" s="112"/>
      <c r="Z3552" s="112"/>
      <c r="AA3552" s="112"/>
    </row>
    <row r="3553" spans="3:27" x14ac:dyDescent="0.25">
      <c r="C3553" s="112"/>
      <c r="D3553" s="112"/>
      <c r="E3553" s="113"/>
      <c r="F3553" s="113"/>
      <c r="G3553" s="112"/>
      <c r="H3553" s="112"/>
      <c r="Z3553" s="112"/>
      <c r="AA3553" s="112"/>
    </row>
    <row r="3554" spans="3:27" x14ac:dyDescent="0.25">
      <c r="C3554" s="112"/>
      <c r="D3554" s="112"/>
      <c r="E3554" s="113"/>
      <c r="F3554" s="113"/>
      <c r="G3554" s="112"/>
      <c r="H3554" s="112"/>
      <c r="Z3554" s="112"/>
      <c r="AA3554" s="112"/>
    </row>
    <row r="3555" spans="3:27" x14ac:dyDescent="0.25">
      <c r="C3555" s="112"/>
      <c r="D3555" s="112"/>
      <c r="E3555" s="113"/>
      <c r="F3555" s="113"/>
      <c r="G3555" s="112"/>
      <c r="H3555" s="112"/>
      <c r="Z3555" s="112"/>
      <c r="AA3555" s="112"/>
    </row>
    <row r="3556" spans="3:27" x14ac:dyDescent="0.25">
      <c r="C3556" s="112"/>
      <c r="D3556" s="112"/>
      <c r="E3556" s="113"/>
      <c r="F3556" s="113"/>
      <c r="G3556" s="112"/>
      <c r="H3556" s="112"/>
      <c r="Z3556" s="112"/>
      <c r="AA3556" s="112"/>
    </row>
    <row r="3557" spans="3:27" x14ac:dyDescent="0.25">
      <c r="C3557" s="112"/>
      <c r="D3557" s="112"/>
      <c r="E3557" s="113"/>
      <c r="F3557" s="113"/>
      <c r="G3557" s="112"/>
      <c r="H3557" s="112"/>
      <c r="Z3557" s="112"/>
      <c r="AA3557" s="112"/>
    </row>
    <row r="3558" spans="3:27" x14ac:dyDescent="0.25">
      <c r="C3558" s="112"/>
      <c r="D3558" s="112"/>
      <c r="E3558" s="113"/>
      <c r="F3558" s="113"/>
      <c r="G3558" s="112"/>
      <c r="H3558" s="112"/>
      <c r="Z3558" s="112"/>
      <c r="AA3558" s="112"/>
    </row>
    <row r="3559" spans="3:27" x14ac:dyDescent="0.25">
      <c r="C3559" s="112"/>
      <c r="D3559" s="112"/>
      <c r="E3559" s="113"/>
      <c r="F3559" s="113"/>
      <c r="G3559" s="112"/>
      <c r="H3559" s="112"/>
      <c r="Z3559" s="112"/>
      <c r="AA3559" s="112"/>
    </row>
    <row r="3560" spans="3:27" x14ac:dyDescent="0.25">
      <c r="C3560" s="112"/>
      <c r="D3560" s="112"/>
      <c r="E3560" s="113"/>
      <c r="F3560" s="113"/>
      <c r="G3560" s="112"/>
      <c r="H3560" s="112"/>
      <c r="Z3560" s="112"/>
      <c r="AA3560" s="112"/>
    </row>
    <row r="3561" spans="3:27" x14ac:dyDescent="0.25">
      <c r="C3561" s="112"/>
      <c r="D3561" s="112"/>
      <c r="E3561" s="113"/>
      <c r="F3561" s="113"/>
      <c r="G3561" s="112"/>
      <c r="H3561" s="112"/>
      <c r="Z3561" s="112"/>
      <c r="AA3561" s="112"/>
    </row>
    <row r="3562" spans="3:27" x14ac:dyDescent="0.25">
      <c r="C3562" s="112"/>
      <c r="D3562" s="112"/>
      <c r="E3562" s="113"/>
      <c r="F3562" s="113"/>
      <c r="G3562" s="112"/>
      <c r="H3562" s="112"/>
      <c r="Z3562" s="112"/>
      <c r="AA3562" s="112"/>
    </row>
    <row r="3563" spans="3:27" x14ac:dyDescent="0.25">
      <c r="C3563" s="112"/>
      <c r="D3563" s="112"/>
      <c r="E3563" s="113"/>
      <c r="F3563" s="113"/>
      <c r="G3563" s="112"/>
      <c r="H3563" s="112"/>
      <c r="Z3563" s="112"/>
      <c r="AA3563" s="112"/>
    </row>
    <row r="3564" spans="3:27" x14ac:dyDescent="0.25">
      <c r="C3564" s="112"/>
      <c r="D3564" s="112"/>
      <c r="E3564" s="113"/>
      <c r="F3564" s="113"/>
      <c r="G3564" s="112"/>
      <c r="H3564" s="112"/>
      <c r="Z3564" s="112"/>
      <c r="AA3564" s="112"/>
    </row>
    <row r="3565" spans="3:27" x14ac:dyDescent="0.25">
      <c r="C3565" s="112"/>
      <c r="D3565" s="112"/>
      <c r="E3565" s="113"/>
      <c r="F3565" s="113"/>
      <c r="G3565" s="112"/>
      <c r="H3565" s="112"/>
      <c r="Z3565" s="112"/>
      <c r="AA3565" s="112"/>
    </row>
    <row r="3566" spans="3:27" x14ac:dyDescent="0.25">
      <c r="C3566" s="112"/>
      <c r="D3566" s="112"/>
      <c r="E3566" s="113"/>
      <c r="F3566" s="113"/>
      <c r="G3566" s="112"/>
      <c r="H3566" s="112"/>
      <c r="Z3566" s="112"/>
      <c r="AA3566" s="112"/>
    </row>
    <row r="3567" spans="3:27" x14ac:dyDescent="0.25">
      <c r="C3567" s="112"/>
      <c r="D3567" s="112"/>
      <c r="E3567" s="113"/>
      <c r="F3567" s="113"/>
      <c r="G3567" s="112"/>
      <c r="H3567" s="112"/>
      <c r="Z3567" s="112"/>
      <c r="AA3567" s="112"/>
    </row>
    <row r="3568" spans="3:27" x14ac:dyDescent="0.25">
      <c r="C3568" s="112"/>
      <c r="D3568" s="112"/>
      <c r="E3568" s="113"/>
      <c r="F3568" s="113"/>
      <c r="G3568" s="112"/>
      <c r="H3568" s="112"/>
      <c r="Z3568" s="112"/>
      <c r="AA3568" s="112"/>
    </row>
    <row r="3569" spans="3:27" x14ac:dyDescent="0.25">
      <c r="C3569" s="112"/>
      <c r="D3569" s="112"/>
      <c r="E3569" s="113"/>
      <c r="F3569" s="113"/>
      <c r="G3569" s="112"/>
      <c r="H3569" s="112"/>
      <c r="Z3569" s="112"/>
      <c r="AA3569" s="112"/>
    </row>
    <row r="3570" spans="3:27" x14ac:dyDescent="0.25">
      <c r="C3570" s="112"/>
      <c r="D3570" s="112"/>
      <c r="E3570" s="113"/>
      <c r="F3570" s="113"/>
      <c r="G3570" s="112"/>
      <c r="H3570" s="112"/>
      <c r="Z3570" s="112"/>
      <c r="AA3570" s="112"/>
    </row>
    <row r="3571" spans="3:27" x14ac:dyDescent="0.25">
      <c r="C3571" s="112"/>
      <c r="D3571" s="112"/>
      <c r="E3571" s="113"/>
      <c r="F3571" s="113"/>
      <c r="G3571" s="112"/>
      <c r="H3571" s="112"/>
      <c r="Z3571" s="112"/>
      <c r="AA3571" s="112"/>
    </row>
    <row r="3572" spans="3:27" x14ac:dyDescent="0.25">
      <c r="C3572" s="112"/>
      <c r="D3572" s="112"/>
      <c r="E3572" s="113"/>
      <c r="F3572" s="113"/>
      <c r="G3572" s="112"/>
      <c r="H3572" s="112"/>
      <c r="Z3572" s="112"/>
      <c r="AA3572" s="112"/>
    </row>
    <row r="3573" spans="3:27" x14ac:dyDescent="0.25">
      <c r="C3573" s="112"/>
      <c r="D3573" s="112"/>
      <c r="E3573" s="113"/>
      <c r="F3573" s="113"/>
      <c r="G3573" s="112"/>
      <c r="H3573" s="112"/>
      <c r="Z3573" s="112"/>
      <c r="AA3573" s="112"/>
    </row>
    <row r="3574" spans="3:27" x14ac:dyDescent="0.25">
      <c r="C3574" s="112"/>
      <c r="D3574" s="112"/>
      <c r="E3574" s="113"/>
      <c r="F3574" s="113"/>
      <c r="G3574" s="112"/>
      <c r="H3574" s="112"/>
      <c r="Z3574" s="112"/>
      <c r="AA3574" s="112"/>
    </row>
    <row r="3575" spans="3:27" x14ac:dyDescent="0.25">
      <c r="C3575" s="112"/>
      <c r="D3575" s="112"/>
      <c r="E3575" s="113"/>
      <c r="F3575" s="113"/>
      <c r="G3575" s="112"/>
      <c r="H3575" s="112"/>
      <c r="Z3575" s="112"/>
      <c r="AA3575" s="112"/>
    </row>
    <row r="3576" spans="3:27" x14ac:dyDescent="0.25">
      <c r="C3576" s="112"/>
      <c r="D3576" s="112"/>
      <c r="E3576" s="113"/>
      <c r="F3576" s="113"/>
      <c r="G3576" s="112"/>
      <c r="H3576" s="112"/>
      <c r="Z3576" s="112"/>
      <c r="AA3576" s="112"/>
    </row>
    <row r="3577" spans="3:27" x14ac:dyDescent="0.25">
      <c r="C3577" s="112"/>
      <c r="D3577" s="112"/>
      <c r="E3577" s="113"/>
      <c r="F3577" s="113"/>
      <c r="G3577" s="112"/>
      <c r="H3577" s="112"/>
      <c r="Z3577" s="112"/>
      <c r="AA3577" s="112"/>
    </row>
    <row r="3578" spans="3:27" x14ac:dyDescent="0.25">
      <c r="C3578" s="112"/>
      <c r="D3578" s="112"/>
      <c r="E3578" s="113"/>
      <c r="F3578" s="113"/>
      <c r="G3578" s="112"/>
      <c r="H3578" s="112"/>
      <c r="Z3578" s="112"/>
      <c r="AA3578" s="112"/>
    </row>
    <row r="3579" spans="3:27" x14ac:dyDescent="0.25">
      <c r="C3579" s="112"/>
      <c r="D3579" s="112"/>
      <c r="E3579" s="113"/>
      <c r="F3579" s="113"/>
      <c r="G3579" s="112"/>
      <c r="H3579" s="112"/>
      <c r="Z3579" s="112"/>
      <c r="AA3579" s="112"/>
    </row>
    <row r="3580" spans="3:27" x14ac:dyDescent="0.25">
      <c r="C3580" s="112"/>
      <c r="D3580" s="112"/>
      <c r="E3580" s="113"/>
      <c r="F3580" s="113"/>
      <c r="G3580" s="112"/>
      <c r="H3580" s="112"/>
      <c r="Z3580" s="112"/>
      <c r="AA3580" s="112"/>
    </row>
    <row r="3581" spans="3:27" x14ac:dyDescent="0.25">
      <c r="C3581" s="112"/>
      <c r="D3581" s="112"/>
      <c r="E3581" s="113"/>
      <c r="F3581" s="113"/>
      <c r="G3581" s="112"/>
      <c r="H3581" s="112"/>
      <c r="Z3581" s="112"/>
      <c r="AA3581" s="112"/>
    </row>
    <row r="3582" spans="3:27" x14ac:dyDescent="0.25">
      <c r="C3582" s="112"/>
      <c r="D3582" s="112"/>
      <c r="E3582" s="113"/>
      <c r="F3582" s="113"/>
      <c r="G3582" s="112"/>
      <c r="H3582" s="112"/>
      <c r="Z3582" s="112"/>
      <c r="AA3582" s="112"/>
    </row>
    <row r="3583" spans="3:27" x14ac:dyDescent="0.25">
      <c r="C3583" s="112"/>
      <c r="D3583" s="112"/>
      <c r="E3583" s="113"/>
      <c r="F3583" s="113"/>
      <c r="G3583" s="112"/>
      <c r="H3583" s="112"/>
      <c r="Z3583" s="112"/>
      <c r="AA3583" s="112"/>
    </row>
    <row r="3584" spans="3:27" x14ac:dyDescent="0.25">
      <c r="C3584" s="112"/>
      <c r="D3584" s="112"/>
      <c r="E3584" s="113"/>
      <c r="F3584" s="113"/>
      <c r="G3584" s="112"/>
      <c r="H3584" s="112"/>
      <c r="Z3584" s="112"/>
      <c r="AA3584" s="112"/>
    </row>
    <row r="3585" spans="3:27" x14ac:dyDescent="0.25">
      <c r="C3585" s="112"/>
      <c r="D3585" s="112"/>
      <c r="E3585" s="113"/>
      <c r="F3585" s="113"/>
      <c r="G3585" s="112"/>
      <c r="H3585" s="112"/>
      <c r="Z3585" s="112"/>
      <c r="AA3585" s="112"/>
    </row>
    <row r="3586" spans="3:27" x14ac:dyDescent="0.25">
      <c r="C3586" s="112"/>
      <c r="D3586" s="112"/>
      <c r="E3586" s="113"/>
      <c r="F3586" s="113"/>
      <c r="G3586" s="112"/>
      <c r="H3586" s="112"/>
      <c r="Z3586" s="112"/>
      <c r="AA3586" s="112"/>
    </row>
    <row r="3587" spans="3:27" x14ac:dyDescent="0.25">
      <c r="C3587" s="112"/>
      <c r="D3587" s="112"/>
      <c r="E3587" s="113"/>
      <c r="F3587" s="113"/>
      <c r="G3587" s="112"/>
      <c r="H3587" s="112"/>
      <c r="Z3587" s="112"/>
      <c r="AA3587" s="112"/>
    </row>
    <row r="3588" spans="3:27" x14ac:dyDescent="0.25">
      <c r="C3588" s="112"/>
      <c r="D3588" s="112"/>
      <c r="E3588" s="113"/>
      <c r="F3588" s="113"/>
      <c r="G3588" s="112"/>
      <c r="H3588" s="112"/>
      <c r="Z3588" s="112"/>
      <c r="AA3588" s="112"/>
    </row>
    <row r="3589" spans="3:27" x14ac:dyDescent="0.25">
      <c r="C3589" s="112"/>
      <c r="D3589" s="112"/>
      <c r="E3589" s="113"/>
      <c r="F3589" s="113"/>
      <c r="G3589" s="112"/>
      <c r="H3589" s="112"/>
      <c r="Z3589" s="112"/>
      <c r="AA3589" s="112"/>
    </row>
    <row r="3590" spans="3:27" x14ac:dyDescent="0.25">
      <c r="C3590" s="112"/>
      <c r="D3590" s="112"/>
      <c r="E3590" s="113"/>
      <c r="F3590" s="113"/>
      <c r="G3590" s="112"/>
      <c r="H3590" s="112"/>
      <c r="Z3590" s="112"/>
      <c r="AA3590" s="112"/>
    </row>
    <row r="3591" spans="3:27" x14ac:dyDescent="0.25">
      <c r="C3591" s="112"/>
      <c r="D3591" s="112"/>
      <c r="E3591" s="113"/>
      <c r="F3591" s="113"/>
      <c r="G3591" s="112"/>
      <c r="H3591" s="112"/>
      <c r="Z3591" s="112"/>
      <c r="AA3591" s="112"/>
    </row>
    <row r="3592" spans="3:27" x14ac:dyDescent="0.25">
      <c r="C3592" s="112"/>
      <c r="D3592" s="112"/>
      <c r="E3592" s="113"/>
      <c r="F3592" s="113"/>
      <c r="G3592" s="112"/>
      <c r="H3592" s="112"/>
      <c r="Z3592" s="112"/>
      <c r="AA3592" s="112"/>
    </row>
    <row r="3593" spans="3:27" x14ac:dyDescent="0.25">
      <c r="C3593" s="112"/>
      <c r="D3593" s="112"/>
      <c r="E3593" s="113"/>
      <c r="F3593" s="113"/>
      <c r="G3593" s="112"/>
      <c r="H3593" s="112"/>
      <c r="Z3593" s="112"/>
      <c r="AA3593" s="112"/>
    </row>
    <row r="3594" spans="3:27" x14ac:dyDescent="0.25">
      <c r="C3594" s="112"/>
      <c r="D3594" s="112"/>
      <c r="E3594" s="113"/>
      <c r="F3594" s="113"/>
      <c r="G3594" s="112"/>
      <c r="H3594" s="112"/>
      <c r="Z3594" s="112"/>
      <c r="AA3594" s="112"/>
    </row>
    <row r="3595" spans="3:27" x14ac:dyDescent="0.25">
      <c r="C3595" s="112"/>
      <c r="D3595" s="112"/>
      <c r="E3595" s="113"/>
      <c r="F3595" s="113"/>
      <c r="G3595" s="112"/>
      <c r="H3595" s="112"/>
      <c r="Z3595" s="112"/>
      <c r="AA3595" s="112"/>
    </row>
    <row r="3596" spans="3:27" x14ac:dyDescent="0.25">
      <c r="C3596" s="112"/>
      <c r="D3596" s="112"/>
      <c r="E3596" s="113"/>
      <c r="F3596" s="113"/>
      <c r="G3596" s="112"/>
      <c r="H3596" s="112"/>
      <c r="Z3596" s="112"/>
      <c r="AA3596" s="112"/>
    </row>
    <row r="3597" spans="3:27" x14ac:dyDescent="0.25">
      <c r="C3597" s="112"/>
      <c r="D3597" s="112"/>
      <c r="E3597" s="113"/>
      <c r="F3597" s="113"/>
      <c r="G3597" s="112"/>
      <c r="H3597" s="112"/>
      <c r="Z3597" s="112"/>
      <c r="AA3597" s="112"/>
    </row>
    <row r="3598" spans="3:27" x14ac:dyDescent="0.25">
      <c r="C3598" s="112"/>
      <c r="D3598" s="112"/>
      <c r="E3598" s="113"/>
      <c r="F3598" s="113"/>
      <c r="G3598" s="112"/>
      <c r="H3598" s="112"/>
      <c r="Z3598" s="112"/>
      <c r="AA3598" s="112"/>
    </row>
    <row r="3599" spans="3:27" x14ac:dyDescent="0.25">
      <c r="C3599" s="112"/>
      <c r="D3599" s="112"/>
      <c r="E3599" s="113"/>
      <c r="F3599" s="113"/>
      <c r="G3599" s="112"/>
      <c r="H3599" s="112"/>
      <c r="Z3599" s="112"/>
      <c r="AA3599" s="112"/>
    </row>
    <row r="3600" spans="3:27" x14ac:dyDescent="0.25">
      <c r="C3600" s="112"/>
      <c r="D3600" s="112"/>
      <c r="E3600" s="113"/>
      <c r="F3600" s="113"/>
      <c r="G3600" s="112"/>
      <c r="H3600" s="112"/>
      <c r="Z3600" s="112"/>
      <c r="AA3600" s="112"/>
    </row>
    <row r="3601" spans="3:27" x14ac:dyDescent="0.25">
      <c r="C3601" s="112"/>
      <c r="D3601" s="112"/>
      <c r="E3601" s="113"/>
      <c r="F3601" s="113"/>
      <c r="G3601" s="112"/>
      <c r="H3601" s="112"/>
      <c r="Z3601" s="112"/>
      <c r="AA3601" s="112"/>
    </row>
    <row r="3602" spans="3:27" x14ac:dyDescent="0.25">
      <c r="C3602" s="112"/>
      <c r="D3602" s="112"/>
      <c r="E3602" s="113"/>
      <c r="F3602" s="113"/>
      <c r="G3602" s="112"/>
      <c r="H3602" s="112"/>
      <c r="Z3602" s="112"/>
      <c r="AA3602" s="112"/>
    </row>
    <row r="3603" spans="3:27" x14ac:dyDescent="0.25">
      <c r="C3603" s="112"/>
      <c r="D3603" s="112"/>
      <c r="E3603" s="113"/>
      <c r="F3603" s="113"/>
      <c r="G3603" s="112"/>
      <c r="H3603" s="112"/>
      <c r="Z3603" s="112"/>
      <c r="AA3603" s="112"/>
    </row>
    <row r="3604" spans="3:27" x14ac:dyDescent="0.25">
      <c r="C3604" s="112"/>
      <c r="D3604" s="112"/>
      <c r="E3604" s="113"/>
      <c r="F3604" s="113"/>
      <c r="G3604" s="112"/>
      <c r="H3604" s="112"/>
      <c r="Z3604" s="112"/>
      <c r="AA3604" s="112"/>
    </row>
    <row r="3605" spans="3:27" x14ac:dyDescent="0.25">
      <c r="C3605" s="112"/>
      <c r="D3605" s="112"/>
      <c r="E3605" s="113"/>
      <c r="F3605" s="113"/>
      <c r="G3605" s="112"/>
      <c r="H3605" s="112"/>
      <c r="Z3605" s="112"/>
      <c r="AA3605" s="112"/>
    </row>
    <row r="3606" spans="3:27" x14ac:dyDescent="0.25">
      <c r="C3606" s="112"/>
      <c r="D3606" s="112"/>
      <c r="E3606" s="113"/>
      <c r="F3606" s="113"/>
      <c r="G3606" s="112"/>
      <c r="H3606" s="112"/>
      <c r="Z3606" s="112"/>
      <c r="AA3606" s="112"/>
    </row>
    <row r="3607" spans="3:27" x14ac:dyDescent="0.25">
      <c r="C3607" s="112"/>
      <c r="D3607" s="112"/>
      <c r="E3607" s="113"/>
      <c r="F3607" s="113"/>
      <c r="G3607" s="112"/>
      <c r="H3607" s="112"/>
      <c r="Z3607" s="112"/>
      <c r="AA3607" s="112"/>
    </row>
    <row r="3608" spans="3:27" x14ac:dyDescent="0.25">
      <c r="C3608" s="112"/>
      <c r="D3608" s="112"/>
      <c r="E3608" s="113"/>
      <c r="F3608" s="113"/>
      <c r="G3608" s="112"/>
      <c r="H3608" s="112"/>
      <c r="Z3608" s="112"/>
      <c r="AA3608" s="112"/>
    </row>
    <row r="3609" spans="3:27" x14ac:dyDescent="0.25">
      <c r="C3609" s="112"/>
      <c r="D3609" s="112"/>
      <c r="E3609" s="113"/>
      <c r="F3609" s="113"/>
      <c r="G3609" s="112"/>
      <c r="H3609" s="112"/>
      <c r="Z3609" s="112"/>
      <c r="AA3609" s="112"/>
    </row>
    <row r="3610" spans="3:27" x14ac:dyDescent="0.25">
      <c r="C3610" s="112"/>
      <c r="D3610" s="112"/>
      <c r="E3610" s="113"/>
      <c r="F3610" s="113"/>
      <c r="G3610" s="112"/>
      <c r="H3610" s="112"/>
      <c r="Z3610" s="112"/>
      <c r="AA3610" s="112"/>
    </row>
    <row r="3611" spans="3:27" x14ac:dyDescent="0.25">
      <c r="C3611" s="112"/>
      <c r="D3611" s="112"/>
      <c r="E3611" s="113"/>
      <c r="F3611" s="113"/>
      <c r="G3611" s="112"/>
      <c r="H3611" s="112"/>
      <c r="Z3611" s="112"/>
      <c r="AA3611" s="112"/>
    </row>
    <row r="3612" spans="3:27" x14ac:dyDescent="0.25">
      <c r="C3612" s="112"/>
      <c r="D3612" s="112"/>
      <c r="E3612" s="113"/>
      <c r="F3612" s="113"/>
      <c r="G3612" s="112"/>
      <c r="H3612" s="112"/>
      <c r="Z3612" s="112"/>
      <c r="AA3612" s="112"/>
    </row>
    <row r="3613" spans="3:27" x14ac:dyDescent="0.25">
      <c r="C3613" s="112"/>
      <c r="D3613" s="112"/>
      <c r="E3613" s="113"/>
      <c r="F3613" s="113"/>
      <c r="G3613" s="112"/>
      <c r="H3613" s="112"/>
      <c r="Z3613" s="112"/>
      <c r="AA3613" s="112"/>
    </row>
    <row r="3614" spans="3:27" x14ac:dyDescent="0.25">
      <c r="C3614" s="112"/>
      <c r="D3614" s="112"/>
      <c r="E3614" s="113"/>
      <c r="F3614" s="113"/>
      <c r="G3614" s="112"/>
      <c r="H3614" s="112"/>
      <c r="Z3614" s="112"/>
      <c r="AA3614" s="112"/>
    </row>
    <row r="3615" spans="3:27" x14ac:dyDescent="0.25">
      <c r="C3615" s="112"/>
      <c r="D3615" s="112"/>
      <c r="E3615" s="113"/>
      <c r="F3615" s="113"/>
      <c r="G3615" s="112"/>
      <c r="H3615" s="112"/>
      <c r="Z3615" s="112"/>
      <c r="AA3615" s="112"/>
    </row>
    <row r="3616" spans="3:27" x14ac:dyDescent="0.25">
      <c r="C3616" s="112"/>
      <c r="D3616" s="112"/>
      <c r="E3616" s="113"/>
      <c r="F3616" s="113"/>
      <c r="G3616" s="112"/>
      <c r="H3616" s="112"/>
      <c r="Z3616" s="112"/>
      <c r="AA3616" s="112"/>
    </row>
    <row r="3617" spans="3:27" x14ac:dyDescent="0.25">
      <c r="C3617" s="112"/>
      <c r="D3617" s="112"/>
      <c r="E3617" s="113"/>
      <c r="F3617" s="113"/>
      <c r="G3617" s="112"/>
      <c r="H3617" s="112"/>
      <c r="Z3617" s="112"/>
      <c r="AA3617" s="112"/>
    </row>
    <row r="3618" spans="3:27" x14ac:dyDescent="0.25">
      <c r="C3618" s="112"/>
      <c r="D3618" s="112"/>
      <c r="E3618" s="113"/>
      <c r="F3618" s="113"/>
      <c r="G3618" s="112"/>
      <c r="H3618" s="112"/>
      <c r="Z3618" s="112"/>
      <c r="AA3618" s="112"/>
    </row>
    <row r="3619" spans="3:27" x14ac:dyDescent="0.25">
      <c r="C3619" s="112"/>
      <c r="D3619" s="112"/>
      <c r="E3619" s="113"/>
      <c r="F3619" s="113"/>
      <c r="G3619" s="112"/>
      <c r="H3619" s="112"/>
      <c r="Z3619" s="112"/>
      <c r="AA3619" s="112"/>
    </row>
    <row r="3620" spans="3:27" x14ac:dyDescent="0.25">
      <c r="C3620" s="112"/>
      <c r="D3620" s="112"/>
      <c r="E3620" s="113"/>
      <c r="F3620" s="113"/>
      <c r="G3620" s="112"/>
      <c r="H3620" s="112"/>
      <c r="Z3620" s="112"/>
      <c r="AA3620" s="112"/>
    </row>
    <row r="3621" spans="3:27" x14ac:dyDescent="0.25">
      <c r="C3621" s="112"/>
      <c r="D3621" s="112"/>
      <c r="E3621" s="113"/>
      <c r="F3621" s="113"/>
      <c r="G3621" s="112"/>
      <c r="H3621" s="112"/>
      <c r="Z3621" s="112"/>
      <c r="AA3621" s="112"/>
    </row>
    <row r="3622" spans="3:27" x14ac:dyDescent="0.25">
      <c r="C3622" s="112"/>
      <c r="D3622" s="112"/>
      <c r="E3622" s="113"/>
      <c r="F3622" s="113"/>
      <c r="G3622" s="112"/>
      <c r="H3622" s="112"/>
      <c r="Z3622" s="112"/>
      <c r="AA3622" s="112"/>
    </row>
    <row r="3623" spans="3:27" x14ac:dyDescent="0.25">
      <c r="C3623" s="112"/>
      <c r="D3623" s="112"/>
      <c r="E3623" s="113"/>
      <c r="F3623" s="113"/>
      <c r="G3623" s="112"/>
      <c r="H3623" s="112"/>
      <c r="Z3623" s="112"/>
      <c r="AA3623" s="112"/>
    </row>
    <row r="3624" spans="3:27" x14ac:dyDescent="0.25">
      <c r="C3624" s="112"/>
      <c r="D3624" s="112"/>
      <c r="E3624" s="113"/>
      <c r="F3624" s="113"/>
      <c r="G3624" s="112"/>
      <c r="H3624" s="112"/>
      <c r="Z3624" s="112"/>
      <c r="AA3624" s="112"/>
    </row>
    <row r="3625" spans="3:27" x14ac:dyDescent="0.25">
      <c r="C3625" s="112"/>
      <c r="D3625" s="112"/>
      <c r="E3625" s="113"/>
      <c r="F3625" s="113"/>
      <c r="G3625" s="112"/>
      <c r="H3625" s="112"/>
      <c r="Z3625" s="112"/>
      <c r="AA3625" s="112"/>
    </row>
    <row r="3626" spans="3:27" x14ac:dyDescent="0.25">
      <c r="C3626" s="112"/>
      <c r="D3626" s="112"/>
      <c r="E3626" s="113"/>
      <c r="F3626" s="113"/>
      <c r="G3626" s="112"/>
      <c r="H3626" s="112"/>
      <c r="Z3626" s="112"/>
      <c r="AA3626" s="112"/>
    </row>
    <row r="3627" spans="3:27" x14ac:dyDescent="0.25">
      <c r="C3627" s="112"/>
      <c r="D3627" s="112"/>
      <c r="E3627" s="113"/>
      <c r="F3627" s="113"/>
      <c r="G3627" s="112"/>
      <c r="H3627" s="112"/>
      <c r="Z3627" s="112"/>
      <c r="AA3627" s="112"/>
    </row>
    <row r="3628" spans="3:27" x14ac:dyDescent="0.25">
      <c r="C3628" s="112"/>
      <c r="D3628" s="112"/>
      <c r="E3628" s="113"/>
      <c r="F3628" s="113"/>
      <c r="G3628" s="112"/>
      <c r="H3628" s="112"/>
      <c r="Z3628" s="112"/>
      <c r="AA3628" s="112"/>
    </row>
    <row r="3629" spans="3:27" x14ac:dyDescent="0.25">
      <c r="C3629" s="112"/>
      <c r="D3629" s="112"/>
      <c r="E3629" s="113"/>
      <c r="F3629" s="113"/>
      <c r="G3629" s="112"/>
      <c r="H3629" s="112"/>
      <c r="Z3629" s="112"/>
      <c r="AA3629" s="112"/>
    </row>
    <row r="3630" spans="3:27" x14ac:dyDescent="0.25">
      <c r="C3630" s="112"/>
      <c r="D3630" s="112"/>
      <c r="E3630" s="113"/>
      <c r="F3630" s="113"/>
      <c r="G3630" s="112"/>
      <c r="H3630" s="112"/>
      <c r="Z3630" s="112"/>
      <c r="AA3630" s="112"/>
    </row>
    <row r="3631" spans="3:27" x14ac:dyDescent="0.25">
      <c r="C3631" s="112"/>
      <c r="D3631" s="112"/>
      <c r="E3631" s="113"/>
      <c r="F3631" s="113"/>
      <c r="G3631" s="112"/>
      <c r="H3631" s="112"/>
      <c r="Z3631" s="112"/>
      <c r="AA3631" s="112"/>
    </row>
    <row r="3632" spans="3:27" x14ac:dyDescent="0.25">
      <c r="C3632" s="112"/>
      <c r="D3632" s="112"/>
      <c r="E3632" s="113"/>
      <c r="F3632" s="113"/>
      <c r="G3632" s="112"/>
      <c r="H3632" s="112"/>
      <c r="Z3632" s="112"/>
      <c r="AA3632" s="112"/>
    </row>
    <row r="3633" spans="3:27" x14ac:dyDescent="0.25">
      <c r="C3633" s="112"/>
      <c r="D3633" s="112"/>
      <c r="E3633" s="113"/>
      <c r="F3633" s="113"/>
      <c r="G3633" s="112"/>
      <c r="H3633" s="112"/>
      <c r="Z3633" s="112"/>
      <c r="AA3633" s="112"/>
    </row>
    <row r="3634" spans="3:27" x14ac:dyDescent="0.25">
      <c r="C3634" s="112"/>
      <c r="D3634" s="112"/>
      <c r="E3634" s="113"/>
      <c r="F3634" s="113"/>
      <c r="G3634" s="112"/>
      <c r="H3634" s="112"/>
      <c r="Z3634" s="112"/>
      <c r="AA3634" s="112"/>
    </row>
    <row r="3635" spans="3:27" x14ac:dyDescent="0.25">
      <c r="C3635" s="112"/>
      <c r="D3635" s="112"/>
      <c r="E3635" s="113"/>
      <c r="F3635" s="113"/>
      <c r="G3635" s="112"/>
      <c r="H3635" s="112"/>
      <c r="Z3635" s="112"/>
      <c r="AA3635" s="112"/>
    </row>
    <row r="3636" spans="3:27" x14ac:dyDescent="0.25">
      <c r="C3636" s="112"/>
      <c r="D3636" s="112"/>
      <c r="E3636" s="113"/>
      <c r="F3636" s="113"/>
      <c r="G3636" s="112"/>
      <c r="H3636" s="112"/>
      <c r="Z3636" s="112"/>
      <c r="AA3636" s="112"/>
    </row>
    <row r="3637" spans="3:27" x14ac:dyDescent="0.25">
      <c r="C3637" s="112"/>
      <c r="D3637" s="112"/>
      <c r="E3637" s="113"/>
      <c r="F3637" s="113"/>
      <c r="G3637" s="112"/>
      <c r="H3637" s="112"/>
      <c r="Z3637" s="112"/>
      <c r="AA3637" s="112"/>
    </row>
    <row r="3638" spans="3:27" x14ac:dyDescent="0.25">
      <c r="C3638" s="112"/>
      <c r="D3638" s="112"/>
      <c r="E3638" s="113"/>
      <c r="F3638" s="113"/>
      <c r="G3638" s="112"/>
      <c r="H3638" s="112"/>
      <c r="Z3638" s="112"/>
      <c r="AA3638" s="112"/>
    </row>
    <row r="3639" spans="3:27" x14ac:dyDescent="0.25">
      <c r="C3639" s="112"/>
      <c r="D3639" s="112"/>
      <c r="E3639" s="113"/>
      <c r="F3639" s="113"/>
      <c r="G3639" s="112"/>
      <c r="H3639" s="112"/>
      <c r="Z3639" s="112"/>
      <c r="AA3639" s="112"/>
    </row>
    <row r="3640" spans="3:27" x14ac:dyDescent="0.25">
      <c r="C3640" s="112"/>
      <c r="D3640" s="112"/>
      <c r="E3640" s="113"/>
      <c r="F3640" s="113"/>
      <c r="G3640" s="112"/>
      <c r="H3640" s="112"/>
      <c r="Z3640" s="112"/>
      <c r="AA3640" s="112"/>
    </row>
    <row r="3641" spans="3:27" x14ac:dyDescent="0.25">
      <c r="C3641" s="112"/>
      <c r="D3641" s="112"/>
      <c r="E3641" s="113"/>
      <c r="F3641" s="113"/>
      <c r="G3641" s="112"/>
      <c r="H3641" s="112"/>
      <c r="Z3641" s="112"/>
      <c r="AA3641" s="112"/>
    </row>
    <row r="3642" spans="3:27" x14ac:dyDescent="0.25">
      <c r="C3642" s="112"/>
      <c r="D3642" s="112"/>
      <c r="E3642" s="113"/>
      <c r="F3642" s="113"/>
      <c r="G3642" s="112"/>
      <c r="H3642" s="112"/>
      <c r="Z3642" s="112"/>
      <c r="AA3642" s="112"/>
    </row>
    <row r="3643" spans="3:27" x14ac:dyDescent="0.25">
      <c r="C3643" s="112"/>
      <c r="D3643" s="112"/>
      <c r="E3643" s="113"/>
      <c r="F3643" s="113"/>
      <c r="G3643" s="112"/>
      <c r="H3643" s="112"/>
      <c r="Z3643" s="112"/>
      <c r="AA3643" s="112"/>
    </row>
    <row r="3644" spans="3:27" x14ac:dyDescent="0.25">
      <c r="C3644" s="112"/>
      <c r="D3644" s="112"/>
      <c r="E3644" s="113"/>
      <c r="F3644" s="113"/>
      <c r="G3644" s="112"/>
      <c r="H3644" s="112"/>
      <c r="Z3644" s="112"/>
      <c r="AA3644" s="112"/>
    </row>
    <row r="3645" spans="3:27" x14ac:dyDescent="0.25">
      <c r="C3645" s="112"/>
      <c r="D3645" s="112"/>
      <c r="E3645" s="113"/>
      <c r="F3645" s="113"/>
      <c r="G3645" s="112"/>
      <c r="H3645" s="112"/>
      <c r="Z3645" s="112"/>
      <c r="AA3645" s="112"/>
    </row>
    <row r="3646" spans="3:27" x14ac:dyDescent="0.25">
      <c r="C3646" s="112"/>
      <c r="D3646" s="112"/>
      <c r="E3646" s="113"/>
      <c r="F3646" s="113"/>
      <c r="G3646" s="112"/>
      <c r="H3646" s="112"/>
      <c r="Z3646" s="112"/>
      <c r="AA3646" s="112"/>
    </row>
    <row r="3647" spans="3:27" x14ac:dyDescent="0.25">
      <c r="C3647" s="112"/>
      <c r="D3647" s="112"/>
      <c r="E3647" s="113"/>
      <c r="F3647" s="113"/>
      <c r="G3647" s="112"/>
      <c r="H3647" s="112"/>
      <c r="Z3647" s="112"/>
      <c r="AA3647" s="112"/>
    </row>
    <row r="3648" spans="3:27" x14ac:dyDescent="0.25">
      <c r="C3648" s="112"/>
      <c r="D3648" s="112"/>
      <c r="E3648" s="113"/>
      <c r="F3648" s="113"/>
      <c r="G3648" s="112"/>
      <c r="H3648" s="112"/>
      <c r="Z3648" s="112"/>
      <c r="AA3648" s="112"/>
    </row>
    <row r="3649" spans="3:27" x14ac:dyDescent="0.25">
      <c r="C3649" s="112"/>
      <c r="D3649" s="112"/>
      <c r="E3649" s="113"/>
      <c r="F3649" s="113"/>
      <c r="G3649" s="112"/>
      <c r="H3649" s="112"/>
      <c r="Z3649" s="112"/>
      <c r="AA3649" s="112"/>
    </row>
    <row r="3650" spans="3:27" x14ac:dyDescent="0.25">
      <c r="C3650" s="112"/>
      <c r="D3650" s="112"/>
      <c r="E3650" s="113"/>
      <c r="F3650" s="113"/>
      <c r="G3650" s="112"/>
      <c r="H3650" s="112"/>
      <c r="Z3650" s="112"/>
      <c r="AA3650" s="112"/>
    </row>
    <row r="3651" spans="3:27" x14ac:dyDescent="0.25">
      <c r="C3651" s="112"/>
      <c r="D3651" s="112"/>
      <c r="E3651" s="113"/>
      <c r="F3651" s="113"/>
      <c r="G3651" s="112"/>
      <c r="H3651" s="112"/>
      <c r="Z3651" s="112"/>
      <c r="AA3651" s="112"/>
    </row>
    <row r="3652" spans="3:27" x14ac:dyDescent="0.25">
      <c r="C3652" s="112"/>
      <c r="D3652" s="112"/>
      <c r="E3652" s="113"/>
      <c r="F3652" s="113"/>
      <c r="G3652" s="112"/>
      <c r="H3652" s="112"/>
      <c r="Z3652" s="112"/>
      <c r="AA3652" s="112"/>
    </row>
    <row r="3653" spans="3:27" x14ac:dyDescent="0.25">
      <c r="C3653" s="112"/>
      <c r="D3653" s="112"/>
      <c r="E3653" s="113"/>
      <c r="F3653" s="113"/>
      <c r="G3653" s="112"/>
      <c r="H3653" s="112"/>
      <c r="Z3653" s="112"/>
      <c r="AA3653" s="112"/>
    </row>
    <row r="3654" spans="3:27" x14ac:dyDescent="0.25">
      <c r="C3654" s="112"/>
      <c r="D3654" s="112"/>
      <c r="E3654" s="113"/>
      <c r="F3654" s="113"/>
      <c r="G3654" s="112"/>
      <c r="H3654" s="112"/>
      <c r="Z3654" s="112"/>
      <c r="AA3654" s="112"/>
    </row>
    <row r="3655" spans="3:27" x14ac:dyDescent="0.25">
      <c r="C3655" s="112"/>
      <c r="D3655" s="112"/>
      <c r="E3655" s="113"/>
      <c r="F3655" s="113"/>
      <c r="G3655" s="112"/>
      <c r="H3655" s="112"/>
      <c r="Z3655" s="112"/>
      <c r="AA3655" s="112"/>
    </row>
    <row r="3656" spans="3:27" x14ac:dyDescent="0.25">
      <c r="C3656" s="112"/>
      <c r="D3656" s="112"/>
      <c r="E3656" s="113"/>
      <c r="F3656" s="113"/>
      <c r="G3656" s="112"/>
      <c r="H3656" s="112"/>
      <c r="Z3656" s="112"/>
      <c r="AA3656" s="112"/>
    </row>
    <row r="3657" spans="3:27" x14ac:dyDescent="0.25">
      <c r="C3657" s="112"/>
      <c r="D3657" s="112"/>
      <c r="E3657" s="113"/>
      <c r="F3657" s="113"/>
      <c r="G3657" s="112"/>
      <c r="H3657" s="112"/>
      <c r="Z3657" s="112"/>
      <c r="AA3657" s="112"/>
    </row>
    <row r="3658" spans="3:27" x14ac:dyDescent="0.25">
      <c r="C3658" s="112"/>
      <c r="D3658" s="112"/>
      <c r="E3658" s="113"/>
      <c r="F3658" s="113"/>
      <c r="G3658" s="112"/>
      <c r="H3658" s="112"/>
      <c r="Z3658" s="112"/>
      <c r="AA3658" s="112"/>
    </row>
    <row r="3659" spans="3:27" x14ac:dyDescent="0.25">
      <c r="C3659" s="112"/>
      <c r="D3659" s="112"/>
      <c r="E3659" s="113"/>
      <c r="F3659" s="113"/>
      <c r="G3659" s="112"/>
      <c r="H3659" s="112"/>
      <c r="Z3659" s="112"/>
      <c r="AA3659" s="112"/>
    </row>
    <row r="3660" spans="3:27" x14ac:dyDescent="0.25">
      <c r="C3660" s="112"/>
      <c r="D3660" s="112"/>
      <c r="E3660" s="113"/>
      <c r="F3660" s="113"/>
      <c r="G3660" s="112"/>
      <c r="H3660" s="112"/>
      <c r="Z3660" s="112"/>
      <c r="AA3660" s="112"/>
    </row>
    <row r="3661" spans="3:27" x14ac:dyDescent="0.25">
      <c r="C3661" s="112"/>
      <c r="D3661" s="112"/>
      <c r="E3661" s="113"/>
      <c r="F3661" s="113"/>
      <c r="G3661" s="112"/>
      <c r="H3661" s="112"/>
      <c r="Z3661" s="112"/>
      <c r="AA3661" s="112"/>
    </row>
    <row r="3662" spans="3:27" x14ac:dyDescent="0.25">
      <c r="C3662" s="112"/>
      <c r="D3662" s="112"/>
      <c r="E3662" s="113"/>
      <c r="F3662" s="113"/>
      <c r="G3662" s="112"/>
      <c r="H3662" s="112"/>
      <c r="Z3662" s="112"/>
      <c r="AA3662" s="112"/>
    </row>
    <row r="3663" spans="3:27" x14ac:dyDescent="0.25">
      <c r="C3663" s="112"/>
      <c r="D3663" s="112"/>
      <c r="E3663" s="113"/>
      <c r="F3663" s="113"/>
      <c r="G3663" s="112"/>
      <c r="H3663" s="112"/>
      <c r="Z3663" s="112"/>
      <c r="AA3663" s="112"/>
    </row>
    <row r="3664" spans="3:27" x14ac:dyDescent="0.25">
      <c r="C3664" s="112"/>
      <c r="D3664" s="112"/>
      <c r="E3664" s="113"/>
      <c r="F3664" s="113"/>
      <c r="G3664" s="112"/>
      <c r="H3664" s="112"/>
      <c r="Z3664" s="112"/>
      <c r="AA3664" s="112"/>
    </row>
    <row r="3665" spans="3:27" x14ac:dyDescent="0.25">
      <c r="C3665" s="112"/>
      <c r="D3665" s="112"/>
      <c r="E3665" s="113"/>
      <c r="F3665" s="113"/>
      <c r="G3665" s="112"/>
      <c r="H3665" s="112"/>
      <c r="Z3665" s="112"/>
      <c r="AA3665" s="112"/>
    </row>
    <row r="3666" spans="3:27" x14ac:dyDescent="0.25">
      <c r="C3666" s="112"/>
      <c r="D3666" s="112"/>
      <c r="E3666" s="113"/>
      <c r="F3666" s="113"/>
      <c r="G3666" s="112"/>
      <c r="H3666" s="112"/>
      <c r="Z3666" s="112"/>
      <c r="AA3666" s="112"/>
    </row>
    <row r="3667" spans="3:27" x14ac:dyDescent="0.25">
      <c r="C3667" s="112"/>
      <c r="D3667" s="112"/>
      <c r="E3667" s="113"/>
      <c r="F3667" s="113"/>
      <c r="G3667" s="112"/>
      <c r="H3667" s="112"/>
      <c r="Z3667" s="112"/>
      <c r="AA3667" s="112"/>
    </row>
    <row r="3668" spans="3:27" x14ac:dyDescent="0.25">
      <c r="C3668" s="112"/>
      <c r="D3668" s="112"/>
      <c r="E3668" s="113"/>
      <c r="F3668" s="113"/>
      <c r="G3668" s="112"/>
      <c r="H3668" s="112"/>
      <c r="Z3668" s="112"/>
      <c r="AA3668" s="112"/>
    </row>
    <row r="3669" spans="3:27" x14ac:dyDescent="0.25">
      <c r="C3669" s="112"/>
      <c r="D3669" s="112"/>
      <c r="E3669" s="113"/>
      <c r="F3669" s="113"/>
      <c r="G3669" s="112"/>
      <c r="H3669" s="112"/>
      <c r="Z3669" s="112"/>
      <c r="AA3669" s="112"/>
    </row>
    <row r="3670" spans="3:27" x14ac:dyDescent="0.25">
      <c r="C3670" s="112"/>
      <c r="D3670" s="112"/>
      <c r="E3670" s="113"/>
      <c r="F3670" s="113"/>
      <c r="G3670" s="112"/>
      <c r="H3670" s="112"/>
      <c r="Z3670" s="112"/>
      <c r="AA3670" s="112"/>
    </row>
    <row r="3671" spans="3:27" x14ac:dyDescent="0.25">
      <c r="C3671" s="112"/>
      <c r="D3671" s="112"/>
      <c r="E3671" s="113"/>
      <c r="F3671" s="113"/>
      <c r="G3671" s="112"/>
      <c r="H3671" s="112"/>
      <c r="Z3671" s="112"/>
      <c r="AA3671" s="112"/>
    </row>
    <row r="3672" spans="3:27" x14ac:dyDescent="0.25">
      <c r="C3672" s="112"/>
      <c r="D3672" s="112"/>
      <c r="E3672" s="113"/>
      <c r="F3672" s="113"/>
      <c r="G3672" s="112"/>
      <c r="H3672" s="112"/>
      <c r="Z3672" s="112"/>
      <c r="AA3672" s="112"/>
    </row>
    <row r="3673" spans="3:27" x14ac:dyDescent="0.25">
      <c r="C3673" s="112"/>
      <c r="D3673" s="112"/>
      <c r="E3673" s="113"/>
      <c r="F3673" s="113"/>
      <c r="G3673" s="112"/>
      <c r="H3673" s="112"/>
      <c r="Z3673" s="112"/>
      <c r="AA3673" s="112"/>
    </row>
    <row r="3674" spans="3:27" x14ac:dyDescent="0.25">
      <c r="C3674" s="112"/>
      <c r="D3674" s="112"/>
      <c r="E3674" s="113"/>
      <c r="F3674" s="113"/>
      <c r="G3674" s="112"/>
      <c r="H3674" s="112"/>
      <c r="Z3674" s="112"/>
      <c r="AA3674" s="112"/>
    </row>
    <row r="3675" spans="3:27" x14ac:dyDescent="0.25">
      <c r="C3675" s="112"/>
      <c r="D3675" s="112"/>
      <c r="E3675" s="113"/>
      <c r="F3675" s="113"/>
      <c r="G3675" s="112"/>
      <c r="H3675" s="112"/>
      <c r="Z3675" s="112"/>
      <c r="AA3675" s="112"/>
    </row>
    <row r="3676" spans="3:27" x14ac:dyDescent="0.25">
      <c r="C3676" s="112"/>
      <c r="D3676" s="112"/>
      <c r="E3676" s="113"/>
      <c r="F3676" s="113"/>
      <c r="G3676" s="112"/>
      <c r="H3676" s="112"/>
      <c r="Z3676" s="112"/>
      <c r="AA3676" s="112"/>
    </row>
    <row r="3677" spans="3:27" x14ac:dyDescent="0.25">
      <c r="C3677" s="112"/>
      <c r="D3677" s="112"/>
      <c r="E3677" s="113"/>
      <c r="F3677" s="113"/>
      <c r="G3677" s="112"/>
      <c r="H3677" s="112"/>
      <c r="Z3677" s="112"/>
      <c r="AA3677" s="112"/>
    </row>
    <row r="3678" spans="3:27" x14ac:dyDescent="0.25">
      <c r="C3678" s="112"/>
      <c r="D3678" s="112"/>
      <c r="E3678" s="113"/>
      <c r="F3678" s="113"/>
      <c r="G3678" s="112"/>
      <c r="H3678" s="112"/>
      <c r="Z3678" s="112"/>
      <c r="AA3678" s="112"/>
    </row>
    <row r="3679" spans="3:27" x14ac:dyDescent="0.25">
      <c r="C3679" s="112"/>
      <c r="D3679" s="112"/>
      <c r="E3679" s="113"/>
      <c r="F3679" s="113"/>
      <c r="G3679" s="112"/>
      <c r="H3679" s="112"/>
      <c r="Z3679" s="112"/>
      <c r="AA3679" s="112"/>
    </row>
    <row r="3680" spans="3:27" x14ac:dyDescent="0.25">
      <c r="C3680" s="112"/>
      <c r="D3680" s="112"/>
      <c r="E3680" s="113"/>
      <c r="F3680" s="113"/>
      <c r="G3680" s="112"/>
      <c r="H3680" s="112"/>
      <c r="Z3680" s="112"/>
      <c r="AA3680" s="112"/>
    </row>
    <row r="3681" spans="3:27" x14ac:dyDescent="0.25">
      <c r="C3681" s="112"/>
      <c r="D3681" s="112"/>
      <c r="E3681" s="113"/>
      <c r="F3681" s="113"/>
      <c r="G3681" s="112"/>
      <c r="H3681" s="112"/>
      <c r="Z3681" s="112"/>
      <c r="AA3681" s="112"/>
    </row>
    <row r="3682" spans="3:27" x14ac:dyDescent="0.25">
      <c r="C3682" s="112"/>
      <c r="D3682" s="112"/>
      <c r="E3682" s="113"/>
      <c r="F3682" s="113"/>
      <c r="G3682" s="112"/>
      <c r="H3682" s="112"/>
      <c r="Z3682" s="112"/>
      <c r="AA3682" s="112"/>
    </row>
    <row r="3683" spans="3:27" x14ac:dyDescent="0.25">
      <c r="C3683" s="112"/>
      <c r="D3683" s="112"/>
      <c r="E3683" s="113"/>
      <c r="F3683" s="113"/>
      <c r="G3683" s="112"/>
      <c r="H3683" s="112"/>
      <c r="Z3683" s="112"/>
      <c r="AA3683" s="112"/>
    </row>
    <row r="3684" spans="3:27" x14ac:dyDescent="0.25">
      <c r="C3684" s="112"/>
      <c r="D3684" s="112"/>
      <c r="E3684" s="113"/>
      <c r="F3684" s="113"/>
      <c r="G3684" s="112"/>
      <c r="H3684" s="112"/>
      <c r="Z3684" s="112"/>
      <c r="AA3684" s="112"/>
    </row>
    <row r="3685" spans="3:27" x14ac:dyDescent="0.25">
      <c r="C3685" s="112"/>
      <c r="D3685" s="112"/>
      <c r="E3685" s="113"/>
      <c r="F3685" s="113"/>
      <c r="G3685" s="112"/>
      <c r="H3685" s="112"/>
      <c r="Z3685" s="112"/>
      <c r="AA3685" s="112"/>
    </row>
    <row r="3686" spans="3:27" x14ac:dyDescent="0.25">
      <c r="C3686" s="112"/>
      <c r="D3686" s="112"/>
      <c r="E3686" s="113"/>
      <c r="F3686" s="113"/>
      <c r="G3686" s="112"/>
      <c r="H3686" s="112"/>
      <c r="Z3686" s="112"/>
      <c r="AA3686" s="112"/>
    </row>
    <row r="3687" spans="3:27" x14ac:dyDescent="0.25">
      <c r="C3687" s="112"/>
      <c r="D3687" s="112"/>
      <c r="E3687" s="113"/>
      <c r="F3687" s="113"/>
      <c r="G3687" s="112"/>
      <c r="H3687" s="112"/>
      <c r="Z3687" s="112"/>
      <c r="AA3687" s="112"/>
    </row>
    <row r="3688" spans="3:27" x14ac:dyDescent="0.25">
      <c r="C3688" s="112"/>
      <c r="D3688" s="112"/>
      <c r="E3688" s="113"/>
      <c r="F3688" s="113"/>
      <c r="G3688" s="112"/>
      <c r="H3688" s="112"/>
      <c r="Z3688" s="112"/>
      <c r="AA3688" s="112"/>
    </row>
    <row r="3689" spans="3:27" x14ac:dyDescent="0.25">
      <c r="C3689" s="112"/>
      <c r="D3689" s="112"/>
      <c r="E3689" s="113"/>
      <c r="F3689" s="113"/>
      <c r="G3689" s="112"/>
      <c r="H3689" s="112"/>
      <c r="Z3689" s="112"/>
      <c r="AA3689" s="112"/>
    </row>
    <row r="3690" spans="3:27" x14ac:dyDescent="0.25">
      <c r="C3690" s="112"/>
      <c r="D3690" s="112"/>
      <c r="E3690" s="113"/>
      <c r="F3690" s="113"/>
      <c r="G3690" s="112"/>
      <c r="H3690" s="112"/>
      <c r="Z3690" s="112"/>
      <c r="AA3690" s="112"/>
    </row>
    <row r="3691" spans="3:27" x14ac:dyDescent="0.25">
      <c r="C3691" s="112"/>
      <c r="D3691" s="112"/>
      <c r="E3691" s="113"/>
      <c r="F3691" s="113"/>
      <c r="G3691" s="112"/>
      <c r="H3691" s="112"/>
      <c r="Z3691" s="112"/>
      <c r="AA3691" s="112"/>
    </row>
    <row r="3692" spans="3:27" x14ac:dyDescent="0.25">
      <c r="C3692" s="112"/>
      <c r="D3692" s="112"/>
      <c r="E3692" s="113"/>
      <c r="F3692" s="113"/>
      <c r="G3692" s="112"/>
      <c r="H3692" s="112"/>
      <c r="Z3692" s="112"/>
      <c r="AA3692" s="112"/>
    </row>
    <row r="3693" spans="3:27" x14ac:dyDescent="0.25">
      <c r="C3693" s="112"/>
      <c r="D3693" s="112"/>
      <c r="E3693" s="113"/>
      <c r="F3693" s="113"/>
      <c r="G3693" s="112"/>
      <c r="H3693" s="112"/>
      <c r="Z3693" s="112"/>
      <c r="AA3693" s="112"/>
    </row>
    <row r="3694" spans="3:27" x14ac:dyDescent="0.25">
      <c r="C3694" s="112"/>
      <c r="D3694" s="112"/>
      <c r="E3694" s="113"/>
      <c r="F3694" s="113"/>
      <c r="G3694" s="112"/>
      <c r="H3694" s="112"/>
      <c r="Z3694" s="112"/>
      <c r="AA3694" s="112"/>
    </row>
    <row r="3695" spans="3:27" x14ac:dyDescent="0.25">
      <c r="C3695" s="112"/>
      <c r="D3695" s="112"/>
      <c r="E3695" s="113"/>
      <c r="F3695" s="113"/>
      <c r="G3695" s="112"/>
      <c r="H3695" s="112"/>
      <c r="Z3695" s="112"/>
      <c r="AA3695" s="112"/>
    </row>
    <row r="3696" spans="3:27" x14ac:dyDescent="0.25">
      <c r="C3696" s="112"/>
      <c r="D3696" s="112"/>
      <c r="E3696" s="113"/>
      <c r="F3696" s="113"/>
      <c r="G3696" s="112"/>
      <c r="H3696" s="112"/>
      <c r="Z3696" s="112"/>
      <c r="AA3696" s="112"/>
    </row>
    <row r="3697" spans="3:27" x14ac:dyDescent="0.25">
      <c r="C3697" s="112"/>
      <c r="D3697" s="112"/>
      <c r="E3697" s="113"/>
      <c r="F3697" s="113"/>
      <c r="G3697" s="112"/>
      <c r="H3697" s="112"/>
      <c r="Z3697" s="112"/>
      <c r="AA3697" s="112"/>
    </row>
    <row r="3698" spans="3:27" x14ac:dyDescent="0.25">
      <c r="C3698" s="112"/>
      <c r="D3698" s="112"/>
      <c r="E3698" s="113"/>
      <c r="F3698" s="113"/>
      <c r="G3698" s="112"/>
      <c r="H3698" s="112"/>
      <c r="Z3698" s="112"/>
      <c r="AA3698" s="112"/>
    </row>
    <row r="3699" spans="3:27" x14ac:dyDescent="0.25">
      <c r="C3699" s="112"/>
      <c r="D3699" s="112"/>
      <c r="E3699" s="113"/>
      <c r="F3699" s="113"/>
      <c r="G3699" s="112"/>
      <c r="H3699" s="112"/>
      <c r="Z3699" s="112"/>
      <c r="AA3699" s="112"/>
    </row>
    <row r="3700" spans="3:27" x14ac:dyDescent="0.25">
      <c r="C3700" s="112"/>
      <c r="D3700" s="112"/>
      <c r="E3700" s="113"/>
      <c r="F3700" s="113"/>
      <c r="G3700" s="112"/>
      <c r="H3700" s="112"/>
      <c r="Z3700" s="112"/>
      <c r="AA3700" s="112"/>
    </row>
    <row r="3701" spans="3:27" x14ac:dyDescent="0.25">
      <c r="C3701" s="112"/>
      <c r="D3701" s="112"/>
      <c r="E3701" s="113"/>
      <c r="F3701" s="113"/>
      <c r="G3701" s="112"/>
      <c r="H3701" s="112"/>
      <c r="Z3701" s="112"/>
      <c r="AA3701" s="112"/>
    </row>
    <row r="3702" spans="3:27" x14ac:dyDescent="0.25">
      <c r="C3702" s="112"/>
      <c r="D3702" s="112"/>
      <c r="E3702" s="113"/>
      <c r="F3702" s="113"/>
      <c r="G3702" s="112"/>
      <c r="H3702" s="112"/>
      <c r="Z3702" s="112"/>
      <c r="AA3702" s="112"/>
    </row>
    <row r="3703" spans="3:27" x14ac:dyDescent="0.25">
      <c r="C3703" s="112"/>
      <c r="D3703" s="112"/>
      <c r="E3703" s="113"/>
      <c r="F3703" s="113"/>
      <c r="G3703" s="112"/>
      <c r="H3703" s="112"/>
      <c r="Z3703" s="112"/>
      <c r="AA3703" s="112"/>
    </row>
    <row r="3704" spans="3:27" x14ac:dyDescent="0.25">
      <c r="C3704" s="112"/>
      <c r="D3704" s="112"/>
      <c r="E3704" s="113"/>
      <c r="F3704" s="113"/>
      <c r="G3704" s="112"/>
      <c r="H3704" s="112"/>
      <c r="Z3704" s="112"/>
      <c r="AA3704" s="112"/>
    </row>
    <row r="3705" spans="3:27" x14ac:dyDescent="0.25">
      <c r="C3705" s="112"/>
      <c r="D3705" s="112"/>
      <c r="E3705" s="113"/>
      <c r="F3705" s="113"/>
      <c r="G3705" s="112"/>
      <c r="H3705" s="112"/>
      <c r="Z3705" s="112"/>
      <c r="AA3705" s="112"/>
    </row>
    <row r="3706" spans="3:27" x14ac:dyDescent="0.25">
      <c r="C3706" s="112"/>
      <c r="D3706" s="112"/>
      <c r="E3706" s="113"/>
      <c r="F3706" s="113"/>
      <c r="G3706" s="112"/>
      <c r="H3706" s="112"/>
      <c r="Z3706" s="112"/>
      <c r="AA3706" s="112"/>
    </row>
    <row r="3707" spans="3:27" x14ac:dyDescent="0.25">
      <c r="C3707" s="112"/>
      <c r="D3707" s="112"/>
      <c r="E3707" s="113"/>
      <c r="F3707" s="113"/>
      <c r="G3707" s="112"/>
      <c r="H3707" s="112"/>
      <c r="Z3707" s="112"/>
      <c r="AA3707" s="112"/>
    </row>
    <row r="3708" spans="3:27" x14ac:dyDescent="0.25">
      <c r="C3708" s="112"/>
      <c r="D3708" s="112"/>
      <c r="E3708" s="113"/>
      <c r="F3708" s="113"/>
      <c r="G3708" s="112"/>
      <c r="H3708" s="112"/>
      <c r="Z3708" s="112"/>
      <c r="AA3708" s="112"/>
    </row>
    <row r="3709" spans="3:27" x14ac:dyDescent="0.25">
      <c r="C3709" s="112"/>
      <c r="D3709" s="112"/>
      <c r="E3709" s="113"/>
      <c r="F3709" s="113"/>
      <c r="G3709" s="112"/>
      <c r="H3709" s="112"/>
      <c r="Z3709" s="112"/>
      <c r="AA3709" s="112"/>
    </row>
    <row r="3710" spans="3:27" x14ac:dyDescent="0.25">
      <c r="C3710" s="112"/>
      <c r="D3710" s="112"/>
      <c r="E3710" s="113"/>
      <c r="F3710" s="113"/>
      <c r="G3710" s="112"/>
      <c r="H3710" s="112"/>
      <c r="Z3710" s="112"/>
      <c r="AA3710" s="112"/>
    </row>
    <row r="3711" spans="3:27" x14ac:dyDescent="0.25">
      <c r="C3711" s="112"/>
      <c r="D3711" s="112"/>
      <c r="E3711" s="113"/>
      <c r="F3711" s="113"/>
      <c r="G3711" s="112"/>
      <c r="H3711" s="112"/>
      <c r="Z3711" s="112"/>
      <c r="AA3711" s="112"/>
    </row>
    <row r="3712" spans="3:27" x14ac:dyDescent="0.25">
      <c r="C3712" s="112"/>
      <c r="D3712" s="112"/>
      <c r="E3712" s="113"/>
      <c r="F3712" s="113"/>
      <c r="G3712" s="112"/>
      <c r="H3712" s="112"/>
      <c r="Z3712" s="112"/>
      <c r="AA3712" s="112"/>
    </row>
    <row r="3713" spans="3:27" x14ac:dyDescent="0.25">
      <c r="C3713" s="112"/>
      <c r="D3713" s="112"/>
      <c r="E3713" s="113"/>
      <c r="F3713" s="113"/>
      <c r="G3713" s="112"/>
      <c r="H3713" s="112"/>
      <c r="Z3713" s="112"/>
      <c r="AA3713" s="112"/>
    </row>
    <row r="3714" spans="3:27" x14ac:dyDescent="0.25">
      <c r="C3714" s="112"/>
      <c r="D3714" s="112"/>
      <c r="E3714" s="113"/>
      <c r="F3714" s="113"/>
      <c r="G3714" s="112"/>
      <c r="H3714" s="112"/>
      <c r="Z3714" s="112"/>
      <c r="AA3714" s="112"/>
    </row>
    <row r="3715" spans="3:27" x14ac:dyDescent="0.25">
      <c r="C3715" s="112"/>
      <c r="D3715" s="112"/>
      <c r="E3715" s="113"/>
      <c r="F3715" s="113"/>
      <c r="G3715" s="112"/>
      <c r="H3715" s="112"/>
      <c r="Z3715" s="112"/>
      <c r="AA3715" s="112"/>
    </row>
    <row r="3716" spans="3:27" x14ac:dyDescent="0.25">
      <c r="C3716" s="112"/>
      <c r="D3716" s="112"/>
      <c r="E3716" s="113"/>
      <c r="F3716" s="113"/>
      <c r="G3716" s="112"/>
      <c r="H3716" s="112"/>
      <c r="Z3716" s="112"/>
      <c r="AA3716" s="112"/>
    </row>
    <row r="3717" spans="3:27" x14ac:dyDescent="0.25">
      <c r="C3717" s="112"/>
      <c r="D3717" s="112"/>
      <c r="E3717" s="113"/>
      <c r="F3717" s="113"/>
      <c r="G3717" s="112"/>
      <c r="H3717" s="112"/>
      <c r="Z3717" s="112"/>
      <c r="AA3717" s="112"/>
    </row>
    <row r="3718" spans="3:27" x14ac:dyDescent="0.25">
      <c r="C3718" s="112"/>
      <c r="D3718" s="112"/>
      <c r="E3718" s="113"/>
      <c r="F3718" s="113"/>
      <c r="G3718" s="112"/>
      <c r="H3718" s="112"/>
      <c r="Z3718" s="112"/>
      <c r="AA3718" s="112"/>
    </row>
    <row r="3719" spans="3:27" x14ac:dyDescent="0.25">
      <c r="C3719" s="112"/>
      <c r="D3719" s="112"/>
      <c r="E3719" s="113"/>
      <c r="F3719" s="113"/>
      <c r="G3719" s="112"/>
      <c r="H3719" s="112"/>
      <c r="Z3719" s="112"/>
      <c r="AA3719" s="112"/>
    </row>
    <row r="3720" spans="3:27" x14ac:dyDescent="0.25">
      <c r="C3720" s="112"/>
      <c r="D3720" s="112"/>
      <c r="E3720" s="113"/>
      <c r="F3720" s="113"/>
      <c r="G3720" s="112"/>
      <c r="H3720" s="112"/>
      <c r="Z3720" s="112"/>
      <c r="AA3720" s="112"/>
    </row>
    <row r="3721" spans="3:27" x14ac:dyDescent="0.25">
      <c r="C3721" s="112"/>
      <c r="D3721" s="112"/>
      <c r="E3721" s="113"/>
      <c r="F3721" s="113"/>
      <c r="G3721" s="112"/>
      <c r="H3721" s="112"/>
      <c r="Z3721" s="112"/>
      <c r="AA3721" s="112"/>
    </row>
    <row r="3722" spans="3:27" x14ac:dyDescent="0.25">
      <c r="C3722" s="112"/>
      <c r="D3722" s="112"/>
      <c r="E3722" s="113"/>
      <c r="F3722" s="113"/>
      <c r="G3722" s="112"/>
      <c r="H3722" s="112"/>
      <c r="Z3722" s="112"/>
      <c r="AA3722" s="112"/>
    </row>
    <row r="3723" spans="3:27" x14ac:dyDescent="0.25">
      <c r="C3723" s="112"/>
      <c r="D3723" s="112"/>
      <c r="E3723" s="113"/>
      <c r="F3723" s="113"/>
      <c r="G3723" s="112"/>
      <c r="H3723" s="112"/>
      <c r="Z3723" s="112"/>
      <c r="AA3723" s="112"/>
    </row>
    <row r="3724" spans="3:27" x14ac:dyDescent="0.25">
      <c r="C3724" s="112"/>
      <c r="D3724" s="112"/>
      <c r="E3724" s="113"/>
      <c r="F3724" s="113"/>
      <c r="G3724" s="112"/>
      <c r="H3724" s="112"/>
      <c r="Z3724" s="112"/>
      <c r="AA3724" s="112"/>
    </row>
    <row r="3725" spans="3:27" x14ac:dyDescent="0.25">
      <c r="C3725" s="112"/>
      <c r="D3725" s="112"/>
      <c r="E3725" s="113"/>
      <c r="F3725" s="113"/>
      <c r="G3725" s="112"/>
      <c r="H3725" s="112"/>
      <c r="Z3725" s="112"/>
      <c r="AA3725" s="112"/>
    </row>
    <row r="3726" spans="3:27" x14ac:dyDescent="0.25">
      <c r="C3726" s="112"/>
      <c r="D3726" s="112"/>
      <c r="E3726" s="113"/>
      <c r="F3726" s="113"/>
      <c r="G3726" s="112"/>
      <c r="H3726" s="112"/>
      <c r="Z3726" s="112"/>
      <c r="AA3726" s="112"/>
    </row>
    <row r="3727" spans="3:27" x14ac:dyDescent="0.25">
      <c r="C3727" s="112"/>
      <c r="D3727" s="112"/>
      <c r="E3727" s="113"/>
      <c r="F3727" s="113"/>
      <c r="G3727" s="112"/>
      <c r="H3727" s="112"/>
      <c r="Z3727" s="112"/>
      <c r="AA3727" s="112"/>
    </row>
    <row r="3728" spans="3:27" x14ac:dyDescent="0.25">
      <c r="C3728" s="112"/>
      <c r="D3728" s="112"/>
      <c r="E3728" s="113"/>
      <c r="F3728" s="113"/>
      <c r="G3728" s="112"/>
      <c r="H3728" s="112"/>
      <c r="Z3728" s="112"/>
      <c r="AA3728" s="112"/>
    </row>
    <row r="3729" spans="3:27" x14ac:dyDescent="0.25">
      <c r="C3729" s="112"/>
      <c r="D3729" s="112"/>
      <c r="E3729" s="113"/>
      <c r="F3729" s="113"/>
      <c r="G3729" s="112"/>
      <c r="H3729" s="112"/>
      <c r="Z3729" s="112"/>
      <c r="AA3729" s="112"/>
    </row>
    <row r="3730" spans="3:27" x14ac:dyDescent="0.25">
      <c r="C3730" s="112"/>
      <c r="D3730" s="112"/>
      <c r="E3730" s="113"/>
      <c r="F3730" s="113"/>
      <c r="G3730" s="112"/>
      <c r="H3730" s="112"/>
      <c r="Z3730" s="112"/>
      <c r="AA3730" s="112"/>
    </row>
    <row r="3731" spans="3:27" x14ac:dyDescent="0.25">
      <c r="C3731" s="112"/>
      <c r="D3731" s="112"/>
      <c r="E3731" s="113"/>
      <c r="F3731" s="113"/>
      <c r="G3731" s="112"/>
      <c r="H3731" s="112"/>
      <c r="Z3731" s="112"/>
      <c r="AA3731" s="112"/>
    </row>
    <row r="3732" spans="3:27" x14ac:dyDescent="0.25">
      <c r="C3732" s="112"/>
      <c r="D3732" s="112"/>
      <c r="E3732" s="113"/>
      <c r="F3732" s="113"/>
      <c r="G3732" s="112"/>
      <c r="H3732" s="112"/>
      <c r="Z3732" s="112"/>
      <c r="AA3732" s="112"/>
    </row>
    <row r="3733" spans="3:27" x14ac:dyDescent="0.25">
      <c r="C3733" s="112"/>
      <c r="D3733" s="112"/>
      <c r="E3733" s="113"/>
      <c r="F3733" s="113"/>
      <c r="G3733" s="112"/>
      <c r="H3733" s="112"/>
      <c r="Z3733" s="112"/>
      <c r="AA3733" s="112"/>
    </row>
    <row r="3734" spans="3:27" x14ac:dyDescent="0.25">
      <c r="C3734" s="112"/>
      <c r="D3734" s="112"/>
      <c r="E3734" s="113"/>
      <c r="F3734" s="113"/>
      <c r="G3734" s="112"/>
      <c r="H3734" s="112"/>
      <c r="Z3734" s="112"/>
      <c r="AA3734" s="112"/>
    </row>
    <row r="3735" spans="3:27" x14ac:dyDescent="0.25">
      <c r="C3735" s="112"/>
      <c r="D3735" s="112"/>
      <c r="E3735" s="113"/>
      <c r="F3735" s="113"/>
      <c r="G3735" s="112"/>
      <c r="H3735" s="112"/>
      <c r="Z3735" s="112"/>
      <c r="AA3735" s="112"/>
    </row>
    <row r="3736" spans="3:27" x14ac:dyDescent="0.25">
      <c r="C3736" s="112"/>
      <c r="D3736" s="112"/>
      <c r="E3736" s="113"/>
      <c r="F3736" s="113"/>
      <c r="G3736" s="112"/>
      <c r="H3736" s="112"/>
      <c r="Z3736" s="112"/>
      <c r="AA3736" s="112"/>
    </row>
    <row r="3737" spans="3:27" x14ac:dyDescent="0.25">
      <c r="C3737" s="112"/>
      <c r="D3737" s="112"/>
      <c r="E3737" s="113"/>
      <c r="F3737" s="113"/>
      <c r="G3737" s="112"/>
      <c r="H3737" s="112"/>
      <c r="Z3737" s="112"/>
      <c r="AA3737" s="112"/>
    </row>
    <row r="3738" spans="3:27" x14ac:dyDescent="0.25">
      <c r="C3738" s="112"/>
      <c r="D3738" s="112"/>
      <c r="E3738" s="113"/>
      <c r="F3738" s="113"/>
      <c r="G3738" s="112"/>
      <c r="H3738" s="112"/>
      <c r="Z3738" s="112"/>
      <c r="AA3738" s="112"/>
    </row>
    <row r="3739" spans="3:27" x14ac:dyDescent="0.25">
      <c r="C3739" s="112"/>
      <c r="D3739" s="112"/>
      <c r="E3739" s="113"/>
      <c r="F3739" s="113"/>
      <c r="G3739" s="112"/>
      <c r="H3739" s="112"/>
      <c r="Z3739" s="112"/>
      <c r="AA3739" s="112"/>
    </row>
    <row r="3740" spans="3:27" x14ac:dyDescent="0.25">
      <c r="C3740" s="112"/>
      <c r="D3740" s="112"/>
      <c r="E3740" s="113"/>
      <c r="F3740" s="113"/>
      <c r="G3740" s="112"/>
      <c r="H3740" s="112"/>
      <c r="Z3740" s="112"/>
      <c r="AA3740" s="112"/>
    </row>
    <row r="3741" spans="3:27" x14ac:dyDescent="0.25">
      <c r="C3741" s="112"/>
      <c r="D3741" s="112"/>
      <c r="E3741" s="113"/>
      <c r="F3741" s="113"/>
      <c r="G3741" s="112"/>
      <c r="H3741" s="112"/>
      <c r="Z3741" s="112"/>
      <c r="AA3741" s="112"/>
    </row>
    <row r="3742" spans="3:27" x14ac:dyDescent="0.25">
      <c r="C3742" s="112"/>
      <c r="D3742" s="112"/>
      <c r="E3742" s="113"/>
      <c r="F3742" s="113"/>
      <c r="G3742" s="112"/>
      <c r="H3742" s="112"/>
      <c r="Z3742" s="112"/>
      <c r="AA3742" s="112"/>
    </row>
    <row r="3743" spans="3:27" x14ac:dyDescent="0.25">
      <c r="C3743" s="112"/>
      <c r="D3743" s="112"/>
      <c r="E3743" s="113"/>
      <c r="F3743" s="113"/>
      <c r="G3743" s="112"/>
      <c r="H3743" s="112"/>
      <c r="Z3743" s="112"/>
      <c r="AA3743" s="112"/>
    </row>
    <row r="3744" spans="3:27" x14ac:dyDescent="0.25">
      <c r="C3744" s="112"/>
      <c r="D3744" s="112"/>
      <c r="E3744" s="113"/>
      <c r="F3744" s="113"/>
      <c r="G3744" s="112"/>
      <c r="H3744" s="112"/>
      <c r="Z3744" s="112"/>
      <c r="AA3744" s="112"/>
    </row>
    <row r="3745" spans="3:27" x14ac:dyDescent="0.25">
      <c r="C3745" s="112"/>
      <c r="D3745" s="112"/>
      <c r="E3745" s="113"/>
      <c r="F3745" s="113"/>
      <c r="G3745" s="112"/>
      <c r="H3745" s="112"/>
      <c r="Z3745" s="112"/>
      <c r="AA3745" s="112"/>
    </row>
    <row r="3746" spans="3:27" x14ac:dyDescent="0.25">
      <c r="C3746" s="112"/>
      <c r="D3746" s="112"/>
      <c r="E3746" s="113"/>
      <c r="F3746" s="113"/>
      <c r="G3746" s="112"/>
      <c r="H3746" s="112"/>
      <c r="Z3746" s="112"/>
      <c r="AA3746" s="112"/>
    </row>
    <row r="3747" spans="3:27" x14ac:dyDescent="0.25">
      <c r="C3747" s="112"/>
      <c r="D3747" s="112"/>
      <c r="E3747" s="113"/>
      <c r="F3747" s="113"/>
      <c r="G3747" s="112"/>
      <c r="H3747" s="112"/>
      <c r="Z3747" s="112"/>
      <c r="AA3747" s="112"/>
    </row>
    <row r="3748" spans="3:27" x14ac:dyDescent="0.25">
      <c r="C3748" s="112"/>
      <c r="D3748" s="112"/>
      <c r="E3748" s="113"/>
      <c r="F3748" s="113"/>
      <c r="G3748" s="112"/>
      <c r="H3748" s="112"/>
      <c r="Z3748" s="112"/>
      <c r="AA3748" s="112"/>
    </row>
    <row r="3749" spans="3:27" x14ac:dyDescent="0.25">
      <c r="C3749" s="112"/>
      <c r="D3749" s="112"/>
      <c r="E3749" s="113"/>
      <c r="F3749" s="113"/>
      <c r="G3749" s="112"/>
      <c r="H3749" s="112"/>
      <c r="Z3749" s="112"/>
      <c r="AA3749" s="112"/>
    </row>
    <row r="3750" spans="3:27" x14ac:dyDescent="0.25">
      <c r="C3750" s="112"/>
      <c r="D3750" s="112"/>
      <c r="E3750" s="113"/>
      <c r="F3750" s="113"/>
      <c r="G3750" s="112"/>
      <c r="H3750" s="112"/>
      <c r="Z3750" s="112"/>
      <c r="AA3750" s="112"/>
    </row>
    <row r="3751" spans="3:27" x14ac:dyDescent="0.25">
      <c r="C3751" s="112"/>
      <c r="D3751" s="112"/>
      <c r="E3751" s="113"/>
      <c r="F3751" s="113"/>
      <c r="G3751" s="112"/>
      <c r="H3751" s="112"/>
      <c r="Z3751" s="112"/>
      <c r="AA3751" s="112"/>
    </row>
    <row r="3752" spans="3:27" x14ac:dyDescent="0.25">
      <c r="C3752" s="112"/>
      <c r="D3752" s="112"/>
      <c r="E3752" s="113"/>
      <c r="F3752" s="113"/>
      <c r="G3752" s="112"/>
      <c r="H3752" s="112"/>
      <c r="Z3752" s="112"/>
      <c r="AA3752" s="112"/>
    </row>
    <row r="3753" spans="3:27" x14ac:dyDescent="0.25">
      <c r="C3753" s="112"/>
      <c r="D3753" s="112"/>
      <c r="E3753" s="113"/>
      <c r="F3753" s="113"/>
      <c r="G3753" s="112"/>
      <c r="H3753" s="112"/>
      <c r="Z3753" s="112"/>
      <c r="AA3753" s="112"/>
    </row>
    <row r="3754" spans="3:27" x14ac:dyDescent="0.25">
      <c r="C3754" s="112"/>
      <c r="D3754" s="112"/>
      <c r="E3754" s="113"/>
      <c r="F3754" s="113"/>
      <c r="G3754" s="112"/>
      <c r="H3754" s="112"/>
      <c r="Z3754" s="112"/>
      <c r="AA3754" s="112"/>
    </row>
    <row r="3755" spans="3:27" x14ac:dyDescent="0.25">
      <c r="C3755" s="112"/>
      <c r="D3755" s="112"/>
      <c r="E3755" s="113"/>
      <c r="F3755" s="113"/>
      <c r="G3755" s="112"/>
      <c r="H3755" s="112"/>
      <c r="Z3755" s="112"/>
      <c r="AA3755" s="112"/>
    </row>
    <row r="3756" spans="3:27" x14ac:dyDescent="0.25">
      <c r="C3756" s="112"/>
      <c r="D3756" s="112"/>
      <c r="E3756" s="113"/>
      <c r="F3756" s="113"/>
      <c r="G3756" s="112"/>
      <c r="H3756" s="112"/>
      <c r="Z3756" s="112"/>
      <c r="AA3756" s="112"/>
    </row>
    <row r="3757" spans="3:27" x14ac:dyDescent="0.25">
      <c r="C3757" s="112"/>
      <c r="D3757" s="112"/>
      <c r="E3757" s="113"/>
      <c r="F3757" s="113"/>
      <c r="G3757" s="112"/>
      <c r="H3757" s="112"/>
      <c r="Z3757" s="112"/>
      <c r="AA3757" s="112"/>
    </row>
    <row r="3758" spans="3:27" x14ac:dyDescent="0.25">
      <c r="C3758" s="112"/>
      <c r="D3758" s="112"/>
      <c r="E3758" s="113"/>
      <c r="F3758" s="113"/>
      <c r="G3758" s="112"/>
      <c r="H3758" s="112"/>
      <c r="Z3758" s="112"/>
      <c r="AA3758" s="112"/>
    </row>
    <row r="3759" spans="3:27" x14ac:dyDescent="0.25">
      <c r="C3759" s="112"/>
      <c r="D3759" s="112"/>
      <c r="E3759" s="113"/>
      <c r="F3759" s="113"/>
      <c r="G3759" s="112"/>
      <c r="H3759" s="112"/>
      <c r="Z3759" s="112"/>
      <c r="AA3759" s="112"/>
    </row>
    <row r="3760" spans="3:27" x14ac:dyDescent="0.25">
      <c r="C3760" s="112"/>
      <c r="D3760" s="112"/>
      <c r="E3760" s="113"/>
      <c r="F3760" s="113"/>
      <c r="G3760" s="112"/>
      <c r="H3760" s="112"/>
      <c r="Z3760" s="112"/>
      <c r="AA3760" s="112"/>
    </row>
    <row r="3761" spans="3:27" x14ac:dyDescent="0.25">
      <c r="C3761" s="112"/>
      <c r="D3761" s="112"/>
      <c r="E3761" s="113"/>
      <c r="F3761" s="113"/>
      <c r="G3761" s="112"/>
      <c r="H3761" s="112"/>
      <c r="Z3761" s="112"/>
      <c r="AA3761" s="112"/>
    </row>
    <row r="3762" spans="3:27" x14ac:dyDescent="0.25">
      <c r="C3762" s="112"/>
      <c r="D3762" s="112"/>
      <c r="E3762" s="113"/>
      <c r="F3762" s="113"/>
      <c r="G3762" s="112"/>
      <c r="H3762" s="112"/>
      <c r="Z3762" s="112"/>
      <c r="AA3762" s="112"/>
    </row>
    <row r="3763" spans="3:27" x14ac:dyDescent="0.25">
      <c r="C3763" s="112"/>
      <c r="D3763" s="112"/>
      <c r="E3763" s="113"/>
      <c r="F3763" s="113"/>
      <c r="G3763" s="112"/>
      <c r="H3763" s="112"/>
      <c r="Z3763" s="112"/>
      <c r="AA3763" s="112"/>
    </row>
    <row r="3764" spans="3:27" x14ac:dyDescent="0.25">
      <c r="C3764" s="112"/>
      <c r="D3764" s="112"/>
      <c r="E3764" s="113"/>
      <c r="F3764" s="113"/>
      <c r="G3764" s="112"/>
      <c r="H3764" s="112"/>
      <c r="Z3764" s="112"/>
      <c r="AA3764" s="112"/>
    </row>
    <row r="3765" spans="3:27" x14ac:dyDescent="0.25">
      <c r="C3765" s="112"/>
      <c r="D3765" s="112"/>
      <c r="E3765" s="113"/>
      <c r="F3765" s="113"/>
      <c r="G3765" s="112"/>
      <c r="H3765" s="112"/>
      <c r="Z3765" s="112"/>
      <c r="AA3765" s="112"/>
    </row>
    <row r="3766" spans="3:27" x14ac:dyDescent="0.25">
      <c r="C3766" s="112"/>
      <c r="D3766" s="112"/>
      <c r="E3766" s="113"/>
      <c r="F3766" s="113"/>
      <c r="G3766" s="112"/>
      <c r="H3766" s="112"/>
      <c r="Z3766" s="112"/>
      <c r="AA3766" s="112"/>
    </row>
    <row r="3767" spans="3:27" x14ac:dyDescent="0.25">
      <c r="C3767" s="112"/>
      <c r="D3767" s="112"/>
      <c r="E3767" s="113"/>
      <c r="F3767" s="113"/>
      <c r="G3767" s="112"/>
      <c r="H3767" s="112"/>
      <c r="Z3767" s="112"/>
      <c r="AA3767" s="112"/>
    </row>
    <row r="3768" spans="3:27" x14ac:dyDescent="0.25">
      <c r="C3768" s="112"/>
      <c r="D3768" s="112"/>
      <c r="E3768" s="113"/>
      <c r="F3768" s="113"/>
      <c r="G3768" s="112"/>
      <c r="H3768" s="112"/>
      <c r="Z3768" s="112"/>
      <c r="AA3768" s="112"/>
    </row>
    <row r="3769" spans="3:27" x14ac:dyDescent="0.25">
      <c r="C3769" s="112"/>
      <c r="D3769" s="112"/>
      <c r="E3769" s="113"/>
      <c r="F3769" s="113"/>
      <c r="G3769" s="112"/>
      <c r="H3769" s="112"/>
      <c r="Z3769" s="112"/>
      <c r="AA3769" s="112"/>
    </row>
    <row r="3770" spans="3:27" x14ac:dyDescent="0.25">
      <c r="C3770" s="112"/>
      <c r="D3770" s="112"/>
      <c r="E3770" s="113"/>
      <c r="F3770" s="113"/>
      <c r="G3770" s="112"/>
      <c r="H3770" s="112"/>
      <c r="Z3770" s="112"/>
      <c r="AA3770" s="112"/>
    </row>
    <row r="3771" spans="3:27" x14ac:dyDescent="0.25">
      <c r="C3771" s="112"/>
      <c r="D3771" s="112"/>
      <c r="E3771" s="113"/>
      <c r="F3771" s="113"/>
      <c r="G3771" s="112"/>
      <c r="H3771" s="112"/>
      <c r="Z3771" s="112"/>
      <c r="AA3771" s="112"/>
    </row>
    <row r="3772" spans="3:27" x14ac:dyDescent="0.25">
      <c r="C3772" s="112"/>
      <c r="D3772" s="112"/>
      <c r="E3772" s="113"/>
      <c r="F3772" s="113"/>
      <c r="G3772" s="112"/>
      <c r="H3772" s="112"/>
      <c r="Z3772" s="112"/>
      <c r="AA3772" s="112"/>
    </row>
    <row r="3773" spans="3:27" x14ac:dyDescent="0.25">
      <c r="C3773" s="112"/>
      <c r="D3773" s="112"/>
      <c r="E3773" s="113"/>
      <c r="F3773" s="113"/>
      <c r="G3773" s="112"/>
      <c r="H3773" s="112"/>
      <c r="Z3773" s="112"/>
      <c r="AA3773" s="112"/>
    </row>
    <row r="3774" spans="3:27" x14ac:dyDescent="0.25">
      <c r="C3774" s="112"/>
      <c r="D3774" s="112"/>
      <c r="E3774" s="113"/>
      <c r="F3774" s="113"/>
      <c r="G3774" s="112"/>
      <c r="H3774" s="112"/>
      <c r="Z3774" s="112"/>
      <c r="AA3774" s="112"/>
    </row>
    <row r="3775" spans="3:27" x14ac:dyDescent="0.25">
      <c r="C3775" s="112"/>
      <c r="D3775" s="112"/>
      <c r="E3775" s="113"/>
      <c r="F3775" s="113"/>
      <c r="G3775" s="112"/>
      <c r="H3775" s="112"/>
      <c r="Z3775" s="112"/>
      <c r="AA3775" s="112"/>
    </row>
    <row r="3776" spans="3:27" x14ac:dyDescent="0.25">
      <c r="C3776" s="112"/>
      <c r="D3776" s="112"/>
      <c r="E3776" s="113"/>
      <c r="F3776" s="113"/>
      <c r="G3776" s="112"/>
      <c r="H3776" s="112"/>
      <c r="Z3776" s="112"/>
      <c r="AA3776" s="112"/>
    </row>
    <row r="3777" spans="3:27" x14ac:dyDescent="0.25">
      <c r="C3777" s="112"/>
      <c r="D3777" s="112"/>
      <c r="E3777" s="113"/>
      <c r="F3777" s="113"/>
      <c r="G3777" s="112"/>
      <c r="H3777" s="112"/>
      <c r="Z3777" s="112"/>
      <c r="AA3777" s="112"/>
    </row>
    <row r="3778" spans="3:27" x14ac:dyDescent="0.25">
      <c r="C3778" s="112"/>
      <c r="D3778" s="112"/>
      <c r="E3778" s="113"/>
      <c r="F3778" s="113"/>
      <c r="G3778" s="112"/>
      <c r="H3778" s="112"/>
      <c r="Z3778" s="112"/>
      <c r="AA3778" s="112"/>
    </row>
    <row r="3779" spans="3:27" x14ac:dyDescent="0.25">
      <c r="C3779" s="112"/>
      <c r="D3779" s="112"/>
      <c r="E3779" s="113"/>
      <c r="F3779" s="113"/>
      <c r="G3779" s="112"/>
      <c r="H3779" s="112"/>
      <c r="Z3779" s="112"/>
      <c r="AA3779" s="112"/>
    </row>
    <row r="3780" spans="3:27" x14ac:dyDescent="0.25">
      <c r="C3780" s="112"/>
      <c r="D3780" s="112"/>
      <c r="E3780" s="113"/>
      <c r="F3780" s="113"/>
      <c r="G3780" s="112"/>
      <c r="H3780" s="112"/>
      <c r="Z3780" s="112"/>
      <c r="AA3780" s="112"/>
    </row>
    <row r="3781" spans="3:27" x14ac:dyDescent="0.25">
      <c r="C3781" s="112"/>
      <c r="D3781" s="112"/>
      <c r="E3781" s="113"/>
      <c r="F3781" s="113"/>
      <c r="G3781" s="112"/>
      <c r="H3781" s="112"/>
      <c r="Z3781" s="112"/>
      <c r="AA3781" s="112"/>
    </row>
    <row r="3782" spans="3:27" x14ac:dyDescent="0.25">
      <c r="C3782" s="112"/>
      <c r="D3782" s="112"/>
      <c r="E3782" s="113"/>
      <c r="F3782" s="113"/>
      <c r="G3782" s="112"/>
      <c r="H3782" s="112"/>
      <c r="Z3782" s="112"/>
      <c r="AA3782" s="112"/>
    </row>
    <row r="3783" spans="3:27" x14ac:dyDescent="0.25">
      <c r="C3783" s="112"/>
      <c r="D3783" s="112"/>
      <c r="E3783" s="113"/>
      <c r="F3783" s="113"/>
      <c r="G3783" s="112"/>
      <c r="H3783" s="112"/>
      <c r="Z3783" s="112"/>
      <c r="AA3783" s="112"/>
    </row>
    <row r="3784" spans="3:27" x14ac:dyDescent="0.25">
      <c r="C3784" s="112"/>
      <c r="D3784" s="112"/>
      <c r="E3784" s="113"/>
      <c r="F3784" s="113"/>
      <c r="G3784" s="112"/>
      <c r="H3784" s="112"/>
      <c r="Z3784" s="112"/>
      <c r="AA3784" s="112"/>
    </row>
    <row r="3785" spans="3:27" x14ac:dyDescent="0.25">
      <c r="C3785" s="112"/>
      <c r="D3785" s="112"/>
      <c r="E3785" s="113"/>
      <c r="F3785" s="113"/>
      <c r="G3785" s="112"/>
      <c r="H3785" s="112"/>
      <c r="Z3785" s="112"/>
      <c r="AA3785" s="112"/>
    </row>
    <row r="3786" spans="3:27" x14ac:dyDescent="0.25">
      <c r="C3786" s="112"/>
      <c r="D3786" s="112"/>
      <c r="E3786" s="113"/>
      <c r="F3786" s="113"/>
      <c r="G3786" s="112"/>
      <c r="H3786" s="112"/>
      <c r="Z3786" s="112"/>
      <c r="AA3786" s="112"/>
    </row>
    <row r="3787" spans="3:27" x14ac:dyDescent="0.25">
      <c r="C3787" s="112"/>
      <c r="D3787" s="112"/>
      <c r="E3787" s="113"/>
      <c r="F3787" s="113"/>
      <c r="G3787" s="112"/>
      <c r="H3787" s="112"/>
      <c r="Z3787" s="112"/>
      <c r="AA3787" s="112"/>
    </row>
    <row r="3788" spans="3:27" x14ac:dyDescent="0.25">
      <c r="C3788" s="112"/>
      <c r="D3788" s="112"/>
      <c r="E3788" s="113"/>
      <c r="F3788" s="113"/>
      <c r="G3788" s="112"/>
      <c r="H3788" s="112"/>
      <c r="Z3788" s="112"/>
      <c r="AA3788" s="112"/>
    </row>
    <row r="3789" spans="3:27" x14ac:dyDescent="0.25">
      <c r="C3789" s="112"/>
      <c r="D3789" s="112"/>
      <c r="E3789" s="113"/>
      <c r="F3789" s="113"/>
      <c r="G3789" s="112"/>
      <c r="H3789" s="112"/>
      <c r="Z3789" s="112"/>
      <c r="AA3789" s="112"/>
    </row>
    <row r="3790" spans="3:27" x14ac:dyDescent="0.25">
      <c r="C3790" s="112"/>
      <c r="D3790" s="112"/>
      <c r="E3790" s="113"/>
      <c r="F3790" s="113"/>
      <c r="G3790" s="112"/>
      <c r="H3790" s="112"/>
      <c r="Z3790" s="112"/>
      <c r="AA3790" s="112"/>
    </row>
    <row r="3791" spans="3:27" x14ac:dyDescent="0.25">
      <c r="C3791" s="112"/>
      <c r="D3791" s="112"/>
      <c r="E3791" s="113"/>
      <c r="F3791" s="113"/>
      <c r="G3791" s="112"/>
      <c r="H3791" s="112"/>
      <c r="Z3791" s="112"/>
      <c r="AA3791" s="112"/>
    </row>
    <row r="3792" spans="3:27" x14ac:dyDescent="0.25">
      <c r="C3792" s="112"/>
      <c r="D3792" s="112"/>
      <c r="E3792" s="113"/>
      <c r="F3792" s="113"/>
      <c r="G3792" s="112"/>
      <c r="H3792" s="112"/>
      <c r="Z3792" s="112"/>
      <c r="AA3792" s="112"/>
    </row>
    <row r="3793" spans="3:27" x14ac:dyDescent="0.25">
      <c r="C3793" s="112"/>
      <c r="D3793" s="112"/>
      <c r="E3793" s="113"/>
      <c r="F3793" s="113"/>
      <c r="G3793" s="112"/>
      <c r="H3793" s="112"/>
      <c r="Z3793" s="112"/>
      <c r="AA3793" s="112"/>
    </row>
    <row r="3794" spans="3:27" x14ac:dyDescent="0.25">
      <c r="C3794" s="112"/>
      <c r="D3794" s="112"/>
      <c r="E3794" s="113"/>
      <c r="F3794" s="113"/>
      <c r="G3794" s="112"/>
      <c r="H3794" s="112"/>
      <c r="Z3794" s="112"/>
      <c r="AA3794" s="112"/>
    </row>
    <row r="3795" spans="3:27" x14ac:dyDescent="0.25">
      <c r="C3795" s="112"/>
      <c r="D3795" s="112"/>
      <c r="E3795" s="113"/>
      <c r="F3795" s="113"/>
      <c r="G3795" s="112"/>
      <c r="H3795" s="112"/>
      <c r="Z3795" s="112"/>
      <c r="AA3795" s="112"/>
    </row>
    <row r="3796" spans="3:27" x14ac:dyDescent="0.25">
      <c r="C3796" s="112"/>
      <c r="D3796" s="112"/>
      <c r="E3796" s="113"/>
      <c r="F3796" s="113"/>
      <c r="G3796" s="112"/>
      <c r="H3796" s="112"/>
      <c r="Z3796" s="112"/>
      <c r="AA3796" s="112"/>
    </row>
    <row r="3797" spans="3:27" x14ac:dyDescent="0.25">
      <c r="C3797" s="112"/>
      <c r="D3797" s="112"/>
      <c r="E3797" s="113"/>
      <c r="F3797" s="113"/>
      <c r="G3797" s="112"/>
      <c r="H3797" s="112"/>
      <c r="Z3797" s="112"/>
      <c r="AA3797" s="112"/>
    </row>
    <row r="3798" spans="3:27" x14ac:dyDescent="0.25">
      <c r="C3798" s="112"/>
      <c r="D3798" s="112"/>
      <c r="E3798" s="113"/>
      <c r="F3798" s="113"/>
      <c r="G3798" s="112"/>
      <c r="H3798" s="112"/>
      <c r="Z3798" s="112"/>
      <c r="AA3798" s="112"/>
    </row>
    <row r="3799" spans="3:27" x14ac:dyDescent="0.25">
      <c r="C3799" s="112"/>
      <c r="D3799" s="112"/>
      <c r="E3799" s="113"/>
      <c r="F3799" s="113"/>
      <c r="G3799" s="112"/>
      <c r="H3799" s="112"/>
      <c r="Z3799" s="112"/>
      <c r="AA3799" s="112"/>
    </row>
    <row r="3800" spans="3:27" x14ac:dyDescent="0.25">
      <c r="C3800" s="112"/>
      <c r="D3800" s="112"/>
      <c r="E3800" s="113"/>
      <c r="F3800" s="113"/>
      <c r="G3800" s="112"/>
      <c r="H3800" s="112"/>
      <c r="Z3800" s="112"/>
      <c r="AA3800" s="112"/>
    </row>
    <row r="3801" spans="3:27" x14ac:dyDescent="0.25">
      <c r="C3801" s="112"/>
      <c r="D3801" s="112"/>
      <c r="E3801" s="113"/>
      <c r="F3801" s="113"/>
      <c r="G3801" s="112"/>
      <c r="H3801" s="112"/>
      <c r="Z3801" s="112"/>
      <c r="AA3801" s="112"/>
    </row>
    <row r="3802" spans="3:27" x14ac:dyDescent="0.25">
      <c r="C3802" s="112"/>
      <c r="D3802" s="112"/>
      <c r="E3802" s="113"/>
      <c r="F3802" s="113"/>
      <c r="G3802" s="112"/>
      <c r="H3802" s="112"/>
      <c r="Z3802" s="112"/>
      <c r="AA3802" s="112"/>
    </row>
    <row r="3803" spans="3:27" x14ac:dyDescent="0.25">
      <c r="C3803" s="112"/>
      <c r="D3803" s="112"/>
      <c r="E3803" s="113"/>
      <c r="F3803" s="113"/>
      <c r="G3803" s="112"/>
      <c r="H3803" s="112"/>
      <c r="Z3803" s="112"/>
      <c r="AA3803" s="112"/>
    </row>
    <row r="3804" spans="3:27" x14ac:dyDescent="0.25">
      <c r="C3804" s="112"/>
      <c r="D3804" s="112"/>
      <c r="E3804" s="113"/>
      <c r="F3804" s="113"/>
      <c r="G3804" s="112"/>
      <c r="H3804" s="112"/>
      <c r="Z3804" s="112"/>
      <c r="AA3804" s="112"/>
    </row>
    <row r="3805" spans="3:27" x14ac:dyDescent="0.25">
      <c r="C3805" s="112"/>
      <c r="D3805" s="112"/>
      <c r="E3805" s="113"/>
      <c r="F3805" s="113"/>
      <c r="G3805" s="112"/>
      <c r="H3805" s="112"/>
      <c r="Z3805" s="112"/>
      <c r="AA3805" s="112"/>
    </row>
    <row r="3806" spans="3:27" x14ac:dyDescent="0.25">
      <c r="C3806" s="112"/>
      <c r="D3806" s="112"/>
      <c r="E3806" s="113"/>
      <c r="F3806" s="113"/>
      <c r="G3806" s="112"/>
      <c r="H3806" s="112"/>
      <c r="Z3806" s="112"/>
      <c r="AA3806" s="112"/>
    </row>
    <row r="3807" spans="3:27" x14ac:dyDescent="0.25">
      <c r="C3807" s="112"/>
      <c r="D3807" s="112"/>
      <c r="E3807" s="113"/>
      <c r="F3807" s="113"/>
      <c r="G3807" s="112"/>
      <c r="H3807" s="112"/>
      <c r="Z3807" s="112"/>
      <c r="AA3807" s="112"/>
    </row>
    <row r="3808" spans="3:27" x14ac:dyDescent="0.25">
      <c r="C3808" s="112"/>
      <c r="D3808" s="112"/>
      <c r="E3808" s="113"/>
      <c r="F3808" s="113"/>
      <c r="G3808" s="112"/>
      <c r="H3808" s="112"/>
      <c r="Z3808" s="112"/>
      <c r="AA3808" s="112"/>
    </row>
    <row r="3809" spans="3:27" x14ac:dyDescent="0.25">
      <c r="C3809" s="112"/>
      <c r="D3809" s="112"/>
      <c r="E3809" s="113"/>
      <c r="F3809" s="113"/>
      <c r="G3809" s="112"/>
      <c r="H3809" s="112"/>
      <c r="Z3809" s="112"/>
      <c r="AA3809" s="112"/>
    </row>
    <row r="3810" spans="3:27" x14ac:dyDescent="0.25">
      <c r="C3810" s="112"/>
      <c r="D3810" s="112"/>
      <c r="E3810" s="113"/>
      <c r="F3810" s="113"/>
      <c r="G3810" s="112"/>
      <c r="H3810" s="112"/>
      <c r="Z3810" s="112"/>
      <c r="AA3810" s="112"/>
    </row>
    <row r="3811" spans="3:27" x14ac:dyDescent="0.25">
      <c r="C3811" s="112"/>
      <c r="D3811" s="112"/>
      <c r="E3811" s="113"/>
      <c r="F3811" s="113"/>
      <c r="G3811" s="112"/>
      <c r="H3811" s="112"/>
      <c r="Z3811" s="112"/>
      <c r="AA3811" s="112"/>
    </row>
    <row r="3812" spans="3:27" x14ac:dyDescent="0.25">
      <c r="C3812" s="112"/>
      <c r="D3812" s="112"/>
      <c r="E3812" s="113"/>
      <c r="F3812" s="113"/>
      <c r="G3812" s="112"/>
      <c r="H3812" s="112"/>
      <c r="Z3812" s="112"/>
      <c r="AA3812" s="112"/>
    </row>
    <row r="3813" spans="3:27" x14ac:dyDescent="0.25">
      <c r="C3813" s="112"/>
      <c r="D3813" s="112"/>
      <c r="E3813" s="113"/>
      <c r="F3813" s="113"/>
      <c r="G3813" s="112"/>
      <c r="H3813" s="112"/>
      <c r="Z3813" s="112"/>
      <c r="AA3813" s="112"/>
    </row>
    <row r="3814" spans="3:27" x14ac:dyDescent="0.25">
      <c r="C3814" s="112"/>
      <c r="D3814" s="112"/>
      <c r="E3814" s="113"/>
      <c r="F3814" s="113"/>
      <c r="G3814" s="112"/>
      <c r="H3814" s="112"/>
      <c r="Z3814" s="112"/>
      <c r="AA3814" s="112"/>
    </row>
    <row r="3815" spans="3:27" x14ac:dyDescent="0.25">
      <c r="C3815" s="112"/>
      <c r="D3815" s="112"/>
      <c r="E3815" s="113"/>
      <c r="F3815" s="113"/>
      <c r="G3815" s="112"/>
      <c r="H3815" s="112"/>
      <c r="Z3815" s="112"/>
      <c r="AA3815" s="112"/>
    </row>
    <row r="3816" spans="3:27" x14ac:dyDescent="0.25">
      <c r="C3816" s="112"/>
      <c r="D3816" s="112"/>
      <c r="E3816" s="113"/>
      <c r="F3816" s="113"/>
      <c r="G3816" s="112"/>
      <c r="H3816" s="112"/>
      <c r="Z3816" s="112"/>
      <c r="AA3816" s="112"/>
    </row>
    <row r="3817" spans="3:27" x14ac:dyDescent="0.25">
      <c r="C3817" s="112"/>
      <c r="D3817" s="112"/>
      <c r="E3817" s="113"/>
      <c r="F3817" s="113"/>
      <c r="G3817" s="112"/>
      <c r="H3817" s="112"/>
      <c r="Z3817" s="112"/>
      <c r="AA3817" s="112"/>
    </row>
    <row r="3818" spans="3:27" x14ac:dyDescent="0.25">
      <c r="C3818" s="112"/>
      <c r="D3818" s="112"/>
      <c r="E3818" s="113"/>
      <c r="F3818" s="113"/>
      <c r="G3818" s="112"/>
      <c r="H3818" s="112"/>
      <c r="Z3818" s="112"/>
      <c r="AA3818" s="112"/>
    </row>
    <row r="3819" spans="3:27" x14ac:dyDescent="0.25">
      <c r="C3819" s="112"/>
      <c r="D3819" s="112"/>
      <c r="E3819" s="113"/>
      <c r="F3819" s="113"/>
      <c r="G3819" s="112"/>
      <c r="H3819" s="112"/>
      <c r="Z3819" s="112"/>
      <c r="AA3819" s="112"/>
    </row>
    <row r="3820" spans="3:27" x14ac:dyDescent="0.25">
      <c r="C3820" s="112"/>
      <c r="D3820" s="112"/>
      <c r="E3820" s="113"/>
      <c r="F3820" s="113"/>
      <c r="G3820" s="112"/>
      <c r="H3820" s="112"/>
      <c r="Z3820" s="112"/>
      <c r="AA3820" s="112"/>
    </row>
    <row r="3821" spans="3:27" x14ac:dyDescent="0.25">
      <c r="C3821" s="112"/>
      <c r="D3821" s="112"/>
      <c r="E3821" s="113"/>
      <c r="F3821" s="113"/>
      <c r="G3821" s="112"/>
      <c r="H3821" s="112"/>
      <c r="Z3821" s="112"/>
      <c r="AA3821" s="112"/>
    </row>
    <row r="3822" spans="3:27" x14ac:dyDescent="0.25">
      <c r="C3822" s="112"/>
      <c r="D3822" s="112"/>
      <c r="E3822" s="113"/>
      <c r="F3822" s="113"/>
      <c r="G3822" s="112"/>
      <c r="H3822" s="112"/>
      <c r="Z3822" s="112"/>
      <c r="AA3822" s="112"/>
    </row>
    <row r="3823" spans="3:27" x14ac:dyDescent="0.25">
      <c r="C3823" s="112"/>
      <c r="D3823" s="112"/>
      <c r="E3823" s="113"/>
      <c r="F3823" s="113"/>
      <c r="G3823" s="112"/>
      <c r="H3823" s="112"/>
      <c r="Z3823" s="112"/>
      <c r="AA3823" s="112"/>
    </row>
    <row r="3824" spans="3:27" x14ac:dyDescent="0.25">
      <c r="C3824" s="112"/>
      <c r="D3824" s="112"/>
      <c r="E3824" s="113"/>
      <c r="F3824" s="113"/>
      <c r="G3824" s="112"/>
      <c r="H3824" s="112"/>
      <c r="Z3824" s="112"/>
      <c r="AA3824" s="112"/>
    </row>
    <row r="3825" spans="3:27" x14ac:dyDescent="0.25">
      <c r="C3825" s="112"/>
      <c r="D3825" s="112"/>
      <c r="E3825" s="113"/>
      <c r="F3825" s="113"/>
      <c r="G3825" s="112"/>
      <c r="H3825" s="112"/>
      <c r="Z3825" s="112"/>
      <c r="AA3825" s="112"/>
    </row>
    <row r="3826" spans="3:27" x14ac:dyDescent="0.25">
      <c r="C3826" s="112"/>
      <c r="D3826" s="112"/>
      <c r="E3826" s="113"/>
      <c r="F3826" s="113"/>
      <c r="G3826" s="112"/>
      <c r="H3826" s="112"/>
      <c r="Z3826" s="112"/>
      <c r="AA3826" s="112"/>
    </row>
    <row r="3827" spans="3:27" x14ac:dyDescent="0.25">
      <c r="C3827" s="112"/>
      <c r="D3827" s="112"/>
      <c r="E3827" s="113"/>
      <c r="F3827" s="113"/>
      <c r="G3827" s="112"/>
      <c r="H3827" s="112"/>
      <c r="Z3827" s="112"/>
      <c r="AA3827" s="112"/>
    </row>
    <row r="3828" spans="3:27" x14ac:dyDescent="0.25">
      <c r="C3828" s="112"/>
      <c r="D3828" s="112"/>
      <c r="E3828" s="113"/>
      <c r="F3828" s="113"/>
      <c r="G3828" s="112"/>
      <c r="H3828" s="112"/>
      <c r="Z3828" s="112"/>
      <c r="AA3828" s="112"/>
    </row>
    <row r="3829" spans="3:27" x14ac:dyDescent="0.25">
      <c r="C3829" s="112"/>
      <c r="D3829" s="112"/>
      <c r="E3829" s="113"/>
      <c r="F3829" s="113"/>
      <c r="G3829" s="112"/>
      <c r="H3829" s="112"/>
      <c r="Z3829" s="112"/>
      <c r="AA3829" s="112"/>
    </row>
    <row r="3830" spans="3:27" x14ac:dyDescent="0.25">
      <c r="C3830" s="112"/>
      <c r="D3830" s="112"/>
      <c r="E3830" s="113"/>
      <c r="F3830" s="113"/>
      <c r="G3830" s="112"/>
      <c r="H3830" s="112"/>
      <c r="Z3830" s="112"/>
      <c r="AA3830" s="112"/>
    </row>
    <row r="3831" spans="3:27" x14ac:dyDescent="0.25">
      <c r="C3831" s="112"/>
      <c r="D3831" s="112"/>
      <c r="E3831" s="113"/>
      <c r="F3831" s="113"/>
      <c r="G3831" s="112"/>
      <c r="H3831" s="112"/>
      <c r="Z3831" s="112"/>
      <c r="AA3831" s="112"/>
    </row>
    <row r="3832" spans="3:27" x14ac:dyDescent="0.25">
      <c r="C3832" s="112"/>
      <c r="D3832" s="112"/>
      <c r="E3832" s="113"/>
      <c r="F3832" s="113"/>
      <c r="G3832" s="112"/>
      <c r="H3832" s="112"/>
      <c r="Z3832" s="112"/>
      <c r="AA3832" s="112"/>
    </row>
    <row r="3833" spans="3:27" x14ac:dyDescent="0.25">
      <c r="C3833" s="112"/>
      <c r="D3833" s="112"/>
      <c r="E3833" s="113"/>
      <c r="F3833" s="113"/>
      <c r="G3833" s="112"/>
      <c r="H3833" s="112"/>
      <c r="Z3833" s="112"/>
      <c r="AA3833" s="112"/>
    </row>
    <row r="3834" spans="3:27" x14ac:dyDescent="0.25">
      <c r="C3834" s="112"/>
      <c r="D3834" s="112"/>
      <c r="E3834" s="113"/>
      <c r="F3834" s="113"/>
      <c r="G3834" s="112"/>
      <c r="H3834" s="112"/>
      <c r="Z3834" s="112"/>
      <c r="AA3834" s="112"/>
    </row>
    <row r="3835" spans="3:27" x14ac:dyDescent="0.25">
      <c r="C3835" s="112"/>
      <c r="D3835" s="112"/>
      <c r="E3835" s="113"/>
      <c r="F3835" s="113"/>
      <c r="G3835" s="112"/>
      <c r="H3835" s="112"/>
      <c r="Z3835" s="112"/>
      <c r="AA3835" s="112"/>
    </row>
    <row r="3836" spans="3:27" x14ac:dyDescent="0.25">
      <c r="C3836" s="112"/>
      <c r="D3836" s="112"/>
      <c r="E3836" s="113"/>
      <c r="F3836" s="113"/>
      <c r="G3836" s="112"/>
      <c r="H3836" s="112"/>
      <c r="Z3836" s="112"/>
      <c r="AA3836" s="112"/>
    </row>
    <row r="3837" spans="3:27" x14ac:dyDescent="0.25">
      <c r="C3837" s="112"/>
      <c r="D3837" s="112"/>
      <c r="E3837" s="113"/>
      <c r="F3837" s="113"/>
      <c r="G3837" s="112"/>
      <c r="H3837" s="112"/>
      <c r="Z3837" s="112"/>
      <c r="AA3837" s="112"/>
    </row>
    <row r="3838" spans="3:27" x14ac:dyDescent="0.25">
      <c r="C3838" s="112"/>
      <c r="D3838" s="112"/>
      <c r="E3838" s="113"/>
      <c r="F3838" s="113"/>
      <c r="G3838" s="112"/>
      <c r="H3838" s="112"/>
      <c r="Z3838" s="112"/>
      <c r="AA3838" s="112"/>
    </row>
    <row r="3839" spans="3:27" x14ac:dyDescent="0.25">
      <c r="C3839" s="112"/>
      <c r="D3839" s="112"/>
      <c r="E3839" s="113"/>
      <c r="F3839" s="113"/>
      <c r="G3839" s="112"/>
      <c r="H3839" s="112"/>
      <c r="Z3839" s="112"/>
      <c r="AA3839" s="112"/>
    </row>
    <row r="3840" spans="3:27" x14ac:dyDescent="0.25">
      <c r="C3840" s="112"/>
      <c r="D3840" s="112"/>
      <c r="E3840" s="113"/>
      <c r="F3840" s="113"/>
      <c r="G3840" s="112"/>
      <c r="H3840" s="112"/>
      <c r="Z3840" s="112"/>
      <c r="AA3840" s="112"/>
    </row>
    <row r="3841" spans="3:27" x14ac:dyDescent="0.25">
      <c r="C3841" s="112"/>
      <c r="D3841" s="112"/>
      <c r="E3841" s="113"/>
      <c r="F3841" s="113"/>
      <c r="G3841" s="112"/>
      <c r="H3841" s="112"/>
      <c r="Z3841" s="112"/>
      <c r="AA3841" s="112"/>
    </row>
    <row r="3842" spans="3:27" x14ac:dyDescent="0.25">
      <c r="C3842" s="112"/>
      <c r="D3842" s="112"/>
      <c r="E3842" s="113"/>
      <c r="F3842" s="113"/>
      <c r="G3842" s="112"/>
      <c r="H3842" s="112"/>
      <c r="Z3842" s="112"/>
      <c r="AA3842" s="112"/>
    </row>
    <row r="3843" spans="3:27" x14ac:dyDescent="0.25">
      <c r="C3843" s="112"/>
      <c r="D3843" s="112"/>
      <c r="E3843" s="113"/>
      <c r="F3843" s="113"/>
      <c r="G3843" s="112"/>
      <c r="H3843" s="112"/>
      <c r="Z3843" s="112"/>
      <c r="AA3843" s="112"/>
    </row>
    <row r="3844" spans="3:27" x14ac:dyDescent="0.25">
      <c r="C3844" s="112"/>
      <c r="D3844" s="112"/>
      <c r="E3844" s="113"/>
      <c r="F3844" s="113"/>
      <c r="G3844" s="112"/>
      <c r="H3844" s="112"/>
      <c r="Z3844" s="112"/>
      <c r="AA3844" s="112"/>
    </row>
    <row r="3845" spans="3:27" x14ac:dyDescent="0.25">
      <c r="C3845" s="112"/>
      <c r="D3845" s="112"/>
      <c r="E3845" s="113"/>
      <c r="F3845" s="113"/>
      <c r="G3845" s="112"/>
      <c r="H3845" s="112"/>
      <c r="Z3845" s="112"/>
      <c r="AA3845" s="112"/>
    </row>
    <row r="3846" spans="3:27" x14ac:dyDescent="0.25">
      <c r="C3846" s="112"/>
      <c r="D3846" s="112"/>
      <c r="E3846" s="113"/>
      <c r="F3846" s="113"/>
      <c r="G3846" s="112"/>
      <c r="H3846" s="112"/>
      <c r="Z3846" s="112"/>
      <c r="AA3846" s="112"/>
    </row>
    <row r="3847" spans="3:27" x14ac:dyDescent="0.25">
      <c r="C3847" s="112"/>
      <c r="D3847" s="112"/>
      <c r="E3847" s="113"/>
      <c r="F3847" s="113"/>
      <c r="G3847" s="112"/>
      <c r="H3847" s="112"/>
      <c r="Z3847" s="112"/>
      <c r="AA3847" s="112"/>
    </row>
    <row r="3848" spans="3:27" x14ac:dyDescent="0.25">
      <c r="C3848" s="112"/>
      <c r="D3848" s="112"/>
      <c r="E3848" s="113"/>
      <c r="F3848" s="113"/>
      <c r="G3848" s="112"/>
      <c r="H3848" s="112"/>
      <c r="Z3848" s="112"/>
      <c r="AA3848" s="112"/>
    </row>
    <row r="3849" spans="3:27" x14ac:dyDescent="0.25">
      <c r="C3849" s="112"/>
      <c r="D3849" s="112"/>
      <c r="E3849" s="113"/>
      <c r="F3849" s="113"/>
      <c r="G3849" s="112"/>
      <c r="H3849" s="112"/>
      <c r="Z3849" s="112"/>
      <c r="AA3849" s="112"/>
    </row>
    <row r="3850" spans="3:27" x14ac:dyDescent="0.25">
      <c r="C3850" s="112"/>
      <c r="D3850" s="112"/>
      <c r="E3850" s="113"/>
      <c r="F3850" s="113"/>
      <c r="G3850" s="112"/>
      <c r="H3850" s="112"/>
      <c r="Z3850" s="112"/>
      <c r="AA3850" s="112"/>
    </row>
    <row r="3851" spans="3:27" x14ac:dyDescent="0.25">
      <c r="C3851" s="112"/>
      <c r="D3851" s="112"/>
      <c r="E3851" s="113"/>
      <c r="F3851" s="113"/>
      <c r="G3851" s="112"/>
      <c r="H3851" s="112"/>
      <c r="Z3851" s="112"/>
      <c r="AA3851" s="112"/>
    </row>
    <row r="3852" spans="3:27" x14ac:dyDescent="0.25">
      <c r="C3852" s="112"/>
      <c r="D3852" s="112"/>
      <c r="E3852" s="113"/>
      <c r="F3852" s="113"/>
      <c r="G3852" s="112"/>
      <c r="H3852" s="112"/>
      <c r="Z3852" s="112"/>
      <c r="AA3852" s="112"/>
    </row>
    <row r="3853" spans="3:27" x14ac:dyDescent="0.25">
      <c r="C3853" s="112"/>
      <c r="D3853" s="112"/>
      <c r="E3853" s="113"/>
      <c r="F3853" s="113"/>
      <c r="G3853" s="112"/>
      <c r="H3853" s="112"/>
      <c r="Z3853" s="112"/>
      <c r="AA3853" s="112"/>
    </row>
    <row r="3854" spans="3:27" x14ac:dyDescent="0.25">
      <c r="C3854" s="112"/>
      <c r="D3854" s="112"/>
      <c r="E3854" s="113"/>
      <c r="F3854" s="113"/>
      <c r="G3854" s="112"/>
      <c r="H3854" s="112"/>
      <c r="Z3854" s="112"/>
      <c r="AA3854" s="112"/>
    </row>
    <row r="3855" spans="3:27" x14ac:dyDescent="0.25">
      <c r="C3855" s="112"/>
      <c r="D3855" s="112"/>
      <c r="E3855" s="113"/>
      <c r="F3855" s="113"/>
      <c r="G3855" s="112"/>
      <c r="H3855" s="112"/>
      <c r="Z3855" s="112"/>
      <c r="AA3855" s="112"/>
    </row>
    <row r="3856" spans="3:27" x14ac:dyDescent="0.25">
      <c r="C3856" s="112"/>
      <c r="D3856" s="112"/>
      <c r="E3856" s="113"/>
      <c r="F3856" s="113"/>
      <c r="G3856" s="112"/>
      <c r="H3856" s="112"/>
      <c r="Z3856" s="112"/>
      <c r="AA3856" s="112"/>
    </row>
    <row r="3857" spans="3:27" x14ac:dyDescent="0.25">
      <c r="C3857" s="112"/>
      <c r="D3857" s="112"/>
      <c r="E3857" s="113"/>
      <c r="F3857" s="113"/>
      <c r="G3857" s="112"/>
      <c r="H3857" s="112"/>
      <c r="Z3857" s="112"/>
      <c r="AA3857" s="112"/>
    </row>
    <row r="3858" spans="3:27" x14ac:dyDescent="0.25">
      <c r="C3858" s="112"/>
      <c r="D3858" s="112"/>
      <c r="E3858" s="113"/>
      <c r="F3858" s="113"/>
      <c r="G3858" s="112"/>
      <c r="H3858" s="112"/>
      <c r="Z3858" s="112"/>
      <c r="AA3858" s="112"/>
    </row>
    <row r="3859" spans="3:27" x14ac:dyDescent="0.25">
      <c r="C3859" s="112"/>
      <c r="D3859" s="112"/>
      <c r="E3859" s="113"/>
      <c r="F3859" s="113"/>
      <c r="G3859" s="112"/>
      <c r="H3859" s="112"/>
      <c r="Z3859" s="112"/>
      <c r="AA3859" s="112"/>
    </row>
    <row r="3860" spans="3:27" x14ac:dyDescent="0.25">
      <c r="C3860" s="112"/>
      <c r="D3860" s="112"/>
      <c r="E3860" s="113"/>
      <c r="F3860" s="113"/>
      <c r="G3860" s="112"/>
      <c r="H3860" s="112"/>
      <c r="Z3860" s="112"/>
      <c r="AA3860" s="112"/>
    </row>
    <row r="3861" spans="3:27" x14ac:dyDescent="0.25">
      <c r="C3861" s="112"/>
      <c r="D3861" s="112"/>
      <c r="E3861" s="113"/>
      <c r="F3861" s="113"/>
      <c r="G3861" s="112"/>
      <c r="H3861" s="112"/>
      <c r="Z3861" s="112"/>
      <c r="AA3861" s="112"/>
    </row>
    <row r="3862" spans="3:27" x14ac:dyDescent="0.25">
      <c r="C3862" s="112"/>
      <c r="D3862" s="112"/>
      <c r="E3862" s="113"/>
      <c r="F3862" s="113"/>
      <c r="G3862" s="112"/>
      <c r="H3862" s="112"/>
      <c r="Z3862" s="112"/>
      <c r="AA3862" s="112"/>
    </row>
    <row r="3863" spans="3:27" x14ac:dyDescent="0.25">
      <c r="C3863" s="112"/>
      <c r="D3863" s="112"/>
      <c r="E3863" s="113"/>
      <c r="F3863" s="113"/>
      <c r="G3863" s="112"/>
      <c r="H3863" s="112"/>
      <c r="Z3863" s="112"/>
      <c r="AA3863" s="112"/>
    </row>
    <row r="3864" spans="3:27" x14ac:dyDescent="0.25">
      <c r="C3864" s="112"/>
      <c r="D3864" s="112"/>
      <c r="E3864" s="113"/>
      <c r="F3864" s="113"/>
      <c r="G3864" s="112"/>
      <c r="H3864" s="112"/>
      <c r="Z3864" s="112"/>
      <c r="AA3864" s="112"/>
    </row>
    <row r="3865" spans="3:27" x14ac:dyDescent="0.25">
      <c r="C3865" s="112"/>
      <c r="D3865" s="112"/>
      <c r="E3865" s="113"/>
      <c r="F3865" s="113"/>
      <c r="G3865" s="112"/>
      <c r="H3865" s="112"/>
      <c r="Z3865" s="112"/>
      <c r="AA3865" s="112"/>
    </row>
    <row r="3866" spans="3:27" x14ac:dyDescent="0.25">
      <c r="C3866" s="112"/>
      <c r="D3866" s="112"/>
      <c r="E3866" s="113"/>
      <c r="F3866" s="113"/>
      <c r="G3866" s="112"/>
      <c r="H3866" s="112"/>
      <c r="Z3866" s="112"/>
      <c r="AA3866" s="112"/>
    </row>
    <row r="3867" spans="3:27" x14ac:dyDescent="0.25">
      <c r="C3867" s="112"/>
      <c r="D3867" s="112"/>
      <c r="E3867" s="113"/>
      <c r="F3867" s="113"/>
      <c r="G3867" s="112"/>
      <c r="H3867" s="112"/>
      <c r="Z3867" s="112"/>
      <c r="AA3867" s="112"/>
    </row>
    <row r="3868" spans="3:27" x14ac:dyDescent="0.25">
      <c r="C3868" s="112"/>
      <c r="D3868" s="112"/>
      <c r="E3868" s="113"/>
      <c r="F3868" s="113"/>
      <c r="G3868" s="112"/>
      <c r="H3868" s="112"/>
      <c r="Z3868" s="112"/>
      <c r="AA3868" s="112"/>
    </row>
    <row r="3869" spans="3:27" x14ac:dyDescent="0.25">
      <c r="C3869" s="112"/>
      <c r="D3869" s="112"/>
      <c r="E3869" s="113"/>
      <c r="F3869" s="113"/>
      <c r="G3869" s="112"/>
      <c r="H3869" s="112"/>
      <c r="Z3869" s="112"/>
      <c r="AA3869" s="112"/>
    </row>
    <row r="3870" spans="3:27" x14ac:dyDescent="0.25">
      <c r="C3870" s="112"/>
      <c r="D3870" s="112"/>
      <c r="E3870" s="113"/>
      <c r="F3870" s="113"/>
      <c r="G3870" s="112"/>
      <c r="H3870" s="112"/>
      <c r="Z3870" s="112"/>
      <c r="AA3870" s="112"/>
    </row>
    <row r="3871" spans="3:27" x14ac:dyDescent="0.25">
      <c r="C3871" s="112"/>
      <c r="D3871" s="112"/>
      <c r="E3871" s="113"/>
      <c r="F3871" s="113"/>
      <c r="G3871" s="112"/>
      <c r="H3871" s="112"/>
      <c r="Z3871" s="112"/>
      <c r="AA3871" s="112"/>
    </row>
    <row r="3872" spans="3:27" x14ac:dyDescent="0.25">
      <c r="C3872" s="112"/>
      <c r="D3872" s="112"/>
      <c r="E3872" s="113"/>
      <c r="F3872" s="113"/>
      <c r="G3872" s="112"/>
      <c r="H3872" s="112"/>
      <c r="Z3872" s="112"/>
      <c r="AA3872" s="112"/>
    </row>
    <row r="3873" spans="3:27" x14ac:dyDescent="0.25">
      <c r="C3873" s="112"/>
      <c r="D3873" s="112"/>
      <c r="E3873" s="113"/>
      <c r="F3873" s="113"/>
      <c r="G3873" s="112"/>
      <c r="H3873" s="112"/>
      <c r="Z3873" s="112"/>
      <c r="AA3873" s="112"/>
    </row>
    <row r="3874" spans="3:27" x14ac:dyDescent="0.25">
      <c r="C3874" s="112"/>
      <c r="D3874" s="112"/>
      <c r="E3874" s="113"/>
      <c r="F3874" s="113"/>
      <c r="G3874" s="112"/>
      <c r="H3874" s="112"/>
      <c r="Z3874" s="112"/>
      <c r="AA3874" s="112"/>
    </row>
    <row r="3875" spans="3:27" x14ac:dyDescent="0.25">
      <c r="C3875" s="112"/>
      <c r="D3875" s="112"/>
      <c r="E3875" s="113"/>
      <c r="F3875" s="113"/>
      <c r="G3875" s="112"/>
      <c r="H3875" s="112"/>
      <c r="Z3875" s="112"/>
      <c r="AA3875" s="112"/>
    </row>
    <row r="3876" spans="3:27" x14ac:dyDescent="0.25">
      <c r="C3876" s="112"/>
      <c r="D3876" s="112"/>
      <c r="E3876" s="113"/>
      <c r="F3876" s="113"/>
      <c r="G3876" s="112"/>
      <c r="H3876" s="112"/>
      <c r="Z3876" s="112"/>
      <c r="AA3876" s="112"/>
    </row>
    <row r="3877" spans="3:27" x14ac:dyDescent="0.25">
      <c r="C3877" s="112"/>
      <c r="D3877" s="112"/>
      <c r="E3877" s="113"/>
      <c r="F3877" s="113"/>
      <c r="G3877" s="112"/>
      <c r="H3877" s="112"/>
      <c r="Z3877" s="112"/>
      <c r="AA3877" s="112"/>
    </row>
    <row r="3878" spans="3:27" x14ac:dyDescent="0.25">
      <c r="C3878" s="112"/>
      <c r="D3878" s="112"/>
      <c r="E3878" s="113"/>
      <c r="F3878" s="113"/>
      <c r="G3878" s="112"/>
      <c r="H3878" s="112"/>
      <c r="Z3878" s="112"/>
      <c r="AA3878" s="112"/>
    </row>
    <row r="3879" spans="3:27" x14ac:dyDescent="0.25">
      <c r="C3879" s="112"/>
      <c r="D3879" s="112"/>
      <c r="E3879" s="113"/>
      <c r="F3879" s="113"/>
      <c r="G3879" s="112"/>
      <c r="H3879" s="112"/>
      <c r="Z3879" s="112"/>
      <c r="AA3879" s="112"/>
    </row>
    <row r="3880" spans="3:27" x14ac:dyDescent="0.25">
      <c r="C3880" s="112"/>
      <c r="D3880" s="112"/>
      <c r="E3880" s="113"/>
      <c r="F3880" s="113"/>
      <c r="G3880" s="112"/>
      <c r="H3880" s="112"/>
      <c r="Z3880" s="112"/>
      <c r="AA3880" s="112"/>
    </row>
    <row r="3881" spans="3:27" x14ac:dyDescent="0.25">
      <c r="C3881" s="112"/>
      <c r="D3881" s="112"/>
      <c r="E3881" s="113"/>
      <c r="F3881" s="113"/>
      <c r="G3881" s="112"/>
      <c r="H3881" s="112"/>
      <c r="Z3881" s="112"/>
      <c r="AA3881" s="112"/>
    </row>
    <row r="3882" spans="3:27" x14ac:dyDescent="0.25">
      <c r="C3882" s="112"/>
      <c r="D3882" s="112"/>
      <c r="E3882" s="113"/>
      <c r="F3882" s="113"/>
      <c r="G3882" s="112"/>
      <c r="H3882" s="112"/>
      <c r="Z3882" s="112"/>
      <c r="AA3882" s="112"/>
    </row>
    <row r="3883" spans="3:27" x14ac:dyDescent="0.25">
      <c r="C3883" s="112"/>
      <c r="D3883" s="112"/>
      <c r="E3883" s="113"/>
      <c r="F3883" s="113"/>
      <c r="G3883" s="112"/>
      <c r="H3883" s="112"/>
      <c r="Z3883" s="112"/>
      <c r="AA3883" s="112"/>
    </row>
    <row r="3884" spans="3:27" x14ac:dyDescent="0.25">
      <c r="C3884" s="112"/>
      <c r="D3884" s="112"/>
      <c r="E3884" s="113"/>
      <c r="F3884" s="113"/>
      <c r="G3884" s="112"/>
      <c r="H3884" s="112"/>
      <c r="Z3884" s="112"/>
      <c r="AA3884" s="112"/>
    </row>
    <row r="3885" spans="3:27" x14ac:dyDescent="0.25">
      <c r="C3885" s="112"/>
      <c r="D3885" s="112"/>
      <c r="E3885" s="113"/>
      <c r="F3885" s="113"/>
      <c r="G3885" s="112"/>
      <c r="H3885" s="112"/>
      <c r="Z3885" s="112"/>
      <c r="AA3885" s="112"/>
    </row>
    <row r="3886" spans="3:27" x14ac:dyDescent="0.25">
      <c r="C3886" s="112"/>
      <c r="D3886" s="112"/>
      <c r="E3886" s="113"/>
      <c r="F3886" s="113"/>
      <c r="G3886" s="112"/>
      <c r="H3886" s="112"/>
      <c r="Z3886" s="112"/>
      <c r="AA3886" s="112"/>
    </row>
    <row r="3887" spans="3:27" x14ac:dyDescent="0.25">
      <c r="C3887" s="112"/>
      <c r="D3887" s="112"/>
      <c r="E3887" s="113"/>
      <c r="F3887" s="113"/>
      <c r="G3887" s="112"/>
      <c r="H3887" s="112"/>
      <c r="Z3887" s="112"/>
      <c r="AA3887" s="112"/>
    </row>
    <row r="3888" spans="3:27" x14ac:dyDescent="0.25">
      <c r="C3888" s="112"/>
      <c r="D3888" s="112"/>
      <c r="E3888" s="113"/>
      <c r="F3888" s="113"/>
      <c r="G3888" s="112"/>
      <c r="H3888" s="112"/>
      <c r="Z3888" s="112"/>
      <c r="AA3888" s="112"/>
    </row>
    <row r="3889" spans="3:27" x14ac:dyDescent="0.25">
      <c r="C3889" s="112"/>
      <c r="D3889" s="112"/>
      <c r="E3889" s="113"/>
      <c r="F3889" s="113"/>
      <c r="G3889" s="112"/>
      <c r="H3889" s="112"/>
      <c r="Z3889" s="112"/>
      <c r="AA3889" s="112"/>
    </row>
    <row r="3890" spans="3:27" x14ac:dyDescent="0.25">
      <c r="C3890" s="112"/>
      <c r="D3890" s="112"/>
      <c r="E3890" s="113"/>
      <c r="F3890" s="113"/>
      <c r="G3890" s="112"/>
      <c r="H3890" s="112"/>
      <c r="Z3890" s="112"/>
      <c r="AA3890" s="112"/>
    </row>
    <row r="3891" spans="3:27" x14ac:dyDescent="0.25">
      <c r="C3891" s="112"/>
      <c r="D3891" s="112"/>
      <c r="E3891" s="113"/>
      <c r="F3891" s="113"/>
      <c r="G3891" s="112"/>
      <c r="H3891" s="112"/>
      <c r="Z3891" s="112"/>
      <c r="AA3891" s="112"/>
    </row>
    <row r="3892" spans="3:27" x14ac:dyDescent="0.25">
      <c r="C3892" s="112"/>
      <c r="D3892" s="112"/>
      <c r="E3892" s="113"/>
      <c r="F3892" s="113"/>
      <c r="G3892" s="112"/>
      <c r="H3892" s="112"/>
      <c r="Z3892" s="112"/>
      <c r="AA3892" s="112"/>
    </row>
    <row r="3893" spans="3:27" x14ac:dyDescent="0.25">
      <c r="C3893" s="112"/>
      <c r="D3893" s="112"/>
      <c r="E3893" s="113"/>
      <c r="F3893" s="113"/>
      <c r="G3893" s="112"/>
      <c r="H3893" s="112"/>
      <c r="Z3893" s="112"/>
      <c r="AA3893" s="112"/>
    </row>
    <row r="3894" spans="3:27" x14ac:dyDescent="0.25">
      <c r="C3894" s="112"/>
      <c r="D3894" s="112"/>
      <c r="E3894" s="113"/>
      <c r="F3894" s="113"/>
      <c r="G3894" s="112"/>
      <c r="H3894" s="112"/>
      <c r="Z3894" s="112"/>
      <c r="AA3894" s="112"/>
    </row>
    <row r="3895" spans="3:27" x14ac:dyDescent="0.25">
      <c r="C3895" s="112"/>
      <c r="D3895" s="112"/>
      <c r="E3895" s="113"/>
      <c r="F3895" s="113"/>
      <c r="G3895" s="112"/>
      <c r="H3895" s="112"/>
      <c r="Z3895" s="112"/>
      <c r="AA3895" s="112"/>
    </row>
    <row r="3896" spans="3:27" x14ac:dyDescent="0.25">
      <c r="C3896" s="112"/>
      <c r="D3896" s="112"/>
      <c r="E3896" s="113"/>
      <c r="F3896" s="113"/>
      <c r="G3896" s="112"/>
      <c r="H3896" s="112"/>
      <c r="Z3896" s="112"/>
      <c r="AA3896" s="112"/>
    </row>
    <row r="3897" spans="3:27" x14ac:dyDescent="0.25">
      <c r="C3897" s="112"/>
      <c r="D3897" s="112"/>
      <c r="E3897" s="113"/>
      <c r="F3897" s="113"/>
      <c r="G3897" s="112"/>
      <c r="H3897" s="112"/>
      <c r="Z3897" s="112"/>
      <c r="AA3897" s="112"/>
    </row>
    <row r="3898" spans="3:27" x14ac:dyDescent="0.25">
      <c r="C3898" s="112"/>
      <c r="D3898" s="112"/>
      <c r="E3898" s="113"/>
      <c r="F3898" s="113"/>
      <c r="G3898" s="112"/>
      <c r="H3898" s="112"/>
      <c r="Z3898" s="112"/>
      <c r="AA3898" s="112"/>
    </row>
    <row r="3899" spans="3:27" x14ac:dyDescent="0.25">
      <c r="C3899" s="112"/>
      <c r="D3899" s="112"/>
      <c r="E3899" s="113"/>
      <c r="F3899" s="113"/>
      <c r="G3899" s="112"/>
      <c r="H3899" s="112"/>
      <c r="Z3899" s="112"/>
      <c r="AA3899" s="112"/>
    </row>
    <row r="3900" spans="3:27" x14ac:dyDescent="0.25">
      <c r="C3900" s="112"/>
      <c r="D3900" s="112"/>
      <c r="E3900" s="113"/>
      <c r="F3900" s="113"/>
      <c r="G3900" s="112"/>
      <c r="H3900" s="112"/>
      <c r="Z3900" s="112"/>
      <c r="AA3900" s="112"/>
    </row>
    <row r="3901" spans="3:27" x14ac:dyDescent="0.25">
      <c r="C3901" s="112"/>
      <c r="D3901" s="112"/>
      <c r="E3901" s="113"/>
      <c r="F3901" s="113"/>
      <c r="G3901" s="112"/>
      <c r="H3901" s="112"/>
      <c r="Z3901" s="112"/>
      <c r="AA3901" s="112"/>
    </row>
    <row r="3902" spans="3:27" x14ac:dyDescent="0.25">
      <c r="C3902" s="112"/>
      <c r="D3902" s="112"/>
      <c r="E3902" s="113"/>
      <c r="F3902" s="113"/>
      <c r="G3902" s="112"/>
      <c r="H3902" s="112"/>
      <c r="Z3902" s="112"/>
      <c r="AA3902" s="112"/>
    </row>
    <row r="3903" spans="3:27" x14ac:dyDescent="0.25">
      <c r="C3903" s="112"/>
      <c r="D3903" s="112"/>
      <c r="E3903" s="113"/>
      <c r="F3903" s="113"/>
      <c r="G3903" s="112"/>
      <c r="H3903" s="112"/>
      <c r="Z3903" s="112"/>
      <c r="AA3903" s="112"/>
    </row>
    <row r="3904" spans="3:27" x14ac:dyDescent="0.25">
      <c r="C3904" s="112"/>
      <c r="D3904" s="112"/>
      <c r="E3904" s="113"/>
      <c r="F3904" s="113"/>
      <c r="G3904" s="112"/>
      <c r="H3904" s="112"/>
      <c r="Z3904" s="112"/>
      <c r="AA3904" s="112"/>
    </row>
    <row r="3905" spans="3:27" x14ac:dyDescent="0.25">
      <c r="C3905" s="112"/>
      <c r="D3905" s="112"/>
      <c r="E3905" s="113"/>
      <c r="F3905" s="113"/>
      <c r="G3905" s="112"/>
      <c r="H3905" s="112"/>
      <c r="Z3905" s="112"/>
      <c r="AA3905" s="112"/>
    </row>
    <row r="3906" spans="3:27" x14ac:dyDescent="0.25">
      <c r="C3906" s="112"/>
      <c r="D3906" s="112"/>
      <c r="E3906" s="113"/>
      <c r="F3906" s="113"/>
      <c r="G3906" s="112"/>
      <c r="H3906" s="112"/>
      <c r="Z3906" s="112"/>
      <c r="AA3906" s="112"/>
    </row>
    <row r="3907" spans="3:27" x14ac:dyDescent="0.25">
      <c r="C3907" s="112"/>
      <c r="D3907" s="112"/>
      <c r="E3907" s="113"/>
      <c r="F3907" s="113"/>
      <c r="G3907" s="112"/>
      <c r="H3907" s="112"/>
      <c r="Z3907" s="112"/>
      <c r="AA3907" s="112"/>
    </row>
    <row r="3908" spans="3:27" x14ac:dyDescent="0.25">
      <c r="C3908" s="112"/>
      <c r="D3908" s="112"/>
      <c r="E3908" s="113"/>
      <c r="F3908" s="113"/>
      <c r="G3908" s="112"/>
      <c r="H3908" s="112"/>
      <c r="Z3908" s="112"/>
      <c r="AA3908" s="112"/>
    </row>
    <row r="3909" spans="3:27" x14ac:dyDescent="0.25">
      <c r="C3909" s="112"/>
      <c r="D3909" s="112"/>
      <c r="E3909" s="113"/>
      <c r="F3909" s="113"/>
      <c r="G3909" s="112"/>
      <c r="H3909" s="112"/>
      <c r="Z3909" s="112"/>
      <c r="AA3909" s="112"/>
    </row>
    <row r="3910" spans="3:27" x14ac:dyDescent="0.25">
      <c r="C3910" s="112"/>
      <c r="D3910" s="112"/>
      <c r="E3910" s="113"/>
      <c r="F3910" s="113"/>
      <c r="G3910" s="112"/>
      <c r="H3910" s="112"/>
      <c r="Z3910" s="112"/>
      <c r="AA3910" s="112"/>
    </row>
    <row r="3911" spans="3:27" x14ac:dyDescent="0.25">
      <c r="C3911" s="112"/>
      <c r="D3911" s="112"/>
      <c r="E3911" s="113"/>
      <c r="F3911" s="113"/>
      <c r="G3911" s="112"/>
      <c r="H3911" s="112"/>
      <c r="Z3911" s="112"/>
      <c r="AA3911" s="112"/>
    </row>
    <row r="3912" spans="3:27" x14ac:dyDescent="0.25">
      <c r="C3912" s="112"/>
      <c r="D3912" s="112"/>
      <c r="E3912" s="113"/>
      <c r="F3912" s="113"/>
      <c r="G3912" s="112"/>
      <c r="H3912" s="112"/>
      <c r="Z3912" s="112"/>
      <c r="AA3912" s="112"/>
    </row>
    <row r="3913" spans="3:27" x14ac:dyDescent="0.25">
      <c r="C3913" s="112"/>
      <c r="D3913" s="112"/>
      <c r="E3913" s="113"/>
      <c r="F3913" s="113"/>
      <c r="G3913" s="112"/>
      <c r="H3913" s="112"/>
      <c r="Z3913" s="112"/>
      <c r="AA3913" s="112"/>
    </row>
    <row r="3914" spans="3:27" x14ac:dyDescent="0.25">
      <c r="C3914" s="112"/>
      <c r="D3914" s="112"/>
      <c r="E3914" s="113"/>
      <c r="F3914" s="113"/>
      <c r="G3914" s="112"/>
      <c r="H3914" s="112"/>
      <c r="Z3914" s="112"/>
      <c r="AA3914" s="112"/>
    </row>
    <row r="3915" spans="3:27" x14ac:dyDescent="0.25">
      <c r="C3915" s="112"/>
      <c r="D3915" s="112"/>
      <c r="E3915" s="113"/>
      <c r="F3915" s="113"/>
      <c r="G3915" s="112"/>
      <c r="H3915" s="112"/>
      <c r="Z3915" s="112"/>
      <c r="AA3915" s="112"/>
    </row>
    <row r="3916" spans="3:27" x14ac:dyDescent="0.25">
      <c r="C3916" s="112"/>
      <c r="D3916" s="112"/>
      <c r="E3916" s="113"/>
      <c r="F3916" s="113"/>
      <c r="G3916" s="112"/>
      <c r="H3916" s="112"/>
      <c r="Z3916" s="112"/>
      <c r="AA3916" s="112"/>
    </row>
    <row r="3917" spans="3:27" x14ac:dyDescent="0.25">
      <c r="C3917" s="112"/>
      <c r="D3917" s="112"/>
      <c r="E3917" s="113"/>
      <c r="F3917" s="113"/>
      <c r="G3917" s="112"/>
      <c r="H3917" s="112"/>
      <c r="Z3917" s="112"/>
      <c r="AA3917" s="112"/>
    </row>
    <row r="3918" spans="3:27" x14ac:dyDescent="0.25">
      <c r="C3918" s="112"/>
      <c r="D3918" s="112"/>
      <c r="E3918" s="113"/>
      <c r="F3918" s="113"/>
      <c r="G3918" s="112"/>
      <c r="H3918" s="112"/>
      <c r="Z3918" s="112"/>
      <c r="AA3918" s="112"/>
    </row>
    <row r="3919" spans="3:27" x14ac:dyDescent="0.25">
      <c r="C3919" s="112"/>
      <c r="D3919" s="112"/>
      <c r="E3919" s="113"/>
      <c r="F3919" s="113"/>
      <c r="G3919" s="112"/>
      <c r="H3919" s="112"/>
      <c r="Z3919" s="112"/>
      <c r="AA3919" s="112"/>
    </row>
    <row r="3920" spans="3:27" x14ac:dyDescent="0.25">
      <c r="C3920" s="112"/>
      <c r="D3920" s="112"/>
      <c r="E3920" s="113"/>
      <c r="F3920" s="113"/>
      <c r="G3920" s="112"/>
      <c r="H3920" s="112"/>
      <c r="Z3920" s="112"/>
      <c r="AA3920" s="112"/>
    </row>
    <row r="3921" spans="3:27" x14ac:dyDescent="0.25">
      <c r="C3921" s="112"/>
      <c r="D3921" s="112"/>
      <c r="E3921" s="113"/>
      <c r="F3921" s="113"/>
      <c r="G3921" s="112"/>
      <c r="H3921" s="112"/>
      <c r="Z3921" s="112"/>
      <c r="AA3921" s="112"/>
    </row>
    <row r="3922" spans="3:27" x14ac:dyDescent="0.25">
      <c r="C3922" s="112"/>
      <c r="D3922" s="112"/>
      <c r="E3922" s="113"/>
      <c r="F3922" s="113"/>
      <c r="G3922" s="112"/>
      <c r="H3922" s="112"/>
      <c r="Z3922" s="112"/>
      <c r="AA3922" s="112"/>
    </row>
    <row r="3923" spans="3:27" x14ac:dyDescent="0.25">
      <c r="C3923" s="112"/>
      <c r="D3923" s="112"/>
      <c r="E3923" s="113"/>
      <c r="F3923" s="113"/>
      <c r="G3923" s="112"/>
      <c r="H3923" s="112"/>
      <c r="Z3923" s="112"/>
      <c r="AA3923" s="112"/>
    </row>
    <row r="3924" spans="3:27" x14ac:dyDescent="0.25">
      <c r="C3924" s="112"/>
      <c r="D3924" s="112"/>
      <c r="E3924" s="113"/>
      <c r="F3924" s="113"/>
      <c r="G3924" s="112"/>
      <c r="H3924" s="112"/>
      <c r="Z3924" s="112"/>
      <c r="AA3924" s="112"/>
    </row>
    <row r="3925" spans="3:27" x14ac:dyDescent="0.25">
      <c r="C3925" s="112"/>
      <c r="D3925" s="112"/>
      <c r="E3925" s="113"/>
      <c r="F3925" s="113"/>
      <c r="G3925" s="112"/>
      <c r="H3925" s="112"/>
      <c r="Z3925" s="112"/>
      <c r="AA3925" s="112"/>
    </row>
    <row r="3926" spans="3:27" x14ac:dyDescent="0.25">
      <c r="C3926" s="112"/>
      <c r="D3926" s="112"/>
      <c r="E3926" s="113"/>
      <c r="F3926" s="113"/>
      <c r="G3926" s="112"/>
      <c r="H3926" s="112"/>
      <c r="Z3926" s="112"/>
      <c r="AA3926" s="112"/>
    </row>
    <row r="3927" spans="3:27" x14ac:dyDescent="0.25">
      <c r="C3927" s="112"/>
      <c r="D3927" s="112"/>
      <c r="E3927" s="113"/>
      <c r="F3927" s="113"/>
      <c r="G3927" s="112"/>
      <c r="H3927" s="112"/>
      <c r="Z3927" s="112"/>
      <c r="AA3927" s="112"/>
    </row>
    <row r="3928" spans="3:27" x14ac:dyDescent="0.25">
      <c r="C3928" s="112"/>
      <c r="D3928" s="112"/>
      <c r="E3928" s="113"/>
      <c r="F3928" s="113"/>
      <c r="G3928" s="112"/>
      <c r="H3928" s="112"/>
      <c r="Z3928" s="112"/>
      <c r="AA3928" s="112"/>
    </row>
    <row r="3929" spans="3:27" x14ac:dyDescent="0.25">
      <c r="C3929" s="112"/>
      <c r="D3929" s="112"/>
      <c r="E3929" s="113"/>
      <c r="F3929" s="113"/>
      <c r="G3929" s="112"/>
      <c r="H3929" s="112"/>
      <c r="Z3929" s="112"/>
      <c r="AA3929" s="112"/>
    </row>
    <row r="3930" spans="3:27" x14ac:dyDescent="0.25">
      <c r="C3930" s="112"/>
      <c r="D3930" s="112"/>
      <c r="E3930" s="113"/>
      <c r="F3930" s="113"/>
      <c r="G3930" s="112"/>
      <c r="H3930" s="112"/>
      <c r="Z3930" s="112"/>
      <c r="AA3930" s="112"/>
    </row>
    <row r="3931" spans="3:27" x14ac:dyDescent="0.25">
      <c r="C3931" s="112"/>
      <c r="D3931" s="112"/>
      <c r="E3931" s="113"/>
      <c r="F3931" s="113"/>
      <c r="G3931" s="112"/>
      <c r="H3931" s="112"/>
      <c r="Z3931" s="112"/>
      <c r="AA3931" s="112"/>
    </row>
    <row r="3932" spans="3:27" x14ac:dyDescent="0.25">
      <c r="C3932" s="112"/>
      <c r="D3932" s="112"/>
      <c r="E3932" s="113"/>
      <c r="F3932" s="113"/>
      <c r="G3932" s="112"/>
      <c r="H3932" s="112"/>
      <c r="Z3932" s="112"/>
      <c r="AA3932" s="112"/>
    </row>
    <row r="3933" spans="3:27" x14ac:dyDescent="0.25">
      <c r="C3933" s="112"/>
      <c r="D3933" s="112"/>
      <c r="E3933" s="113"/>
      <c r="F3933" s="113"/>
      <c r="G3933" s="112"/>
      <c r="H3933" s="112"/>
      <c r="Z3933" s="112"/>
      <c r="AA3933" s="112"/>
    </row>
    <row r="3934" spans="3:27" x14ac:dyDescent="0.25">
      <c r="C3934" s="112"/>
      <c r="D3934" s="112"/>
      <c r="E3934" s="113"/>
      <c r="F3934" s="113"/>
      <c r="G3934" s="112"/>
      <c r="H3934" s="112"/>
      <c r="Z3934" s="112"/>
      <c r="AA3934" s="112"/>
    </row>
    <row r="3935" spans="3:27" x14ac:dyDescent="0.25">
      <c r="C3935" s="112"/>
      <c r="D3935" s="112"/>
      <c r="E3935" s="113"/>
      <c r="F3935" s="113"/>
      <c r="G3935" s="112"/>
      <c r="H3935" s="112"/>
      <c r="Z3935" s="112"/>
      <c r="AA3935" s="112"/>
    </row>
    <row r="3936" spans="3:27" x14ac:dyDescent="0.25">
      <c r="C3936" s="112"/>
      <c r="D3936" s="112"/>
      <c r="E3936" s="113"/>
      <c r="F3936" s="113"/>
      <c r="G3936" s="112"/>
      <c r="H3936" s="112"/>
      <c r="Z3936" s="112"/>
      <c r="AA3936" s="112"/>
    </row>
    <row r="3937" spans="3:27" x14ac:dyDescent="0.25">
      <c r="C3937" s="112"/>
      <c r="D3937" s="112"/>
      <c r="E3937" s="113"/>
      <c r="F3937" s="113"/>
      <c r="G3937" s="112"/>
      <c r="H3937" s="112"/>
      <c r="Z3937" s="112"/>
      <c r="AA3937" s="112"/>
    </row>
    <row r="3938" spans="3:27" x14ac:dyDescent="0.25">
      <c r="C3938" s="112"/>
      <c r="D3938" s="112"/>
      <c r="E3938" s="113"/>
      <c r="F3938" s="113"/>
      <c r="G3938" s="112"/>
      <c r="H3938" s="112"/>
      <c r="Z3938" s="112"/>
      <c r="AA3938" s="112"/>
    </row>
    <row r="3939" spans="3:27" x14ac:dyDescent="0.25">
      <c r="C3939" s="112"/>
      <c r="D3939" s="112"/>
      <c r="E3939" s="113"/>
      <c r="F3939" s="113"/>
      <c r="G3939" s="112"/>
      <c r="H3939" s="112"/>
      <c r="Z3939" s="112"/>
      <c r="AA3939" s="112"/>
    </row>
    <row r="3940" spans="3:27" x14ac:dyDescent="0.25">
      <c r="C3940" s="112"/>
      <c r="D3940" s="112"/>
      <c r="E3940" s="113"/>
      <c r="F3940" s="113"/>
      <c r="G3940" s="112"/>
      <c r="H3940" s="112"/>
      <c r="Z3940" s="112"/>
      <c r="AA3940" s="112"/>
    </row>
    <row r="3941" spans="3:27" x14ac:dyDescent="0.25">
      <c r="C3941" s="112"/>
      <c r="D3941" s="112"/>
      <c r="E3941" s="113"/>
      <c r="F3941" s="113"/>
      <c r="G3941" s="112"/>
      <c r="H3941" s="112"/>
      <c r="Z3941" s="112"/>
      <c r="AA3941" s="112"/>
    </row>
    <row r="3942" spans="3:27" x14ac:dyDescent="0.25">
      <c r="C3942" s="112"/>
      <c r="D3942" s="112"/>
      <c r="E3942" s="113"/>
      <c r="F3942" s="113"/>
      <c r="G3942" s="112"/>
      <c r="H3942" s="112"/>
      <c r="Z3942" s="112"/>
      <c r="AA3942" s="112"/>
    </row>
    <row r="3943" spans="3:27" x14ac:dyDescent="0.25">
      <c r="C3943" s="112"/>
      <c r="D3943" s="112"/>
      <c r="E3943" s="113"/>
      <c r="F3943" s="113"/>
      <c r="G3943" s="112"/>
      <c r="H3943" s="112"/>
      <c r="Z3943" s="112"/>
      <c r="AA3943" s="112"/>
    </row>
    <row r="3944" spans="3:27" x14ac:dyDescent="0.25">
      <c r="C3944" s="112"/>
      <c r="D3944" s="112"/>
      <c r="E3944" s="113"/>
      <c r="F3944" s="113"/>
      <c r="G3944" s="112"/>
      <c r="H3944" s="112"/>
      <c r="Z3944" s="112"/>
      <c r="AA3944" s="112"/>
    </row>
    <row r="3945" spans="3:27" x14ac:dyDescent="0.25">
      <c r="C3945" s="112"/>
      <c r="D3945" s="112"/>
      <c r="E3945" s="113"/>
      <c r="F3945" s="113"/>
      <c r="G3945" s="112"/>
      <c r="H3945" s="112"/>
      <c r="Z3945" s="112"/>
      <c r="AA3945" s="112"/>
    </row>
    <row r="3946" spans="3:27" x14ac:dyDescent="0.25">
      <c r="C3946" s="112"/>
      <c r="D3946" s="112"/>
      <c r="E3946" s="113"/>
      <c r="F3946" s="113"/>
      <c r="G3946" s="112"/>
      <c r="H3946" s="112"/>
      <c r="Z3946" s="112"/>
      <c r="AA3946" s="112"/>
    </row>
    <row r="3947" spans="3:27" x14ac:dyDescent="0.25">
      <c r="C3947" s="112"/>
      <c r="D3947" s="112"/>
      <c r="E3947" s="113"/>
      <c r="F3947" s="113"/>
      <c r="G3947" s="112"/>
      <c r="H3947" s="112"/>
      <c r="Z3947" s="112"/>
      <c r="AA3947" s="112"/>
    </row>
    <row r="3948" spans="3:27" x14ac:dyDescent="0.25">
      <c r="C3948" s="112"/>
      <c r="D3948" s="112"/>
      <c r="E3948" s="113"/>
      <c r="F3948" s="113"/>
      <c r="G3948" s="112"/>
      <c r="H3948" s="112"/>
      <c r="Z3948" s="112"/>
      <c r="AA3948" s="112"/>
    </row>
    <row r="3949" spans="3:27" x14ac:dyDescent="0.25">
      <c r="C3949" s="112"/>
      <c r="D3949" s="112"/>
      <c r="E3949" s="113"/>
      <c r="F3949" s="113"/>
      <c r="G3949" s="112"/>
      <c r="H3949" s="112"/>
      <c r="Z3949" s="112"/>
      <c r="AA3949" s="112"/>
    </row>
    <row r="3950" spans="3:27" x14ac:dyDescent="0.25">
      <c r="C3950" s="112"/>
      <c r="D3950" s="112"/>
      <c r="E3950" s="113"/>
      <c r="F3950" s="113"/>
      <c r="G3950" s="112"/>
      <c r="H3950" s="112"/>
      <c r="Z3950" s="112"/>
      <c r="AA3950" s="112"/>
    </row>
    <row r="3951" spans="3:27" x14ac:dyDescent="0.25">
      <c r="C3951" s="112"/>
      <c r="D3951" s="112"/>
      <c r="E3951" s="113"/>
      <c r="F3951" s="113"/>
      <c r="G3951" s="112"/>
      <c r="H3951" s="112"/>
      <c r="Z3951" s="112"/>
      <c r="AA3951" s="112"/>
    </row>
    <row r="3952" spans="3:27" x14ac:dyDescent="0.25">
      <c r="C3952" s="112"/>
      <c r="D3952" s="112"/>
      <c r="E3952" s="113"/>
      <c r="F3952" s="113"/>
      <c r="G3952" s="112"/>
      <c r="H3952" s="112"/>
      <c r="Z3952" s="112"/>
      <c r="AA3952" s="112"/>
    </row>
    <row r="3953" spans="3:27" x14ac:dyDescent="0.25">
      <c r="C3953" s="112"/>
      <c r="D3953" s="112"/>
      <c r="E3953" s="113"/>
      <c r="F3953" s="113"/>
      <c r="G3953" s="112"/>
      <c r="H3953" s="112"/>
      <c r="Z3953" s="112"/>
      <c r="AA3953" s="112"/>
    </row>
    <row r="3954" spans="3:27" x14ac:dyDescent="0.25">
      <c r="C3954" s="112"/>
      <c r="D3954" s="112"/>
      <c r="E3954" s="113"/>
      <c r="F3954" s="113"/>
      <c r="G3954" s="112"/>
      <c r="H3954" s="112"/>
      <c r="Z3954" s="112"/>
      <c r="AA3954" s="112"/>
    </row>
    <row r="3955" spans="3:27" x14ac:dyDescent="0.25">
      <c r="C3955" s="112"/>
      <c r="D3955" s="112"/>
      <c r="E3955" s="113"/>
      <c r="F3955" s="113"/>
      <c r="G3955" s="112"/>
      <c r="H3955" s="112"/>
      <c r="Z3955" s="112"/>
      <c r="AA3955" s="112"/>
    </row>
    <row r="3956" spans="3:27" x14ac:dyDescent="0.25">
      <c r="C3956" s="112"/>
      <c r="D3956" s="112"/>
      <c r="E3956" s="113"/>
      <c r="F3956" s="113"/>
      <c r="G3956" s="112"/>
      <c r="H3956" s="112"/>
      <c r="Z3956" s="112"/>
      <c r="AA3956" s="112"/>
    </row>
    <row r="3957" spans="3:27" x14ac:dyDescent="0.25">
      <c r="C3957" s="112"/>
      <c r="D3957" s="112"/>
      <c r="E3957" s="113"/>
      <c r="F3957" s="113"/>
      <c r="G3957" s="112"/>
      <c r="H3957" s="112"/>
      <c r="Z3957" s="112"/>
      <c r="AA3957" s="112"/>
    </row>
    <row r="3958" spans="3:27" x14ac:dyDescent="0.25">
      <c r="C3958" s="112"/>
      <c r="D3958" s="112"/>
      <c r="E3958" s="113"/>
      <c r="F3958" s="113"/>
      <c r="G3958" s="112"/>
      <c r="H3958" s="112"/>
      <c r="Z3958" s="112"/>
      <c r="AA3958" s="112"/>
    </row>
    <row r="3959" spans="3:27" x14ac:dyDescent="0.25">
      <c r="C3959" s="112"/>
      <c r="D3959" s="112"/>
      <c r="E3959" s="113"/>
      <c r="F3959" s="113"/>
      <c r="G3959" s="112"/>
      <c r="H3959" s="112"/>
      <c r="Z3959" s="112"/>
      <c r="AA3959" s="112"/>
    </row>
    <row r="3960" spans="3:27" x14ac:dyDescent="0.25">
      <c r="C3960" s="112"/>
      <c r="D3960" s="112"/>
      <c r="E3960" s="113"/>
      <c r="F3960" s="113"/>
      <c r="G3960" s="112"/>
      <c r="H3960" s="112"/>
      <c r="Z3960" s="112"/>
      <c r="AA3960" s="112"/>
    </row>
    <row r="3961" spans="3:27" x14ac:dyDescent="0.25">
      <c r="C3961" s="112"/>
      <c r="D3961" s="112"/>
      <c r="E3961" s="113"/>
      <c r="F3961" s="113"/>
      <c r="G3961" s="112"/>
      <c r="H3961" s="112"/>
      <c r="Z3961" s="112"/>
      <c r="AA3961" s="112"/>
    </row>
    <row r="3962" spans="3:27" x14ac:dyDescent="0.25">
      <c r="C3962" s="112"/>
      <c r="D3962" s="112"/>
      <c r="E3962" s="113"/>
      <c r="F3962" s="113"/>
      <c r="G3962" s="112"/>
      <c r="H3962" s="112"/>
      <c r="Z3962" s="112"/>
      <c r="AA3962" s="112"/>
    </row>
    <row r="3963" spans="3:27" x14ac:dyDescent="0.25">
      <c r="C3963" s="112"/>
      <c r="D3963" s="112"/>
      <c r="E3963" s="113"/>
      <c r="F3963" s="113"/>
      <c r="G3963" s="112"/>
      <c r="H3963" s="112"/>
      <c r="Z3963" s="112"/>
      <c r="AA3963" s="112"/>
    </row>
    <row r="3964" spans="3:27" x14ac:dyDescent="0.25">
      <c r="C3964" s="112"/>
      <c r="D3964" s="112"/>
      <c r="E3964" s="113"/>
      <c r="F3964" s="113"/>
      <c r="G3964" s="112"/>
      <c r="H3964" s="112"/>
      <c r="Z3964" s="112"/>
      <c r="AA3964" s="112"/>
    </row>
    <row r="3965" spans="3:27" x14ac:dyDescent="0.25">
      <c r="C3965" s="112"/>
      <c r="D3965" s="112"/>
      <c r="E3965" s="113"/>
      <c r="F3965" s="113"/>
      <c r="G3965" s="112"/>
      <c r="H3965" s="112"/>
      <c r="Z3965" s="112"/>
      <c r="AA3965" s="112"/>
    </row>
    <row r="3966" spans="3:27" x14ac:dyDescent="0.25">
      <c r="C3966" s="112"/>
      <c r="D3966" s="112"/>
      <c r="E3966" s="113"/>
      <c r="F3966" s="113"/>
      <c r="G3966" s="112"/>
      <c r="H3966" s="112"/>
      <c r="Z3966" s="112"/>
      <c r="AA3966" s="112"/>
    </row>
    <row r="3967" spans="3:27" x14ac:dyDescent="0.25">
      <c r="C3967" s="112"/>
      <c r="D3967" s="112"/>
      <c r="E3967" s="113"/>
      <c r="F3967" s="113"/>
      <c r="G3967" s="112"/>
      <c r="H3967" s="112"/>
      <c r="Z3967" s="112"/>
      <c r="AA3967" s="112"/>
    </row>
    <row r="3968" spans="3:27" x14ac:dyDescent="0.25">
      <c r="C3968" s="112"/>
      <c r="D3968" s="112"/>
      <c r="E3968" s="113"/>
      <c r="F3968" s="113"/>
      <c r="G3968" s="112"/>
      <c r="H3968" s="112"/>
      <c r="Z3968" s="112"/>
      <c r="AA3968" s="112"/>
    </row>
    <row r="3969" spans="3:27" x14ac:dyDescent="0.25">
      <c r="C3969" s="112"/>
      <c r="D3969" s="112"/>
      <c r="E3969" s="113"/>
      <c r="F3969" s="113"/>
      <c r="G3969" s="112"/>
      <c r="H3969" s="112"/>
      <c r="Z3969" s="112"/>
      <c r="AA3969" s="112"/>
    </row>
    <row r="3970" spans="3:27" x14ac:dyDescent="0.25">
      <c r="C3970" s="112"/>
      <c r="D3970" s="112"/>
      <c r="E3970" s="113"/>
      <c r="F3970" s="113"/>
      <c r="G3970" s="112"/>
      <c r="H3970" s="112"/>
      <c r="Z3970" s="112"/>
      <c r="AA3970" s="112"/>
    </row>
    <row r="3971" spans="3:27" x14ac:dyDescent="0.25">
      <c r="C3971" s="112"/>
      <c r="D3971" s="112"/>
      <c r="E3971" s="113"/>
      <c r="F3971" s="113"/>
      <c r="G3971" s="112"/>
      <c r="H3971" s="112"/>
      <c r="Z3971" s="112"/>
      <c r="AA3971" s="112"/>
    </row>
    <row r="3972" spans="3:27" x14ac:dyDescent="0.25">
      <c r="C3972" s="112"/>
      <c r="D3972" s="112"/>
      <c r="E3972" s="113"/>
      <c r="F3972" s="113"/>
      <c r="G3972" s="112"/>
      <c r="H3972" s="112"/>
      <c r="Z3972" s="112"/>
      <c r="AA3972" s="112"/>
    </row>
    <row r="3973" spans="3:27" x14ac:dyDescent="0.25">
      <c r="C3973" s="112"/>
      <c r="D3973" s="112"/>
      <c r="E3973" s="113"/>
      <c r="F3973" s="113"/>
      <c r="G3973" s="112"/>
      <c r="H3973" s="112"/>
      <c r="Z3973" s="112"/>
      <c r="AA3973" s="112"/>
    </row>
    <row r="3974" spans="3:27" x14ac:dyDescent="0.25">
      <c r="C3974" s="112"/>
      <c r="D3974" s="112"/>
      <c r="E3974" s="113"/>
      <c r="F3974" s="113"/>
      <c r="G3974" s="112"/>
      <c r="H3974" s="112"/>
      <c r="Z3974" s="112"/>
      <c r="AA3974" s="112"/>
    </row>
    <row r="3975" spans="3:27" x14ac:dyDescent="0.25">
      <c r="C3975" s="112"/>
      <c r="D3975" s="112"/>
      <c r="E3975" s="113"/>
      <c r="F3975" s="113"/>
      <c r="G3975" s="112"/>
      <c r="H3975" s="112"/>
      <c r="Z3975" s="112"/>
      <c r="AA3975" s="112"/>
    </row>
    <row r="3976" spans="3:27" x14ac:dyDescent="0.25">
      <c r="C3976" s="112"/>
      <c r="D3976" s="112"/>
      <c r="E3976" s="113"/>
      <c r="F3976" s="113"/>
      <c r="G3976" s="112"/>
      <c r="H3976" s="112"/>
      <c r="Z3976" s="112"/>
      <c r="AA3976" s="112"/>
    </row>
    <row r="3977" spans="3:27" x14ac:dyDescent="0.25">
      <c r="C3977" s="112"/>
      <c r="D3977" s="112"/>
      <c r="E3977" s="113"/>
      <c r="F3977" s="113"/>
      <c r="G3977" s="112"/>
      <c r="H3977" s="112"/>
      <c r="Z3977" s="112"/>
      <c r="AA3977" s="112"/>
    </row>
    <row r="3978" spans="3:27" x14ac:dyDescent="0.25">
      <c r="C3978" s="112"/>
      <c r="D3978" s="112"/>
      <c r="E3978" s="113"/>
      <c r="F3978" s="113"/>
      <c r="G3978" s="112"/>
      <c r="H3978" s="112"/>
      <c r="Z3978" s="112"/>
      <c r="AA3978" s="112"/>
    </row>
    <row r="3979" spans="3:27" x14ac:dyDescent="0.25">
      <c r="C3979" s="112"/>
      <c r="D3979" s="112"/>
      <c r="E3979" s="113"/>
      <c r="F3979" s="113"/>
      <c r="G3979" s="112"/>
      <c r="H3979" s="112"/>
      <c r="Z3979" s="112"/>
      <c r="AA3979" s="112"/>
    </row>
    <row r="3980" spans="3:27" x14ac:dyDescent="0.25">
      <c r="C3980" s="112"/>
      <c r="D3980" s="112"/>
      <c r="E3980" s="113"/>
      <c r="F3980" s="113"/>
      <c r="G3980" s="112"/>
      <c r="H3980" s="112"/>
      <c r="Z3980" s="112"/>
      <c r="AA3980" s="112"/>
    </row>
    <row r="3981" spans="3:27" x14ac:dyDescent="0.25">
      <c r="C3981" s="112"/>
      <c r="D3981" s="112"/>
      <c r="E3981" s="113"/>
      <c r="F3981" s="113"/>
      <c r="G3981" s="112"/>
      <c r="H3981" s="112"/>
      <c r="Z3981" s="112"/>
      <c r="AA3981" s="112"/>
    </row>
    <row r="3982" spans="3:27" x14ac:dyDescent="0.25">
      <c r="C3982" s="112"/>
      <c r="D3982" s="112"/>
      <c r="E3982" s="113"/>
      <c r="F3982" s="113"/>
      <c r="G3982" s="112"/>
      <c r="H3982" s="112"/>
      <c r="Z3982" s="112"/>
      <c r="AA3982" s="112"/>
    </row>
    <row r="3983" spans="3:27" x14ac:dyDescent="0.25">
      <c r="C3983" s="112"/>
      <c r="D3983" s="112"/>
      <c r="E3983" s="113"/>
      <c r="F3983" s="113"/>
      <c r="G3983" s="112"/>
      <c r="H3983" s="112"/>
      <c r="Z3983" s="112"/>
      <c r="AA3983" s="112"/>
    </row>
    <row r="3984" spans="3:27" x14ac:dyDescent="0.25">
      <c r="C3984" s="112"/>
      <c r="D3984" s="112"/>
      <c r="E3984" s="113"/>
      <c r="F3984" s="113"/>
      <c r="G3984" s="112"/>
      <c r="H3984" s="112"/>
      <c r="Z3984" s="112"/>
      <c r="AA3984" s="112"/>
    </row>
    <row r="3985" spans="3:27" x14ac:dyDescent="0.25">
      <c r="C3985" s="112"/>
      <c r="D3985" s="112"/>
      <c r="E3985" s="113"/>
      <c r="F3985" s="113"/>
      <c r="G3985" s="112"/>
      <c r="H3985" s="112"/>
      <c r="Z3985" s="112"/>
      <c r="AA3985" s="112"/>
    </row>
    <row r="3986" spans="3:27" x14ac:dyDescent="0.25">
      <c r="C3986" s="112"/>
      <c r="D3986" s="112"/>
      <c r="E3986" s="113"/>
      <c r="F3986" s="113"/>
      <c r="G3986" s="112"/>
      <c r="H3986" s="112"/>
      <c r="Z3986" s="112"/>
      <c r="AA3986" s="112"/>
    </row>
    <row r="3987" spans="3:27" x14ac:dyDescent="0.25">
      <c r="C3987" s="112"/>
      <c r="D3987" s="112"/>
      <c r="E3987" s="113"/>
      <c r="F3987" s="113"/>
      <c r="G3987" s="112"/>
      <c r="H3987" s="112"/>
      <c r="Z3987" s="112"/>
      <c r="AA3987" s="112"/>
    </row>
    <row r="3988" spans="3:27" x14ac:dyDescent="0.25">
      <c r="C3988" s="112"/>
      <c r="D3988" s="112"/>
      <c r="E3988" s="113"/>
      <c r="F3988" s="113"/>
      <c r="G3988" s="112"/>
      <c r="H3988" s="112"/>
      <c r="Z3988" s="112"/>
      <c r="AA3988" s="112"/>
    </row>
    <row r="3989" spans="3:27" x14ac:dyDescent="0.25">
      <c r="C3989" s="112"/>
      <c r="D3989" s="112"/>
      <c r="E3989" s="113"/>
      <c r="F3989" s="113"/>
      <c r="G3989" s="112"/>
      <c r="H3989" s="112"/>
      <c r="Z3989" s="112"/>
      <c r="AA3989" s="112"/>
    </row>
    <row r="3990" spans="3:27" x14ac:dyDescent="0.25">
      <c r="C3990" s="112"/>
      <c r="D3990" s="112"/>
      <c r="E3990" s="113"/>
      <c r="F3990" s="113"/>
      <c r="G3990" s="112"/>
      <c r="H3990" s="112"/>
      <c r="Z3990" s="112"/>
      <c r="AA3990" s="112"/>
    </row>
    <row r="3991" spans="3:27" x14ac:dyDescent="0.25">
      <c r="C3991" s="112"/>
      <c r="D3991" s="112"/>
      <c r="E3991" s="113"/>
      <c r="F3991" s="113"/>
      <c r="G3991" s="112"/>
      <c r="H3991" s="112"/>
      <c r="Z3991" s="112"/>
      <c r="AA3991" s="112"/>
    </row>
    <row r="3992" spans="3:27" x14ac:dyDescent="0.25">
      <c r="C3992" s="112"/>
      <c r="D3992" s="112"/>
      <c r="E3992" s="113"/>
      <c r="F3992" s="113"/>
      <c r="G3992" s="112"/>
      <c r="H3992" s="112"/>
      <c r="Z3992" s="112"/>
      <c r="AA3992" s="112"/>
    </row>
    <row r="3993" spans="3:27" x14ac:dyDescent="0.25">
      <c r="C3993" s="112"/>
      <c r="D3993" s="112"/>
      <c r="E3993" s="113"/>
      <c r="F3993" s="113"/>
      <c r="G3993" s="112"/>
      <c r="H3993" s="112"/>
      <c r="Z3993" s="112"/>
      <c r="AA3993" s="112"/>
    </row>
    <row r="3994" spans="3:27" x14ac:dyDescent="0.25">
      <c r="C3994" s="112"/>
      <c r="D3994" s="112"/>
      <c r="E3994" s="113"/>
      <c r="F3994" s="113"/>
      <c r="G3994" s="112"/>
      <c r="H3994" s="112"/>
      <c r="Z3994" s="112"/>
      <c r="AA3994" s="112"/>
    </row>
    <row r="3995" spans="3:27" x14ac:dyDescent="0.25">
      <c r="C3995" s="112"/>
      <c r="D3995" s="112"/>
      <c r="E3995" s="113"/>
      <c r="F3995" s="113"/>
      <c r="G3995" s="112"/>
      <c r="H3995" s="112"/>
      <c r="Z3995" s="112"/>
      <c r="AA3995" s="112"/>
    </row>
    <row r="3996" spans="3:27" x14ac:dyDescent="0.25">
      <c r="C3996" s="112"/>
      <c r="D3996" s="112"/>
      <c r="E3996" s="113"/>
      <c r="F3996" s="113"/>
      <c r="G3996" s="112"/>
      <c r="H3996" s="112"/>
      <c r="Z3996" s="112"/>
      <c r="AA3996" s="112"/>
    </row>
    <row r="3997" spans="3:27" x14ac:dyDescent="0.25">
      <c r="C3997" s="112"/>
      <c r="D3997" s="112"/>
      <c r="E3997" s="113"/>
      <c r="F3997" s="113"/>
      <c r="G3997" s="112"/>
      <c r="H3997" s="112"/>
      <c r="Z3997" s="112"/>
      <c r="AA3997" s="112"/>
    </row>
    <row r="3998" spans="3:27" x14ac:dyDescent="0.25">
      <c r="C3998" s="112"/>
      <c r="D3998" s="112"/>
      <c r="E3998" s="113"/>
      <c r="F3998" s="113"/>
      <c r="G3998" s="112"/>
      <c r="H3998" s="112"/>
      <c r="Z3998" s="112"/>
      <c r="AA3998" s="112"/>
    </row>
    <row r="3999" spans="3:27" x14ac:dyDescent="0.25">
      <c r="C3999" s="112"/>
      <c r="D3999" s="112"/>
      <c r="E3999" s="113"/>
      <c r="F3999" s="113"/>
      <c r="G3999" s="112"/>
      <c r="H3999" s="112"/>
      <c r="Z3999" s="112"/>
      <c r="AA3999" s="112"/>
    </row>
    <row r="4000" spans="3:27" x14ac:dyDescent="0.25">
      <c r="C4000" s="112"/>
      <c r="D4000" s="112"/>
      <c r="E4000" s="113"/>
      <c r="F4000" s="113"/>
      <c r="G4000" s="112"/>
      <c r="H4000" s="112"/>
      <c r="Z4000" s="112"/>
      <c r="AA4000" s="112"/>
    </row>
    <row r="4001" spans="3:27" x14ac:dyDescent="0.25">
      <c r="C4001" s="112"/>
      <c r="D4001" s="112"/>
      <c r="E4001" s="113"/>
      <c r="F4001" s="113"/>
      <c r="G4001" s="112"/>
      <c r="H4001" s="112"/>
      <c r="Z4001" s="112"/>
      <c r="AA4001" s="112"/>
    </row>
    <row r="4002" spans="3:27" x14ac:dyDescent="0.25">
      <c r="C4002" s="112"/>
      <c r="D4002" s="112"/>
      <c r="E4002" s="113"/>
      <c r="F4002" s="113"/>
      <c r="G4002" s="112"/>
      <c r="H4002" s="112"/>
      <c r="Z4002" s="112"/>
      <c r="AA4002" s="112"/>
    </row>
    <row r="4003" spans="3:27" x14ac:dyDescent="0.25">
      <c r="C4003" s="112"/>
      <c r="D4003" s="112"/>
      <c r="E4003" s="113"/>
      <c r="F4003" s="113"/>
      <c r="G4003" s="112"/>
      <c r="H4003" s="112"/>
      <c r="Z4003" s="112"/>
      <c r="AA4003" s="112"/>
    </row>
    <row r="4004" spans="3:27" x14ac:dyDescent="0.25">
      <c r="C4004" s="112"/>
      <c r="D4004" s="112"/>
      <c r="E4004" s="113"/>
      <c r="F4004" s="113"/>
      <c r="G4004" s="112"/>
      <c r="H4004" s="112"/>
      <c r="Z4004" s="112"/>
      <c r="AA4004" s="112"/>
    </row>
    <row r="4005" spans="3:27" x14ac:dyDescent="0.25">
      <c r="C4005" s="112"/>
      <c r="D4005" s="112"/>
      <c r="E4005" s="113"/>
      <c r="F4005" s="113"/>
      <c r="G4005" s="112"/>
      <c r="H4005" s="112"/>
      <c r="Z4005" s="112"/>
      <c r="AA4005" s="112"/>
    </row>
    <row r="4006" spans="3:27" x14ac:dyDescent="0.25">
      <c r="C4006" s="112"/>
      <c r="D4006" s="112"/>
      <c r="E4006" s="113"/>
      <c r="F4006" s="113"/>
      <c r="G4006" s="112"/>
      <c r="H4006" s="112"/>
      <c r="Z4006" s="112"/>
      <c r="AA4006" s="112"/>
    </row>
    <row r="4007" spans="3:27" x14ac:dyDescent="0.25">
      <c r="C4007" s="112"/>
      <c r="D4007" s="112"/>
      <c r="E4007" s="113"/>
      <c r="F4007" s="113"/>
      <c r="G4007" s="112"/>
      <c r="H4007" s="112"/>
      <c r="Z4007" s="112"/>
      <c r="AA4007" s="112"/>
    </row>
    <row r="4008" spans="3:27" x14ac:dyDescent="0.25">
      <c r="C4008" s="112"/>
      <c r="D4008" s="112"/>
      <c r="E4008" s="113"/>
      <c r="F4008" s="113"/>
      <c r="G4008" s="112"/>
      <c r="H4008" s="112"/>
      <c r="Z4008" s="112"/>
      <c r="AA4008" s="112"/>
    </row>
    <row r="4009" spans="3:27" x14ac:dyDescent="0.25">
      <c r="C4009" s="112"/>
      <c r="D4009" s="112"/>
      <c r="E4009" s="113"/>
      <c r="F4009" s="113"/>
      <c r="G4009" s="112"/>
      <c r="H4009" s="112"/>
      <c r="Z4009" s="112"/>
      <c r="AA4009" s="112"/>
    </row>
    <row r="4010" spans="3:27" x14ac:dyDescent="0.25">
      <c r="C4010" s="112"/>
      <c r="D4010" s="112"/>
      <c r="E4010" s="113"/>
      <c r="F4010" s="113"/>
      <c r="G4010" s="112"/>
      <c r="H4010" s="112"/>
      <c r="Z4010" s="112"/>
      <c r="AA4010" s="112"/>
    </row>
    <row r="4011" spans="3:27" x14ac:dyDescent="0.25">
      <c r="C4011" s="112"/>
      <c r="D4011" s="112"/>
      <c r="E4011" s="113"/>
      <c r="F4011" s="113"/>
      <c r="G4011" s="112"/>
      <c r="H4011" s="112"/>
      <c r="Z4011" s="112"/>
      <c r="AA4011" s="112"/>
    </row>
    <row r="4012" spans="3:27" x14ac:dyDescent="0.25">
      <c r="C4012" s="112"/>
      <c r="D4012" s="112"/>
      <c r="E4012" s="113"/>
      <c r="F4012" s="113"/>
      <c r="G4012" s="112"/>
      <c r="H4012" s="112"/>
      <c r="Z4012" s="112"/>
      <c r="AA4012" s="112"/>
    </row>
    <row r="4013" spans="3:27" x14ac:dyDescent="0.25">
      <c r="C4013" s="112"/>
      <c r="D4013" s="112"/>
      <c r="E4013" s="113"/>
      <c r="F4013" s="113"/>
      <c r="G4013" s="112"/>
      <c r="H4013" s="112"/>
      <c r="Z4013" s="112"/>
      <c r="AA4013" s="112"/>
    </row>
    <row r="4014" spans="3:27" x14ac:dyDescent="0.25">
      <c r="C4014" s="112"/>
      <c r="D4014" s="112"/>
      <c r="E4014" s="113"/>
      <c r="F4014" s="113"/>
      <c r="G4014" s="112"/>
      <c r="H4014" s="112"/>
      <c r="Z4014" s="112"/>
      <c r="AA4014" s="112"/>
    </row>
    <row r="4015" spans="3:27" x14ac:dyDescent="0.25">
      <c r="C4015" s="112"/>
      <c r="D4015" s="112"/>
      <c r="E4015" s="113"/>
      <c r="F4015" s="113"/>
      <c r="G4015" s="112"/>
      <c r="H4015" s="112"/>
      <c r="Z4015" s="112"/>
      <c r="AA4015" s="112"/>
    </row>
    <row r="4016" spans="3:27" x14ac:dyDescent="0.25">
      <c r="C4016" s="112"/>
      <c r="D4016" s="112"/>
      <c r="E4016" s="113"/>
      <c r="F4016" s="113"/>
      <c r="G4016" s="112"/>
      <c r="H4016" s="112"/>
      <c r="Z4016" s="112"/>
      <c r="AA4016" s="112"/>
    </row>
    <row r="4017" spans="3:27" x14ac:dyDescent="0.25">
      <c r="C4017" s="112"/>
      <c r="D4017" s="112"/>
      <c r="E4017" s="113"/>
      <c r="F4017" s="113"/>
      <c r="G4017" s="112"/>
      <c r="H4017" s="112"/>
      <c r="Z4017" s="112"/>
      <c r="AA4017" s="112"/>
    </row>
    <row r="4018" spans="3:27" x14ac:dyDescent="0.25">
      <c r="C4018" s="112"/>
      <c r="D4018" s="112"/>
      <c r="E4018" s="113"/>
      <c r="F4018" s="113"/>
      <c r="G4018" s="112"/>
      <c r="H4018" s="112"/>
      <c r="Z4018" s="112"/>
      <c r="AA4018" s="112"/>
    </row>
    <row r="4019" spans="3:27" x14ac:dyDescent="0.25">
      <c r="C4019" s="112"/>
      <c r="D4019" s="112"/>
      <c r="E4019" s="113"/>
      <c r="F4019" s="113"/>
      <c r="G4019" s="112"/>
      <c r="H4019" s="112"/>
      <c r="Z4019" s="112"/>
      <c r="AA4019" s="112"/>
    </row>
    <row r="4020" spans="3:27" x14ac:dyDescent="0.25">
      <c r="C4020" s="112"/>
      <c r="D4020" s="112"/>
      <c r="E4020" s="113"/>
      <c r="F4020" s="113"/>
      <c r="G4020" s="112"/>
      <c r="H4020" s="112"/>
      <c r="Z4020" s="112"/>
      <c r="AA4020" s="112"/>
    </row>
    <row r="4021" spans="3:27" x14ac:dyDescent="0.25">
      <c r="C4021" s="112"/>
      <c r="D4021" s="112"/>
      <c r="E4021" s="113"/>
      <c r="F4021" s="113"/>
      <c r="G4021" s="112"/>
      <c r="H4021" s="112"/>
      <c r="Z4021" s="112"/>
      <c r="AA4021" s="112"/>
    </row>
    <row r="4022" spans="3:27" x14ac:dyDescent="0.25">
      <c r="C4022" s="112"/>
      <c r="D4022" s="112"/>
      <c r="E4022" s="113"/>
      <c r="F4022" s="113"/>
      <c r="G4022" s="112"/>
      <c r="H4022" s="112"/>
      <c r="Z4022" s="112"/>
      <c r="AA4022" s="112"/>
    </row>
    <row r="4023" spans="3:27" x14ac:dyDescent="0.25">
      <c r="C4023" s="112"/>
      <c r="D4023" s="112"/>
      <c r="E4023" s="113"/>
      <c r="F4023" s="113"/>
      <c r="G4023" s="112"/>
      <c r="H4023" s="112"/>
      <c r="Z4023" s="112"/>
      <c r="AA4023" s="112"/>
    </row>
    <row r="4024" spans="3:27" x14ac:dyDescent="0.25">
      <c r="C4024" s="112"/>
      <c r="D4024" s="112"/>
      <c r="E4024" s="113"/>
      <c r="F4024" s="113"/>
      <c r="G4024" s="112"/>
      <c r="H4024" s="112"/>
      <c r="Z4024" s="112"/>
      <c r="AA4024" s="112"/>
    </row>
    <row r="4025" spans="3:27" x14ac:dyDescent="0.25">
      <c r="C4025" s="112"/>
      <c r="D4025" s="112"/>
      <c r="E4025" s="113"/>
      <c r="F4025" s="113"/>
      <c r="G4025" s="112"/>
      <c r="H4025" s="112"/>
      <c r="Z4025" s="112"/>
      <c r="AA4025" s="112"/>
    </row>
    <row r="4026" spans="3:27" x14ac:dyDescent="0.25">
      <c r="C4026" s="112"/>
      <c r="D4026" s="112"/>
      <c r="E4026" s="113"/>
      <c r="F4026" s="113"/>
      <c r="G4026" s="112"/>
      <c r="H4026" s="112"/>
      <c r="Z4026" s="112"/>
      <c r="AA4026" s="112"/>
    </row>
    <row r="4027" spans="3:27" x14ac:dyDescent="0.25">
      <c r="C4027" s="112"/>
      <c r="D4027" s="112"/>
      <c r="E4027" s="113"/>
      <c r="F4027" s="113"/>
      <c r="G4027" s="112"/>
      <c r="H4027" s="112"/>
      <c r="Z4027" s="112"/>
      <c r="AA4027" s="112"/>
    </row>
    <row r="4028" spans="3:27" x14ac:dyDescent="0.25">
      <c r="C4028" s="112"/>
      <c r="D4028" s="112"/>
      <c r="E4028" s="113"/>
      <c r="F4028" s="113"/>
      <c r="G4028" s="112"/>
      <c r="H4028" s="112"/>
      <c r="Z4028" s="112"/>
      <c r="AA4028" s="112"/>
    </row>
    <row r="4029" spans="3:27" x14ac:dyDescent="0.25">
      <c r="C4029" s="112"/>
      <c r="D4029" s="112"/>
      <c r="E4029" s="113"/>
      <c r="F4029" s="113"/>
      <c r="G4029" s="112"/>
      <c r="H4029" s="112"/>
      <c r="Z4029" s="112"/>
      <c r="AA4029" s="112"/>
    </row>
    <row r="4030" spans="3:27" x14ac:dyDescent="0.25">
      <c r="C4030" s="112"/>
      <c r="D4030" s="112"/>
      <c r="E4030" s="113"/>
      <c r="F4030" s="113"/>
      <c r="G4030" s="112"/>
      <c r="H4030" s="112"/>
      <c r="Z4030" s="112"/>
      <c r="AA4030" s="112"/>
    </row>
    <row r="4031" spans="3:27" x14ac:dyDescent="0.25">
      <c r="C4031" s="112"/>
      <c r="D4031" s="112"/>
      <c r="E4031" s="113"/>
      <c r="F4031" s="113"/>
      <c r="G4031" s="112"/>
      <c r="H4031" s="112"/>
      <c r="Z4031" s="112"/>
      <c r="AA4031" s="112"/>
    </row>
    <row r="4032" spans="3:27" x14ac:dyDescent="0.25">
      <c r="C4032" s="112"/>
      <c r="D4032" s="112"/>
      <c r="E4032" s="113"/>
      <c r="F4032" s="113"/>
      <c r="G4032" s="112"/>
      <c r="H4032" s="112"/>
      <c r="Z4032" s="112"/>
      <c r="AA4032" s="112"/>
    </row>
    <row r="4033" spans="3:27" x14ac:dyDescent="0.25">
      <c r="C4033" s="112"/>
      <c r="D4033" s="112"/>
      <c r="E4033" s="113"/>
      <c r="F4033" s="113"/>
      <c r="G4033" s="112"/>
      <c r="H4033" s="112"/>
      <c r="Z4033" s="112"/>
      <c r="AA4033" s="112"/>
    </row>
    <row r="4034" spans="3:27" x14ac:dyDescent="0.25">
      <c r="C4034" s="112"/>
      <c r="D4034" s="112"/>
      <c r="E4034" s="113"/>
      <c r="F4034" s="113"/>
      <c r="G4034" s="112"/>
      <c r="H4034" s="112"/>
      <c r="Z4034" s="112"/>
      <c r="AA4034" s="112"/>
    </row>
    <row r="4035" spans="3:27" x14ac:dyDescent="0.25">
      <c r="C4035" s="112"/>
      <c r="D4035" s="112"/>
      <c r="E4035" s="113"/>
      <c r="F4035" s="113"/>
      <c r="G4035" s="112"/>
      <c r="H4035" s="112"/>
      <c r="Z4035" s="112"/>
      <c r="AA4035" s="112"/>
    </row>
    <row r="4036" spans="3:27" x14ac:dyDescent="0.25">
      <c r="C4036" s="112"/>
      <c r="D4036" s="112"/>
      <c r="E4036" s="113"/>
      <c r="F4036" s="113"/>
      <c r="G4036" s="112"/>
      <c r="H4036" s="112"/>
      <c r="Z4036" s="112"/>
      <c r="AA4036" s="112"/>
    </row>
    <row r="4037" spans="3:27" x14ac:dyDescent="0.25">
      <c r="C4037" s="112"/>
      <c r="D4037" s="112"/>
      <c r="E4037" s="113"/>
      <c r="F4037" s="113"/>
      <c r="G4037" s="112"/>
      <c r="H4037" s="112"/>
      <c r="Z4037" s="112"/>
      <c r="AA4037" s="112"/>
    </row>
    <row r="4038" spans="3:27" x14ac:dyDescent="0.25">
      <c r="C4038" s="112"/>
      <c r="D4038" s="112"/>
      <c r="E4038" s="113"/>
      <c r="F4038" s="113"/>
      <c r="G4038" s="112"/>
      <c r="H4038" s="112"/>
      <c r="Z4038" s="112"/>
      <c r="AA4038" s="112"/>
    </row>
    <row r="4039" spans="3:27" x14ac:dyDescent="0.25">
      <c r="C4039" s="112"/>
      <c r="D4039" s="112"/>
      <c r="E4039" s="113"/>
      <c r="F4039" s="113"/>
      <c r="G4039" s="112"/>
      <c r="H4039" s="112"/>
      <c r="Z4039" s="112"/>
      <c r="AA4039" s="112"/>
    </row>
    <row r="4040" spans="3:27" x14ac:dyDescent="0.25">
      <c r="C4040" s="112"/>
      <c r="D4040" s="112"/>
      <c r="E4040" s="113"/>
      <c r="F4040" s="113"/>
      <c r="G4040" s="112"/>
      <c r="H4040" s="112"/>
      <c r="Z4040" s="112"/>
      <c r="AA4040" s="112"/>
    </row>
    <row r="4041" spans="3:27" x14ac:dyDescent="0.25">
      <c r="C4041" s="112"/>
      <c r="D4041" s="112"/>
      <c r="E4041" s="113"/>
      <c r="F4041" s="113"/>
      <c r="G4041" s="112"/>
      <c r="H4041" s="112"/>
      <c r="Z4041" s="112"/>
      <c r="AA4041" s="112"/>
    </row>
    <row r="4042" spans="3:27" x14ac:dyDescent="0.25">
      <c r="C4042" s="112"/>
      <c r="D4042" s="112"/>
      <c r="E4042" s="113"/>
      <c r="F4042" s="113"/>
      <c r="G4042" s="112"/>
      <c r="H4042" s="112"/>
      <c r="Z4042" s="112"/>
      <c r="AA4042" s="112"/>
    </row>
    <row r="4043" spans="3:27" x14ac:dyDescent="0.25">
      <c r="C4043" s="112"/>
      <c r="D4043" s="112"/>
      <c r="E4043" s="113"/>
      <c r="F4043" s="113"/>
      <c r="G4043" s="112"/>
      <c r="H4043" s="112"/>
      <c r="Z4043" s="112"/>
      <c r="AA4043" s="112"/>
    </row>
    <row r="4044" spans="3:27" x14ac:dyDescent="0.25">
      <c r="C4044" s="112"/>
      <c r="D4044" s="112"/>
      <c r="E4044" s="113"/>
      <c r="F4044" s="113"/>
      <c r="G4044" s="112"/>
      <c r="H4044" s="112"/>
      <c r="Z4044" s="112"/>
      <c r="AA4044" s="112"/>
    </row>
    <row r="4045" spans="3:27" x14ac:dyDescent="0.25">
      <c r="C4045" s="112"/>
      <c r="D4045" s="112"/>
      <c r="E4045" s="113"/>
      <c r="F4045" s="113"/>
      <c r="G4045" s="112"/>
      <c r="H4045" s="112"/>
      <c r="Z4045" s="112"/>
      <c r="AA4045" s="112"/>
    </row>
    <row r="4046" spans="3:27" x14ac:dyDescent="0.25">
      <c r="C4046" s="112"/>
      <c r="D4046" s="112"/>
      <c r="E4046" s="113"/>
      <c r="F4046" s="113"/>
      <c r="G4046" s="112"/>
      <c r="H4046" s="112"/>
      <c r="Z4046" s="112"/>
      <c r="AA4046" s="112"/>
    </row>
    <row r="4047" spans="3:27" x14ac:dyDescent="0.25">
      <c r="C4047" s="112"/>
      <c r="D4047" s="112"/>
      <c r="E4047" s="113"/>
      <c r="F4047" s="113"/>
      <c r="G4047" s="112"/>
      <c r="H4047" s="112"/>
      <c r="Z4047" s="112"/>
      <c r="AA4047" s="112"/>
    </row>
    <row r="4048" spans="3:27" x14ac:dyDescent="0.25">
      <c r="C4048" s="112"/>
      <c r="D4048" s="112"/>
      <c r="E4048" s="113"/>
      <c r="F4048" s="113"/>
      <c r="G4048" s="112"/>
      <c r="H4048" s="112"/>
      <c r="Z4048" s="112"/>
      <c r="AA4048" s="112"/>
    </row>
    <row r="4049" spans="3:27" x14ac:dyDescent="0.25">
      <c r="C4049" s="112"/>
      <c r="D4049" s="112"/>
      <c r="E4049" s="113"/>
      <c r="F4049" s="113"/>
      <c r="G4049" s="112"/>
      <c r="H4049" s="112"/>
      <c r="Z4049" s="112"/>
      <c r="AA4049" s="112"/>
    </row>
    <row r="4050" spans="3:27" x14ac:dyDescent="0.25">
      <c r="C4050" s="112"/>
      <c r="D4050" s="112"/>
      <c r="E4050" s="113"/>
      <c r="F4050" s="113"/>
      <c r="G4050" s="112"/>
      <c r="H4050" s="112"/>
      <c r="Z4050" s="112"/>
      <c r="AA4050" s="112"/>
    </row>
    <row r="4051" spans="3:27" x14ac:dyDescent="0.25">
      <c r="C4051" s="112"/>
      <c r="D4051" s="112"/>
      <c r="E4051" s="113"/>
      <c r="F4051" s="113"/>
      <c r="G4051" s="112"/>
      <c r="H4051" s="112"/>
      <c r="Z4051" s="112"/>
      <c r="AA4051" s="112"/>
    </row>
    <row r="4052" spans="3:27" x14ac:dyDescent="0.25">
      <c r="C4052" s="112"/>
      <c r="D4052" s="112"/>
      <c r="E4052" s="113"/>
      <c r="F4052" s="113"/>
      <c r="G4052" s="112"/>
      <c r="H4052" s="112"/>
      <c r="Z4052" s="112"/>
      <c r="AA4052" s="112"/>
    </row>
    <row r="4053" spans="3:27" x14ac:dyDescent="0.25">
      <c r="C4053" s="112"/>
      <c r="D4053" s="112"/>
      <c r="E4053" s="113"/>
      <c r="F4053" s="113"/>
      <c r="G4053" s="112"/>
      <c r="H4053" s="112"/>
      <c r="Z4053" s="112"/>
      <c r="AA4053" s="112"/>
    </row>
    <row r="4054" spans="3:27" x14ac:dyDescent="0.25">
      <c r="C4054" s="112"/>
      <c r="D4054" s="112"/>
      <c r="E4054" s="113"/>
      <c r="F4054" s="113"/>
      <c r="G4054" s="112"/>
      <c r="H4054" s="112"/>
      <c r="Z4054" s="112"/>
      <c r="AA4054" s="112"/>
    </row>
    <row r="4055" spans="3:27" x14ac:dyDescent="0.25">
      <c r="C4055" s="112"/>
      <c r="D4055" s="112"/>
      <c r="E4055" s="113"/>
      <c r="F4055" s="113"/>
      <c r="G4055" s="112"/>
      <c r="H4055" s="112"/>
      <c r="Z4055" s="112"/>
      <c r="AA4055" s="112"/>
    </row>
    <row r="4056" spans="3:27" x14ac:dyDescent="0.25">
      <c r="C4056" s="112"/>
      <c r="D4056" s="112"/>
      <c r="E4056" s="113"/>
      <c r="F4056" s="113"/>
      <c r="G4056" s="112"/>
      <c r="H4056" s="112"/>
      <c r="Z4056" s="112"/>
      <c r="AA4056" s="112"/>
    </row>
    <row r="4057" spans="3:27" x14ac:dyDescent="0.25">
      <c r="C4057" s="112"/>
      <c r="D4057" s="112"/>
      <c r="E4057" s="113"/>
      <c r="F4057" s="113"/>
      <c r="G4057" s="112"/>
      <c r="H4057" s="112"/>
      <c r="Z4057" s="112"/>
      <c r="AA4057" s="112"/>
    </row>
    <row r="4058" spans="3:27" x14ac:dyDescent="0.25">
      <c r="C4058" s="112"/>
      <c r="D4058" s="112"/>
      <c r="E4058" s="113"/>
      <c r="F4058" s="113"/>
      <c r="G4058" s="112"/>
      <c r="H4058" s="112"/>
      <c r="Z4058" s="112"/>
      <c r="AA4058" s="112"/>
    </row>
    <row r="4059" spans="3:27" x14ac:dyDescent="0.25">
      <c r="C4059" s="112"/>
      <c r="D4059" s="112"/>
      <c r="E4059" s="113"/>
      <c r="F4059" s="113"/>
      <c r="G4059" s="112"/>
      <c r="H4059" s="112"/>
      <c r="Z4059" s="112"/>
      <c r="AA4059" s="112"/>
    </row>
    <row r="4060" spans="3:27" x14ac:dyDescent="0.25">
      <c r="C4060" s="112"/>
      <c r="D4060" s="112"/>
      <c r="E4060" s="113"/>
      <c r="F4060" s="113"/>
      <c r="G4060" s="112"/>
      <c r="H4060" s="112"/>
      <c r="Z4060" s="112"/>
      <c r="AA4060" s="112"/>
    </row>
    <row r="4061" spans="3:27" x14ac:dyDescent="0.25">
      <c r="C4061" s="112"/>
      <c r="D4061" s="112"/>
      <c r="E4061" s="113"/>
      <c r="F4061" s="113"/>
      <c r="G4061" s="112"/>
      <c r="H4061" s="112"/>
      <c r="Z4061" s="112"/>
      <c r="AA4061" s="112"/>
    </row>
    <row r="4062" spans="3:27" x14ac:dyDescent="0.25">
      <c r="C4062" s="112"/>
      <c r="D4062" s="112"/>
      <c r="E4062" s="113"/>
      <c r="F4062" s="113"/>
      <c r="G4062" s="112"/>
      <c r="H4062" s="112"/>
      <c r="Z4062" s="112"/>
      <c r="AA4062" s="112"/>
    </row>
    <row r="4063" spans="3:27" x14ac:dyDescent="0.25">
      <c r="C4063" s="112"/>
      <c r="D4063" s="112"/>
      <c r="E4063" s="113"/>
      <c r="F4063" s="113"/>
      <c r="G4063" s="112"/>
      <c r="H4063" s="112"/>
      <c r="Z4063" s="112"/>
      <c r="AA4063" s="112"/>
    </row>
    <row r="4064" spans="3:27" x14ac:dyDescent="0.25">
      <c r="C4064" s="112"/>
      <c r="D4064" s="112"/>
      <c r="E4064" s="113"/>
      <c r="F4064" s="113"/>
      <c r="G4064" s="112"/>
      <c r="H4064" s="112"/>
      <c r="Z4064" s="112"/>
      <c r="AA4064" s="112"/>
    </row>
    <row r="4065" spans="3:27" x14ac:dyDescent="0.25">
      <c r="C4065" s="112"/>
      <c r="D4065" s="112"/>
      <c r="E4065" s="113"/>
      <c r="F4065" s="113"/>
      <c r="G4065" s="112"/>
      <c r="H4065" s="112"/>
      <c r="Z4065" s="112"/>
      <c r="AA4065" s="112"/>
    </row>
    <row r="4066" spans="3:27" x14ac:dyDescent="0.25">
      <c r="C4066" s="112"/>
      <c r="D4066" s="112"/>
      <c r="E4066" s="113"/>
      <c r="F4066" s="113"/>
      <c r="G4066" s="112"/>
      <c r="H4066" s="112"/>
      <c r="Z4066" s="112"/>
      <c r="AA4066" s="112"/>
    </row>
    <row r="4067" spans="3:27" x14ac:dyDescent="0.25">
      <c r="C4067" s="112"/>
      <c r="D4067" s="112"/>
      <c r="E4067" s="113"/>
      <c r="F4067" s="113"/>
      <c r="G4067" s="112"/>
      <c r="H4067" s="112"/>
      <c r="Z4067" s="112"/>
      <c r="AA4067" s="112"/>
    </row>
    <row r="4068" spans="3:27" x14ac:dyDescent="0.25">
      <c r="C4068" s="112"/>
      <c r="D4068" s="112"/>
      <c r="E4068" s="113"/>
      <c r="F4068" s="113"/>
      <c r="G4068" s="112"/>
      <c r="H4068" s="112"/>
      <c r="Z4068" s="112"/>
      <c r="AA4068" s="112"/>
    </row>
    <row r="4069" spans="3:27" x14ac:dyDescent="0.25">
      <c r="C4069" s="112"/>
      <c r="D4069" s="112"/>
      <c r="E4069" s="113"/>
      <c r="F4069" s="113"/>
      <c r="G4069" s="112"/>
      <c r="H4069" s="112"/>
      <c r="Z4069" s="112"/>
      <c r="AA4069" s="112"/>
    </row>
    <row r="4070" spans="3:27" x14ac:dyDescent="0.25">
      <c r="C4070" s="112"/>
      <c r="D4070" s="112"/>
      <c r="E4070" s="113"/>
      <c r="F4070" s="113"/>
      <c r="G4070" s="112"/>
      <c r="H4070" s="112"/>
      <c r="Z4070" s="112"/>
      <c r="AA4070" s="112"/>
    </row>
    <row r="4071" spans="3:27" x14ac:dyDescent="0.25">
      <c r="C4071" s="112"/>
      <c r="D4071" s="112"/>
      <c r="E4071" s="113"/>
      <c r="F4071" s="113"/>
      <c r="G4071" s="112"/>
      <c r="H4071" s="112"/>
      <c r="Z4071" s="112"/>
      <c r="AA4071" s="112"/>
    </row>
    <row r="4072" spans="3:27" x14ac:dyDescent="0.25">
      <c r="C4072" s="112"/>
      <c r="D4072" s="112"/>
      <c r="E4072" s="113"/>
      <c r="F4072" s="113"/>
      <c r="G4072" s="112"/>
      <c r="H4072" s="112"/>
      <c r="Z4072" s="112"/>
      <c r="AA4072" s="112"/>
    </row>
    <row r="4073" spans="3:27" x14ac:dyDescent="0.25">
      <c r="C4073" s="112"/>
      <c r="D4073" s="112"/>
      <c r="E4073" s="113"/>
      <c r="F4073" s="113"/>
      <c r="G4073" s="112"/>
      <c r="H4073" s="112"/>
      <c r="Z4073" s="112"/>
      <c r="AA4073" s="112"/>
    </row>
    <row r="4074" spans="3:27" x14ac:dyDescent="0.25">
      <c r="C4074" s="112"/>
      <c r="D4074" s="112"/>
      <c r="E4074" s="113"/>
      <c r="F4074" s="113"/>
      <c r="G4074" s="112"/>
      <c r="H4074" s="112"/>
      <c r="Z4074" s="112"/>
      <c r="AA4074" s="112"/>
    </row>
    <row r="4075" spans="3:27" x14ac:dyDescent="0.25">
      <c r="C4075" s="112"/>
      <c r="D4075" s="112"/>
      <c r="E4075" s="113"/>
      <c r="F4075" s="113"/>
      <c r="G4075" s="112"/>
      <c r="H4075" s="112"/>
      <c r="Z4075" s="112"/>
      <c r="AA4075" s="112"/>
    </row>
    <row r="4076" spans="3:27" x14ac:dyDescent="0.25">
      <c r="C4076" s="112"/>
      <c r="D4076" s="112"/>
      <c r="E4076" s="113"/>
      <c r="F4076" s="113"/>
      <c r="G4076" s="112"/>
      <c r="H4076" s="112"/>
      <c r="Z4076" s="112"/>
      <c r="AA4076" s="112"/>
    </row>
    <row r="4077" spans="3:27" x14ac:dyDescent="0.25">
      <c r="C4077" s="112"/>
      <c r="D4077" s="112"/>
      <c r="E4077" s="113"/>
      <c r="F4077" s="113"/>
      <c r="G4077" s="112"/>
      <c r="H4077" s="112"/>
      <c r="Z4077" s="112"/>
      <c r="AA4077" s="112"/>
    </row>
    <row r="4078" spans="3:27" x14ac:dyDescent="0.25">
      <c r="C4078" s="112"/>
      <c r="D4078" s="112"/>
      <c r="E4078" s="113"/>
      <c r="F4078" s="113"/>
      <c r="G4078" s="112"/>
      <c r="H4078" s="112"/>
      <c r="Z4078" s="112"/>
      <c r="AA4078" s="112"/>
    </row>
    <row r="4079" spans="3:27" x14ac:dyDescent="0.25">
      <c r="C4079" s="112"/>
      <c r="D4079" s="112"/>
      <c r="E4079" s="113"/>
      <c r="F4079" s="113"/>
      <c r="G4079" s="112"/>
      <c r="H4079" s="112"/>
      <c r="Z4079" s="112"/>
      <c r="AA4079" s="112"/>
    </row>
    <row r="4080" spans="3:27" x14ac:dyDescent="0.25">
      <c r="C4080" s="112"/>
      <c r="D4080" s="112"/>
      <c r="E4080" s="113"/>
      <c r="F4080" s="113"/>
      <c r="G4080" s="112"/>
      <c r="H4080" s="112"/>
      <c r="Z4080" s="112"/>
      <c r="AA4080" s="112"/>
    </row>
    <row r="4081" spans="3:27" x14ac:dyDescent="0.25">
      <c r="C4081" s="112"/>
      <c r="D4081" s="112"/>
      <c r="E4081" s="113"/>
      <c r="F4081" s="113"/>
      <c r="G4081" s="112"/>
      <c r="H4081" s="112"/>
      <c r="Z4081" s="112"/>
      <c r="AA4081" s="112"/>
    </row>
    <row r="4082" spans="3:27" x14ac:dyDescent="0.25">
      <c r="C4082" s="112"/>
      <c r="D4082" s="112"/>
      <c r="E4082" s="113"/>
      <c r="F4082" s="113"/>
      <c r="G4082" s="112"/>
      <c r="H4082" s="112"/>
      <c r="Z4082" s="112"/>
      <c r="AA4082" s="112"/>
    </row>
    <row r="4083" spans="3:27" x14ac:dyDescent="0.25">
      <c r="C4083" s="112"/>
      <c r="D4083" s="112"/>
      <c r="E4083" s="113"/>
      <c r="F4083" s="113"/>
      <c r="G4083" s="112"/>
      <c r="H4083" s="112"/>
      <c r="Z4083" s="112"/>
      <c r="AA4083" s="112"/>
    </row>
    <row r="4084" spans="3:27" x14ac:dyDescent="0.25">
      <c r="C4084" s="112"/>
      <c r="D4084" s="112"/>
      <c r="E4084" s="113"/>
      <c r="F4084" s="113"/>
      <c r="G4084" s="112"/>
      <c r="H4084" s="112"/>
      <c r="Z4084" s="112"/>
      <c r="AA4084" s="112"/>
    </row>
    <row r="4085" spans="3:27" x14ac:dyDescent="0.25">
      <c r="C4085" s="112"/>
      <c r="D4085" s="112"/>
      <c r="E4085" s="113"/>
      <c r="F4085" s="113"/>
      <c r="G4085" s="112"/>
      <c r="H4085" s="112"/>
      <c r="Z4085" s="112"/>
      <c r="AA4085" s="112"/>
    </row>
    <row r="4086" spans="3:27" x14ac:dyDescent="0.25">
      <c r="C4086" s="112"/>
      <c r="D4086" s="112"/>
      <c r="E4086" s="113"/>
      <c r="F4086" s="113"/>
      <c r="G4086" s="112"/>
      <c r="H4086" s="112"/>
      <c r="Z4086" s="112"/>
      <c r="AA4086" s="112"/>
    </row>
    <row r="4087" spans="3:27" x14ac:dyDescent="0.25">
      <c r="C4087" s="112"/>
      <c r="D4087" s="112"/>
      <c r="E4087" s="113"/>
      <c r="F4087" s="113"/>
      <c r="G4087" s="112"/>
      <c r="H4087" s="112"/>
      <c r="Z4087" s="112"/>
      <c r="AA4087" s="112"/>
    </row>
    <row r="4088" spans="3:27" x14ac:dyDescent="0.25">
      <c r="C4088" s="112"/>
      <c r="D4088" s="112"/>
      <c r="E4088" s="113"/>
      <c r="F4088" s="113"/>
      <c r="G4088" s="112"/>
      <c r="H4088" s="112"/>
      <c r="Z4088" s="112"/>
      <c r="AA4088" s="112"/>
    </row>
    <row r="4089" spans="3:27" x14ac:dyDescent="0.25">
      <c r="C4089" s="112"/>
      <c r="D4089" s="112"/>
      <c r="E4089" s="113"/>
      <c r="F4089" s="113"/>
      <c r="G4089" s="112"/>
      <c r="H4089" s="112"/>
      <c r="Z4089" s="112"/>
      <c r="AA4089" s="112"/>
    </row>
    <row r="4090" spans="3:27" x14ac:dyDescent="0.25">
      <c r="C4090" s="112"/>
      <c r="D4090" s="112"/>
      <c r="E4090" s="113"/>
      <c r="F4090" s="113"/>
      <c r="G4090" s="112"/>
      <c r="H4090" s="112"/>
      <c r="Z4090" s="112"/>
      <c r="AA4090" s="112"/>
    </row>
    <row r="4091" spans="3:27" x14ac:dyDescent="0.25">
      <c r="C4091" s="112"/>
      <c r="D4091" s="112"/>
      <c r="E4091" s="113"/>
      <c r="F4091" s="113"/>
      <c r="G4091" s="112"/>
      <c r="H4091" s="112"/>
      <c r="Z4091" s="112"/>
      <c r="AA4091" s="112"/>
    </row>
    <row r="4092" spans="3:27" x14ac:dyDescent="0.25">
      <c r="C4092" s="112"/>
      <c r="D4092" s="112"/>
      <c r="E4092" s="113"/>
      <c r="F4092" s="113"/>
      <c r="G4092" s="112"/>
      <c r="H4092" s="112"/>
      <c r="Z4092" s="112"/>
      <c r="AA4092" s="112"/>
    </row>
    <row r="4093" spans="3:27" x14ac:dyDescent="0.25">
      <c r="C4093" s="112"/>
      <c r="D4093" s="112"/>
      <c r="E4093" s="113"/>
      <c r="F4093" s="113"/>
      <c r="G4093" s="112"/>
      <c r="H4093" s="112"/>
      <c r="Z4093" s="112"/>
      <c r="AA4093" s="112"/>
    </row>
    <row r="4094" spans="3:27" x14ac:dyDescent="0.25">
      <c r="C4094" s="112"/>
      <c r="D4094" s="112"/>
      <c r="E4094" s="113"/>
      <c r="F4094" s="113"/>
      <c r="G4094" s="112"/>
      <c r="H4094" s="112"/>
      <c r="Z4094" s="112"/>
      <c r="AA4094" s="112"/>
    </row>
    <row r="4095" spans="3:27" x14ac:dyDescent="0.25">
      <c r="C4095" s="112"/>
      <c r="D4095" s="112"/>
      <c r="E4095" s="113"/>
      <c r="F4095" s="113"/>
      <c r="G4095" s="112"/>
      <c r="H4095" s="112"/>
      <c r="Z4095" s="112"/>
      <c r="AA4095" s="112"/>
    </row>
    <row r="4096" spans="3:27" x14ac:dyDescent="0.25">
      <c r="C4096" s="112"/>
      <c r="D4096" s="112"/>
      <c r="E4096" s="113"/>
      <c r="F4096" s="113"/>
      <c r="G4096" s="112"/>
      <c r="H4096" s="112"/>
      <c r="Z4096" s="112"/>
      <c r="AA4096" s="112"/>
    </row>
    <row r="4097" spans="3:27" x14ac:dyDescent="0.25">
      <c r="C4097" s="112"/>
      <c r="D4097" s="112"/>
      <c r="E4097" s="113"/>
      <c r="F4097" s="113"/>
      <c r="G4097" s="112"/>
      <c r="H4097" s="112"/>
      <c r="Z4097" s="112"/>
      <c r="AA4097" s="112"/>
    </row>
    <row r="4098" spans="3:27" x14ac:dyDescent="0.25">
      <c r="C4098" s="112"/>
      <c r="D4098" s="112"/>
      <c r="E4098" s="113"/>
      <c r="F4098" s="113"/>
      <c r="G4098" s="112"/>
      <c r="H4098" s="112"/>
      <c r="Z4098" s="112"/>
      <c r="AA4098" s="112"/>
    </row>
    <row r="4099" spans="3:27" x14ac:dyDescent="0.25">
      <c r="C4099" s="112"/>
      <c r="D4099" s="112"/>
      <c r="E4099" s="113"/>
      <c r="F4099" s="113"/>
      <c r="G4099" s="112"/>
      <c r="H4099" s="112"/>
      <c r="Z4099" s="112"/>
      <c r="AA4099" s="112"/>
    </row>
    <row r="4100" spans="3:27" x14ac:dyDescent="0.25">
      <c r="C4100" s="112"/>
      <c r="D4100" s="112"/>
      <c r="E4100" s="113"/>
      <c r="F4100" s="113"/>
      <c r="G4100" s="112"/>
      <c r="H4100" s="112"/>
      <c r="Z4100" s="112"/>
      <c r="AA4100" s="112"/>
    </row>
    <row r="4101" spans="3:27" x14ac:dyDescent="0.25">
      <c r="C4101" s="112"/>
      <c r="D4101" s="112"/>
      <c r="E4101" s="113"/>
      <c r="F4101" s="113"/>
      <c r="G4101" s="112"/>
      <c r="H4101" s="112"/>
      <c r="Z4101" s="112"/>
      <c r="AA4101" s="112"/>
    </row>
    <row r="4102" spans="3:27" x14ac:dyDescent="0.25">
      <c r="C4102" s="112"/>
      <c r="D4102" s="112"/>
      <c r="E4102" s="113"/>
      <c r="F4102" s="113"/>
      <c r="G4102" s="112"/>
      <c r="H4102" s="112"/>
      <c r="Z4102" s="112"/>
      <c r="AA4102" s="112"/>
    </row>
    <row r="4103" spans="3:27" x14ac:dyDescent="0.25">
      <c r="C4103" s="112"/>
      <c r="D4103" s="112"/>
      <c r="E4103" s="113"/>
      <c r="F4103" s="113"/>
      <c r="G4103" s="112"/>
      <c r="H4103" s="112"/>
      <c r="Z4103" s="112"/>
      <c r="AA4103" s="112"/>
    </row>
    <row r="4104" spans="3:27" x14ac:dyDescent="0.25">
      <c r="C4104" s="112"/>
      <c r="D4104" s="112"/>
      <c r="E4104" s="113"/>
      <c r="F4104" s="113"/>
      <c r="G4104" s="112"/>
      <c r="H4104" s="112"/>
      <c r="Z4104" s="112"/>
      <c r="AA4104" s="112"/>
    </row>
    <row r="4105" spans="3:27" x14ac:dyDescent="0.25">
      <c r="C4105" s="112"/>
      <c r="D4105" s="112"/>
      <c r="E4105" s="113"/>
      <c r="F4105" s="113"/>
      <c r="G4105" s="112"/>
      <c r="H4105" s="112"/>
      <c r="Z4105" s="112"/>
      <c r="AA4105" s="112"/>
    </row>
    <row r="4106" spans="3:27" x14ac:dyDescent="0.25">
      <c r="C4106" s="112"/>
      <c r="D4106" s="112"/>
      <c r="E4106" s="113"/>
      <c r="F4106" s="113"/>
      <c r="G4106" s="112"/>
      <c r="H4106" s="112"/>
      <c r="Z4106" s="112"/>
      <c r="AA4106" s="112"/>
    </row>
    <row r="4107" spans="3:27" x14ac:dyDescent="0.25">
      <c r="C4107" s="112"/>
      <c r="D4107" s="112"/>
      <c r="E4107" s="113"/>
      <c r="F4107" s="113"/>
      <c r="G4107" s="112"/>
      <c r="H4107" s="112"/>
      <c r="Z4107" s="112"/>
      <c r="AA4107" s="112"/>
    </row>
    <row r="4108" spans="3:27" x14ac:dyDescent="0.25">
      <c r="C4108" s="112"/>
      <c r="D4108" s="112"/>
      <c r="E4108" s="113"/>
      <c r="F4108" s="113"/>
      <c r="G4108" s="112"/>
      <c r="H4108" s="112"/>
      <c r="Z4108" s="112"/>
      <c r="AA4108" s="112"/>
    </row>
    <row r="4109" spans="3:27" x14ac:dyDescent="0.25">
      <c r="C4109" s="112"/>
      <c r="D4109" s="112"/>
      <c r="E4109" s="113"/>
      <c r="F4109" s="113"/>
      <c r="G4109" s="112"/>
      <c r="H4109" s="112"/>
      <c r="Z4109" s="112"/>
      <c r="AA4109" s="112"/>
    </row>
    <row r="4110" spans="3:27" x14ac:dyDescent="0.25">
      <c r="C4110" s="112"/>
      <c r="D4110" s="112"/>
      <c r="E4110" s="113"/>
      <c r="F4110" s="113"/>
      <c r="G4110" s="112"/>
      <c r="H4110" s="112"/>
      <c r="Z4110" s="112"/>
      <c r="AA4110" s="112"/>
    </row>
    <row r="4111" spans="3:27" x14ac:dyDescent="0.25">
      <c r="C4111" s="112"/>
      <c r="D4111" s="112"/>
      <c r="E4111" s="113"/>
      <c r="F4111" s="113"/>
      <c r="G4111" s="112"/>
      <c r="H4111" s="112"/>
      <c r="Z4111" s="112"/>
      <c r="AA4111" s="112"/>
    </row>
    <row r="4112" spans="3:27" x14ac:dyDescent="0.25">
      <c r="C4112" s="112"/>
      <c r="D4112" s="112"/>
      <c r="E4112" s="113"/>
      <c r="F4112" s="113"/>
      <c r="G4112" s="112"/>
      <c r="H4112" s="112"/>
      <c r="Z4112" s="112"/>
      <c r="AA4112" s="112"/>
    </row>
    <row r="4113" spans="3:27" x14ac:dyDescent="0.25">
      <c r="C4113" s="112"/>
      <c r="D4113" s="112"/>
      <c r="E4113" s="113"/>
      <c r="F4113" s="113"/>
      <c r="G4113" s="112"/>
      <c r="H4113" s="112"/>
      <c r="Z4113" s="112"/>
      <c r="AA4113" s="112"/>
    </row>
    <row r="4114" spans="3:27" x14ac:dyDescent="0.25">
      <c r="C4114" s="112"/>
      <c r="D4114" s="112"/>
      <c r="E4114" s="113"/>
      <c r="F4114" s="113"/>
      <c r="G4114" s="112"/>
      <c r="H4114" s="112"/>
      <c r="Z4114" s="112"/>
      <c r="AA4114" s="112"/>
    </row>
    <row r="4115" spans="3:27" x14ac:dyDescent="0.25">
      <c r="C4115" s="112"/>
      <c r="D4115" s="112"/>
      <c r="E4115" s="113"/>
      <c r="F4115" s="113"/>
      <c r="G4115" s="112"/>
      <c r="H4115" s="112"/>
      <c r="Z4115" s="112"/>
      <c r="AA4115" s="112"/>
    </row>
    <row r="4116" spans="3:27" x14ac:dyDescent="0.25">
      <c r="C4116" s="112"/>
      <c r="D4116" s="112"/>
      <c r="E4116" s="113"/>
      <c r="F4116" s="113"/>
      <c r="G4116" s="112"/>
      <c r="H4116" s="112"/>
      <c r="Z4116" s="112"/>
      <c r="AA4116" s="112"/>
    </row>
    <row r="4117" spans="3:27" x14ac:dyDescent="0.25">
      <c r="C4117" s="112"/>
      <c r="D4117" s="112"/>
      <c r="E4117" s="113"/>
      <c r="F4117" s="113"/>
      <c r="G4117" s="112"/>
      <c r="H4117" s="112"/>
      <c r="Z4117" s="112"/>
      <c r="AA4117" s="112"/>
    </row>
    <row r="4118" spans="3:27" x14ac:dyDescent="0.25">
      <c r="C4118" s="112"/>
      <c r="D4118" s="112"/>
      <c r="E4118" s="113"/>
      <c r="F4118" s="113"/>
      <c r="G4118" s="112"/>
      <c r="H4118" s="112"/>
      <c r="Z4118" s="112"/>
      <c r="AA4118" s="112"/>
    </row>
    <row r="4119" spans="3:27" x14ac:dyDescent="0.25">
      <c r="C4119" s="112"/>
      <c r="D4119" s="112"/>
      <c r="E4119" s="113"/>
      <c r="F4119" s="113"/>
      <c r="G4119" s="112"/>
      <c r="H4119" s="112"/>
      <c r="Z4119" s="112"/>
      <c r="AA4119" s="112"/>
    </row>
    <row r="4120" spans="3:27" x14ac:dyDescent="0.25">
      <c r="C4120" s="112"/>
      <c r="D4120" s="112"/>
      <c r="E4120" s="113"/>
      <c r="F4120" s="113"/>
      <c r="G4120" s="112"/>
      <c r="H4120" s="112"/>
      <c r="Z4120" s="112"/>
      <c r="AA4120" s="112"/>
    </row>
    <row r="4121" spans="3:27" x14ac:dyDescent="0.25">
      <c r="C4121" s="112"/>
      <c r="D4121" s="112"/>
      <c r="E4121" s="113"/>
      <c r="F4121" s="113"/>
      <c r="G4121" s="112"/>
      <c r="H4121" s="112"/>
      <c r="Z4121" s="112"/>
      <c r="AA4121" s="112"/>
    </row>
    <row r="4122" spans="3:27" x14ac:dyDescent="0.25">
      <c r="C4122" s="112"/>
      <c r="D4122" s="112"/>
      <c r="E4122" s="113"/>
      <c r="F4122" s="113"/>
      <c r="G4122" s="112"/>
      <c r="H4122" s="112"/>
      <c r="Z4122" s="112"/>
      <c r="AA4122" s="112"/>
    </row>
    <row r="4123" spans="3:27" x14ac:dyDescent="0.25">
      <c r="C4123" s="112"/>
      <c r="D4123" s="112"/>
      <c r="E4123" s="113"/>
      <c r="F4123" s="113"/>
      <c r="G4123" s="112"/>
      <c r="H4123" s="112"/>
      <c r="Z4123" s="112"/>
      <c r="AA4123" s="112"/>
    </row>
    <row r="4124" spans="3:27" x14ac:dyDescent="0.25">
      <c r="C4124" s="112"/>
      <c r="D4124" s="112"/>
      <c r="E4124" s="113"/>
      <c r="F4124" s="113"/>
      <c r="G4124" s="112"/>
      <c r="H4124" s="112"/>
      <c r="Z4124" s="112"/>
      <c r="AA4124" s="112"/>
    </row>
    <row r="4125" spans="3:27" x14ac:dyDescent="0.25">
      <c r="C4125" s="112"/>
      <c r="D4125" s="112"/>
      <c r="E4125" s="113"/>
      <c r="F4125" s="113"/>
      <c r="G4125" s="112"/>
      <c r="H4125" s="112"/>
      <c r="Z4125" s="112"/>
      <c r="AA4125" s="112"/>
    </row>
    <row r="4126" spans="3:27" x14ac:dyDescent="0.25">
      <c r="C4126" s="112"/>
      <c r="D4126" s="112"/>
      <c r="E4126" s="113"/>
      <c r="F4126" s="113"/>
      <c r="G4126" s="112"/>
      <c r="H4126" s="112"/>
      <c r="Z4126" s="112"/>
      <c r="AA4126" s="112"/>
    </row>
    <row r="4127" spans="3:27" x14ac:dyDescent="0.25">
      <c r="C4127" s="112"/>
      <c r="D4127" s="112"/>
      <c r="E4127" s="113"/>
      <c r="F4127" s="113"/>
      <c r="G4127" s="112"/>
      <c r="H4127" s="112"/>
      <c r="Z4127" s="112"/>
      <c r="AA4127" s="112"/>
    </row>
    <row r="4128" spans="3:27" x14ac:dyDescent="0.25">
      <c r="C4128" s="112"/>
      <c r="D4128" s="112"/>
      <c r="E4128" s="113"/>
      <c r="F4128" s="113"/>
      <c r="G4128" s="112"/>
      <c r="H4128" s="112"/>
      <c r="Z4128" s="112"/>
      <c r="AA4128" s="112"/>
    </row>
    <row r="4129" spans="3:27" x14ac:dyDescent="0.25">
      <c r="C4129" s="112"/>
      <c r="D4129" s="112"/>
      <c r="E4129" s="113"/>
      <c r="F4129" s="113"/>
      <c r="G4129" s="112"/>
      <c r="H4129" s="112"/>
      <c r="Z4129" s="112"/>
      <c r="AA4129" s="112"/>
    </row>
    <row r="4130" spans="3:27" x14ac:dyDescent="0.25">
      <c r="C4130" s="112"/>
      <c r="D4130" s="112"/>
      <c r="E4130" s="113"/>
      <c r="F4130" s="113"/>
      <c r="G4130" s="112"/>
      <c r="H4130" s="112"/>
      <c r="Z4130" s="112"/>
      <c r="AA4130" s="112"/>
    </row>
    <row r="4131" spans="3:27" x14ac:dyDescent="0.25">
      <c r="C4131" s="112"/>
      <c r="D4131" s="112"/>
      <c r="E4131" s="113"/>
      <c r="F4131" s="113"/>
      <c r="G4131" s="112"/>
      <c r="H4131" s="112"/>
      <c r="Z4131" s="112"/>
      <c r="AA4131" s="112"/>
    </row>
    <row r="4132" spans="3:27" x14ac:dyDescent="0.25">
      <c r="C4132" s="112"/>
      <c r="D4132" s="112"/>
      <c r="E4132" s="113"/>
      <c r="F4132" s="113"/>
      <c r="G4132" s="112"/>
      <c r="H4132" s="112"/>
      <c r="Z4132" s="112"/>
      <c r="AA4132" s="112"/>
    </row>
    <row r="4133" spans="3:27" x14ac:dyDescent="0.25">
      <c r="C4133" s="112"/>
      <c r="D4133" s="112"/>
      <c r="E4133" s="113"/>
      <c r="F4133" s="113"/>
      <c r="G4133" s="112"/>
      <c r="H4133" s="112"/>
      <c r="Z4133" s="112"/>
      <c r="AA4133" s="112"/>
    </row>
    <row r="4134" spans="3:27" x14ac:dyDescent="0.25">
      <c r="C4134" s="112"/>
      <c r="D4134" s="112"/>
      <c r="E4134" s="113"/>
      <c r="F4134" s="113"/>
      <c r="G4134" s="112"/>
      <c r="H4134" s="112"/>
      <c r="Z4134" s="112"/>
      <c r="AA4134" s="112"/>
    </row>
    <row r="4135" spans="3:27" x14ac:dyDescent="0.25">
      <c r="C4135" s="112"/>
      <c r="D4135" s="112"/>
      <c r="E4135" s="113"/>
      <c r="F4135" s="113"/>
      <c r="G4135" s="112"/>
      <c r="H4135" s="112"/>
      <c r="Z4135" s="112"/>
      <c r="AA4135" s="112"/>
    </row>
    <row r="4136" spans="3:27" x14ac:dyDescent="0.25">
      <c r="C4136" s="112"/>
      <c r="D4136" s="112"/>
      <c r="E4136" s="113"/>
      <c r="F4136" s="113"/>
      <c r="G4136" s="112"/>
      <c r="H4136" s="112"/>
      <c r="Z4136" s="112"/>
      <c r="AA4136" s="112"/>
    </row>
    <row r="4137" spans="3:27" x14ac:dyDescent="0.25">
      <c r="C4137" s="112"/>
      <c r="D4137" s="112"/>
      <c r="E4137" s="113"/>
      <c r="F4137" s="113"/>
      <c r="G4137" s="112"/>
      <c r="H4137" s="112"/>
      <c r="Z4137" s="112"/>
      <c r="AA4137" s="112"/>
    </row>
    <row r="4138" spans="3:27" x14ac:dyDescent="0.25">
      <c r="C4138" s="112"/>
      <c r="D4138" s="112"/>
      <c r="E4138" s="113"/>
      <c r="F4138" s="113"/>
      <c r="G4138" s="112"/>
      <c r="H4138" s="112"/>
      <c r="Z4138" s="112"/>
      <c r="AA4138" s="112"/>
    </row>
    <row r="4139" spans="3:27" x14ac:dyDescent="0.25">
      <c r="C4139" s="112"/>
      <c r="D4139" s="112"/>
      <c r="E4139" s="113"/>
      <c r="F4139" s="113"/>
      <c r="G4139" s="112"/>
      <c r="H4139" s="112"/>
      <c r="Z4139" s="112"/>
      <c r="AA4139" s="112"/>
    </row>
    <row r="4140" spans="3:27" x14ac:dyDescent="0.25">
      <c r="C4140" s="112"/>
      <c r="D4140" s="112"/>
      <c r="E4140" s="113"/>
      <c r="F4140" s="113"/>
      <c r="G4140" s="112"/>
      <c r="H4140" s="112"/>
      <c r="Z4140" s="112"/>
      <c r="AA4140" s="112"/>
    </row>
    <row r="4141" spans="3:27" x14ac:dyDescent="0.25">
      <c r="C4141" s="112"/>
      <c r="D4141" s="112"/>
      <c r="E4141" s="113"/>
      <c r="F4141" s="113"/>
      <c r="G4141" s="112"/>
      <c r="H4141" s="112"/>
      <c r="Z4141" s="112"/>
      <c r="AA4141" s="112"/>
    </row>
    <row r="4142" spans="3:27" x14ac:dyDescent="0.25">
      <c r="C4142" s="112"/>
      <c r="D4142" s="112"/>
      <c r="E4142" s="113"/>
      <c r="F4142" s="113"/>
      <c r="G4142" s="112"/>
      <c r="H4142" s="112"/>
      <c r="Z4142" s="112"/>
      <c r="AA4142" s="112"/>
    </row>
    <row r="4143" spans="3:27" x14ac:dyDescent="0.25">
      <c r="C4143" s="112"/>
      <c r="D4143" s="112"/>
      <c r="E4143" s="113"/>
      <c r="F4143" s="113"/>
      <c r="G4143" s="112"/>
      <c r="H4143" s="112"/>
      <c r="Z4143" s="112"/>
      <c r="AA4143" s="112"/>
    </row>
    <row r="4144" spans="3:27" x14ac:dyDescent="0.25">
      <c r="C4144" s="112"/>
      <c r="D4144" s="112"/>
      <c r="E4144" s="113"/>
      <c r="F4144" s="113"/>
      <c r="G4144" s="112"/>
      <c r="H4144" s="112"/>
      <c r="Z4144" s="112"/>
      <c r="AA4144" s="112"/>
    </row>
    <row r="4145" spans="3:27" x14ac:dyDescent="0.25">
      <c r="C4145" s="112"/>
      <c r="D4145" s="112"/>
      <c r="E4145" s="113"/>
      <c r="F4145" s="113"/>
      <c r="G4145" s="112"/>
      <c r="H4145" s="112"/>
      <c r="Z4145" s="112"/>
      <c r="AA4145" s="112"/>
    </row>
    <row r="4146" spans="3:27" x14ac:dyDescent="0.25">
      <c r="C4146" s="112"/>
      <c r="D4146" s="112"/>
      <c r="E4146" s="113"/>
      <c r="F4146" s="113"/>
      <c r="G4146" s="112"/>
      <c r="H4146" s="112"/>
      <c r="Z4146" s="112"/>
      <c r="AA4146" s="112"/>
    </row>
    <row r="4147" spans="3:27" x14ac:dyDescent="0.25">
      <c r="C4147" s="112"/>
      <c r="D4147" s="112"/>
      <c r="E4147" s="113"/>
      <c r="F4147" s="113"/>
      <c r="G4147" s="112"/>
      <c r="H4147" s="112"/>
      <c r="Z4147" s="112"/>
      <c r="AA4147" s="112"/>
    </row>
    <row r="4148" spans="3:27" x14ac:dyDescent="0.25">
      <c r="C4148" s="112"/>
      <c r="D4148" s="112"/>
      <c r="E4148" s="113"/>
      <c r="F4148" s="113"/>
      <c r="G4148" s="112"/>
      <c r="H4148" s="112"/>
      <c r="Z4148" s="112"/>
      <c r="AA4148" s="112"/>
    </row>
    <row r="4149" spans="3:27" x14ac:dyDescent="0.25">
      <c r="C4149" s="112"/>
      <c r="D4149" s="112"/>
      <c r="E4149" s="113"/>
      <c r="F4149" s="113"/>
      <c r="G4149" s="112"/>
      <c r="H4149" s="112"/>
      <c r="Z4149" s="112"/>
      <c r="AA4149" s="112"/>
    </row>
    <row r="4150" spans="3:27" x14ac:dyDescent="0.25">
      <c r="C4150" s="112"/>
      <c r="D4150" s="112"/>
      <c r="E4150" s="113"/>
      <c r="F4150" s="113"/>
      <c r="G4150" s="112"/>
      <c r="H4150" s="112"/>
      <c r="Z4150" s="112"/>
      <c r="AA4150" s="112"/>
    </row>
    <row r="4151" spans="3:27" x14ac:dyDescent="0.25">
      <c r="C4151" s="112"/>
      <c r="D4151" s="112"/>
      <c r="E4151" s="113"/>
      <c r="F4151" s="113"/>
      <c r="G4151" s="112"/>
      <c r="H4151" s="112"/>
      <c r="Z4151" s="112"/>
      <c r="AA4151" s="112"/>
    </row>
    <row r="4152" spans="3:27" x14ac:dyDescent="0.25">
      <c r="C4152" s="112"/>
      <c r="D4152" s="112"/>
      <c r="E4152" s="113"/>
      <c r="F4152" s="113"/>
      <c r="G4152" s="112"/>
      <c r="H4152" s="112"/>
      <c r="Z4152" s="112"/>
      <c r="AA4152" s="112"/>
    </row>
    <row r="4153" spans="3:27" x14ac:dyDescent="0.25">
      <c r="C4153" s="112"/>
      <c r="D4153" s="112"/>
      <c r="E4153" s="113"/>
      <c r="F4153" s="113"/>
      <c r="G4153" s="112"/>
      <c r="H4153" s="112"/>
      <c r="Z4153" s="112"/>
      <c r="AA4153" s="112"/>
    </row>
    <row r="4154" spans="3:27" x14ac:dyDescent="0.25">
      <c r="C4154" s="112"/>
      <c r="D4154" s="112"/>
      <c r="E4154" s="113"/>
      <c r="F4154" s="113"/>
      <c r="G4154" s="112"/>
      <c r="H4154" s="112"/>
      <c r="Z4154" s="112"/>
      <c r="AA4154" s="112"/>
    </row>
    <row r="4155" spans="3:27" x14ac:dyDescent="0.25">
      <c r="C4155" s="112"/>
      <c r="D4155" s="112"/>
      <c r="E4155" s="113"/>
      <c r="F4155" s="113"/>
      <c r="G4155" s="112"/>
      <c r="H4155" s="112"/>
      <c r="Z4155" s="112"/>
      <c r="AA4155" s="112"/>
    </row>
    <row r="4156" spans="3:27" x14ac:dyDescent="0.25">
      <c r="C4156" s="112"/>
      <c r="D4156" s="112"/>
      <c r="E4156" s="113"/>
      <c r="F4156" s="113"/>
      <c r="G4156" s="112"/>
      <c r="H4156" s="112"/>
      <c r="Z4156" s="112"/>
      <c r="AA4156" s="112"/>
    </row>
    <row r="4157" spans="3:27" x14ac:dyDescent="0.25">
      <c r="C4157" s="112"/>
      <c r="D4157" s="112"/>
      <c r="E4157" s="113"/>
      <c r="F4157" s="113"/>
      <c r="G4157" s="112"/>
      <c r="H4157" s="112"/>
      <c r="Z4157" s="112"/>
      <c r="AA4157" s="112"/>
    </row>
    <row r="4158" spans="3:27" x14ac:dyDescent="0.25">
      <c r="C4158" s="112"/>
      <c r="D4158" s="112"/>
      <c r="E4158" s="113"/>
      <c r="F4158" s="113"/>
      <c r="G4158" s="112"/>
      <c r="H4158" s="112"/>
      <c r="Z4158" s="112"/>
      <c r="AA4158" s="112"/>
    </row>
    <row r="4159" spans="3:27" x14ac:dyDescent="0.25">
      <c r="C4159" s="112"/>
      <c r="D4159" s="112"/>
      <c r="E4159" s="113"/>
      <c r="F4159" s="113"/>
      <c r="G4159" s="112"/>
      <c r="H4159" s="112"/>
      <c r="Z4159" s="112"/>
      <c r="AA4159" s="112"/>
    </row>
    <row r="4160" spans="3:27" x14ac:dyDescent="0.25">
      <c r="C4160" s="112"/>
      <c r="D4160" s="112"/>
      <c r="E4160" s="113"/>
      <c r="F4160" s="113"/>
      <c r="G4160" s="112"/>
      <c r="H4160" s="112"/>
      <c r="Z4160" s="112"/>
      <c r="AA4160" s="112"/>
    </row>
    <row r="4161" spans="3:27" x14ac:dyDescent="0.25">
      <c r="C4161" s="112"/>
      <c r="D4161" s="112"/>
      <c r="E4161" s="113"/>
      <c r="F4161" s="113"/>
      <c r="G4161" s="112"/>
      <c r="H4161" s="112"/>
      <c r="Z4161" s="112"/>
      <c r="AA4161" s="112"/>
    </row>
    <row r="4162" spans="3:27" x14ac:dyDescent="0.25">
      <c r="C4162" s="112"/>
      <c r="D4162" s="112"/>
      <c r="E4162" s="113"/>
      <c r="F4162" s="113"/>
      <c r="G4162" s="112"/>
      <c r="H4162" s="112"/>
      <c r="Z4162" s="112"/>
      <c r="AA4162" s="112"/>
    </row>
    <row r="4163" spans="3:27" x14ac:dyDescent="0.25">
      <c r="C4163" s="112"/>
      <c r="D4163" s="112"/>
      <c r="E4163" s="113"/>
      <c r="F4163" s="113"/>
      <c r="G4163" s="112"/>
      <c r="H4163" s="112"/>
      <c r="Z4163" s="112"/>
      <c r="AA4163" s="112"/>
    </row>
    <row r="4164" spans="3:27" x14ac:dyDescent="0.25">
      <c r="C4164" s="112"/>
      <c r="D4164" s="112"/>
      <c r="E4164" s="113"/>
      <c r="F4164" s="113"/>
      <c r="G4164" s="112"/>
      <c r="H4164" s="112"/>
      <c r="Z4164" s="112"/>
      <c r="AA4164" s="112"/>
    </row>
    <row r="4165" spans="3:27" x14ac:dyDescent="0.25">
      <c r="C4165" s="112"/>
      <c r="D4165" s="112"/>
      <c r="E4165" s="113"/>
      <c r="F4165" s="113"/>
      <c r="G4165" s="112"/>
      <c r="H4165" s="112"/>
      <c r="Z4165" s="112"/>
      <c r="AA4165" s="112"/>
    </row>
    <row r="4166" spans="3:27" x14ac:dyDescent="0.25">
      <c r="C4166" s="112"/>
      <c r="D4166" s="112"/>
      <c r="E4166" s="113"/>
      <c r="F4166" s="113"/>
      <c r="G4166" s="112"/>
      <c r="H4166" s="112"/>
      <c r="Z4166" s="112"/>
      <c r="AA4166" s="112"/>
    </row>
    <row r="4167" spans="3:27" x14ac:dyDescent="0.25">
      <c r="C4167" s="112"/>
      <c r="D4167" s="112"/>
      <c r="E4167" s="113"/>
      <c r="F4167" s="113"/>
      <c r="G4167" s="112"/>
      <c r="H4167" s="112"/>
      <c r="Z4167" s="112"/>
      <c r="AA4167" s="112"/>
    </row>
    <row r="4168" spans="3:27" x14ac:dyDescent="0.25">
      <c r="C4168" s="112"/>
      <c r="D4168" s="112"/>
      <c r="E4168" s="113"/>
      <c r="F4168" s="113"/>
      <c r="G4168" s="112"/>
      <c r="H4168" s="112"/>
      <c r="Z4168" s="112"/>
      <c r="AA4168" s="112"/>
    </row>
    <row r="4169" spans="3:27" x14ac:dyDescent="0.25">
      <c r="C4169" s="112"/>
      <c r="D4169" s="112"/>
      <c r="E4169" s="113"/>
      <c r="F4169" s="113"/>
      <c r="G4169" s="112"/>
      <c r="H4169" s="112"/>
      <c r="Z4169" s="112"/>
      <c r="AA4169" s="112"/>
    </row>
    <row r="4170" spans="3:27" x14ac:dyDescent="0.25">
      <c r="C4170" s="112"/>
      <c r="D4170" s="112"/>
      <c r="E4170" s="113"/>
      <c r="F4170" s="113"/>
      <c r="G4170" s="112"/>
      <c r="H4170" s="112"/>
      <c r="Z4170" s="112"/>
      <c r="AA4170" s="112"/>
    </row>
    <row r="4171" spans="3:27" x14ac:dyDescent="0.25">
      <c r="C4171" s="112"/>
      <c r="D4171" s="112"/>
      <c r="E4171" s="113"/>
      <c r="F4171" s="113"/>
      <c r="G4171" s="112"/>
      <c r="H4171" s="112"/>
      <c r="Z4171" s="112"/>
      <c r="AA4171" s="112"/>
    </row>
    <row r="4172" spans="3:27" x14ac:dyDescent="0.25">
      <c r="C4172" s="112"/>
      <c r="D4172" s="112"/>
      <c r="E4172" s="113"/>
      <c r="F4172" s="113"/>
      <c r="G4172" s="112"/>
      <c r="H4172" s="112"/>
      <c r="Z4172" s="112"/>
      <c r="AA4172" s="112"/>
    </row>
    <row r="4173" spans="3:27" x14ac:dyDescent="0.25">
      <c r="C4173" s="112"/>
      <c r="D4173" s="112"/>
      <c r="E4173" s="113"/>
      <c r="F4173" s="113"/>
      <c r="G4173" s="112"/>
      <c r="H4173" s="112"/>
      <c r="Z4173" s="112"/>
      <c r="AA4173" s="112"/>
    </row>
    <row r="4174" spans="3:27" x14ac:dyDescent="0.25">
      <c r="C4174" s="112"/>
      <c r="D4174" s="112"/>
      <c r="E4174" s="113"/>
      <c r="F4174" s="113"/>
      <c r="G4174" s="112"/>
      <c r="H4174" s="112"/>
      <c r="Z4174" s="112"/>
      <c r="AA4174" s="112"/>
    </row>
    <row r="4175" spans="3:27" x14ac:dyDescent="0.25">
      <c r="C4175" s="112"/>
      <c r="D4175" s="112"/>
      <c r="E4175" s="113"/>
      <c r="F4175" s="113"/>
      <c r="G4175" s="112"/>
      <c r="H4175" s="112"/>
      <c r="Z4175" s="112"/>
      <c r="AA4175" s="112"/>
    </row>
    <row r="4176" spans="3:27" x14ac:dyDescent="0.25">
      <c r="C4176" s="112"/>
      <c r="D4176" s="112"/>
      <c r="E4176" s="113"/>
      <c r="F4176" s="113"/>
      <c r="G4176" s="112"/>
      <c r="H4176" s="112"/>
      <c r="Z4176" s="112"/>
      <c r="AA4176" s="112"/>
    </row>
    <row r="4177" spans="3:27" x14ac:dyDescent="0.25">
      <c r="C4177" s="112"/>
      <c r="D4177" s="112"/>
      <c r="E4177" s="113"/>
      <c r="F4177" s="113"/>
      <c r="G4177" s="112"/>
      <c r="H4177" s="112"/>
      <c r="Z4177" s="112"/>
      <c r="AA4177" s="112"/>
    </row>
    <row r="4178" spans="3:27" x14ac:dyDescent="0.25">
      <c r="C4178" s="112"/>
      <c r="D4178" s="112"/>
      <c r="E4178" s="113"/>
      <c r="F4178" s="113"/>
      <c r="G4178" s="112"/>
      <c r="H4178" s="112"/>
      <c r="Z4178" s="112"/>
      <c r="AA4178" s="112"/>
    </row>
    <row r="4179" spans="3:27" x14ac:dyDescent="0.25">
      <c r="C4179" s="112"/>
      <c r="D4179" s="112"/>
      <c r="E4179" s="113"/>
      <c r="F4179" s="113"/>
      <c r="G4179" s="112"/>
      <c r="H4179" s="112"/>
      <c r="Z4179" s="112"/>
      <c r="AA4179" s="112"/>
    </row>
    <row r="4180" spans="3:27" x14ac:dyDescent="0.25">
      <c r="C4180" s="112"/>
      <c r="D4180" s="112"/>
      <c r="E4180" s="113"/>
      <c r="F4180" s="113"/>
      <c r="G4180" s="112"/>
      <c r="H4180" s="112"/>
      <c r="Z4180" s="112"/>
      <c r="AA4180" s="112"/>
    </row>
    <row r="4181" spans="3:27" x14ac:dyDescent="0.25">
      <c r="C4181" s="112"/>
      <c r="D4181" s="112"/>
      <c r="E4181" s="113"/>
      <c r="F4181" s="113"/>
      <c r="G4181" s="112"/>
      <c r="H4181" s="112"/>
      <c r="Z4181" s="112"/>
      <c r="AA4181" s="112"/>
    </row>
    <row r="4182" spans="3:27" x14ac:dyDescent="0.25">
      <c r="C4182" s="112"/>
      <c r="D4182" s="112"/>
      <c r="E4182" s="113"/>
      <c r="F4182" s="113"/>
      <c r="G4182" s="112"/>
      <c r="H4182" s="112"/>
      <c r="Z4182" s="112"/>
      <c r="AA4182" s="112"/>
    </row>
    <row r="4183" spans="3:27" x14ac:dyDescent="0.25">
      <c r="C4183" s="112"/>
      <c r="D4183" s="112"/>
      <c r="E4183" s="113"/>
      <c r="F4183" s="113"/>
      <c r="G4183" s="112"/>
      <c r="H4183" s="112"/>
      <c r="Z4183" s="112"/>
      <c r="AA4183" s="112"/>
    </row>
    <row r="4184" spans="3:27" x14ac:dyDescent="0.25">
      <c r="C4184" s="112"/>
      <c r="D4184" s="112"/>
      <c r="E4184" s="113"/>
      <c r="F4184" s="113"/>
      <c r="G4184" s="112"/>
      <c r="H4184" s="112"/>
      <c r="Z4184" s="112"/>
      <c r="AA4184" s="112"/>
    </row>
    <row r="4185" spans="3:27" x14ac:dyDescent="0.25">
      <c r="C4185" s="112"/>
      <c r="D4185" s="112"/>
      <c r="E4185" s="113"/>
      <c r="F4185" s="113"/>
      <c r="G4185" s="112"/>
      <c r="H4185" s="112"/>
      <c r="Z4185" s="112"/>
      <c r="AA4185" s="112"/>
    </row>
    <row r="4186" spans="3:27" x14ac:dyDescent="0.25">
      <c r="C4186" s="112"/>
      <c r="D4186" s="112"/>
      <c r="E4186" s="113"/>
      <c r="F4186" s="113"/>
      <c r="G4186" s="112"/>
      <c r="H4186" s="112"/>
      <c r="Z4186" s="112"/>
      <c r="AA4186" s="112"/>
    </row>
    <row r="4187" spans="3:27" x14ac:dyDescent="0.25">
      <c r="C4187" s="112"/>
      <c r="D4187" s="112"/>
      <c r="E4187" s="113"/>
      <c r="F4187" s="113"/>
      <c r="G4187" s="112"/>
      <c r="H4187" s="112"/>
      <c r="Z4187" s="112"/>
      <c r="AA4187" s="112"/>
    </row>
    <row r="4188" spans="3:27" x14ac:dyDescent="0.25">
      <c r="C4188" s="112"/>
      <c r="D4188" s="112"/>
      <c r="E4188" s="113"/>
      <c r="F4188" s="113"/>
      <c r="G4188" s="112"/>
      <c r="H4188" s="112"/>
      <c r="Z4188" s="112"/>
      <c r="AA4188" s="112"/>
    </row>
    <row r="4189" spans="3:27" x14ac:dyDescent="0.25">
      <c r="C4189" s="112"/>
      <c r="D4189" s="112"/>
      <c r="E4189" s="113"/>
      <c r="F4189" s="113"/>
      <c r="G4189" s="112"/>
      <c r="H4189" s="112"/>
      <c r="Z4189" s="112"/>
      <c r="AA4189" s="112"/>
    </row>
    <row r="4190" spans="3:27" x14ac:dyDescent="0.25">
      <c r="C4190" s="112"/>
      <c r="D4190" s="112"/>
      <c r="E4190" s="113"/>
      <c r="F4190" s="113"/>
      <c r="G4190" s="112"/>
      <c r="H4190" s="112"/>
      <c r="Z4190" s="112"/>
      <c r="AA4190" s="112"/>
    </row>
    <row r="4191" spans="3:27" x14ac:dyDescent="0.25">
      <c r="C4191" s="112"/>
      <c r="D4191" s="112"/>
      <c r="E4191" s="113"/>
      <c r="F4191" s="113"/>
      <c r="G4191" s="112"/>
      <c r="H4191" s="112"/>
      <c r="Z4191" s="112"/>
      <c r="AA4191" s="112"/>
    </row>
    <row r="4192" spans="3:27" x14ac:dyDescent="0.25">
      <c r="C4192" s="112"/>
      <c r="D4192" s="112"/>
      <c r="E4192" s="113"/>
      <c r="F4192" s="113"/>
      <c r="G4192" s="112"/>
      <c r="H4192" s="112"/>
      <c r="Z4192" s="112"/>
      <c r="AA4192" s="112"/>
    </row>
    <row r="4193" spans="3:27" x14ac:dyDescent="0.25">
      <c r="C4193" s="112"/>
      <c r="D4193" s="112"/>
      <c r="E4193" s="113"/>
      <c r="F4193" s="113"/>
      <c r="G4193" s="112"/>
      <c r="H4193" s="112"/>
      <c r="Z4193" s="112"/>
      <c r="AA4193" s="112"/>
    </row>
    <row r="4194" spans="3:27" x14ac:dyDescent="0.25">
      <c r="C4194" s="112"/>
      <c r="D4194" s="112"/>
      <c r="E4194" s="113"/>
      <c r="F4194" s="113"/>
      <c r="G4194" s="112"/>
      <c r="H4194" s="112"/>
      <c r="Z4194" s="112"/>
      <c r="AA4194" s="112"/>
    </row>
    <row r="4195" spans="3:27" x14ac:dyDescent="0.25">
      <c r="C4195" s="112"/>
      <c r="D4195" s="112"/>
      <c r="E4195" s="113"/>
      <c r="F4195" s="113"/>
      <c r="G4195" s="112"/>
      <c r="H4195" s="112"/>
      <c r="Z4195" s="112"/>
      <c r="AA4195" s="112"/>
    </row>
    <row r="4196" spans="3:27" x14ac:dyDescent="0.25">
      <c r="C4196" s="112"/>
      <c r="D4196" s="112"/>
      <c r="E4196" s="113"/>
      <c r="F4196" s="113"/>
      <c r="G4196" s="112"/>
      <c r="H4196" s="112"/>
      <c r="Z4196" s="112"/>
      <c r="AA4196" s="112"/>
    </row>
    <row r="4197" spans="3:27" x14ac:dyDescent="0.25">
      <c r="C4197" s="112"/>
      <c r="D4197" s="112"/>
      <c r="E4197" s="113"/>
      <c r="F4197" s="113"/>
      <c r="G4197" s="112"/>
      <c r="H4197" s="112"/>
      <c r="Z4197" s="112"/>
      <c r="AA4197" s="112"/>
    </row>
    <row r="4198" spans="3:27" x14ac:dyDescent="0.25">
      <c r="C4198" s="112"/>
      <c r="D4198" s="112"/>
      <c r="E4198" s="113"/>
      <c r="F4198" s="113"/>
      <c r="G4198" s="112"/>
      <c r="H4198" s="112"/>
      <c r="Z4198" s="112"/>
      <c r="AA4198" s="112"/>
    </row>
    <row r="4199" spans="3:27" x14ac:dyDescent="0.25">
      <c r="C4199" s="112"/>
      <c r="D4199" s="112"/>
      <c r="E4199" s="113"/>
      <c r="F4199" s="113"/>
      <c r="G4199" s="112"/>
      <c r="H4199" s="112"/>
      <c r="Z4199" s="112"/>
      <c r="AA4199" s="112"/>
    </row>
    <row r="4200" spans="3:27" x14ac:dyDescent="0.25">
      <c r="C4200" s="112"/>
      <c r="D4200" s="112"/>
      <c r="E4200" s="113"/>
      <c r="F4200" s="113"/>
      <c r="G4200" s="112"/>
      <c r="H4200" s="112"/>
      <c r="Z4200" s="112"/>
      <c r="AA4200" s="112"/>
    </row>
    <row r="4201" spans="3:27" x14ac:dyDescent="0.25">
      <c r="C4201" s="112"/>
      <c r="D4201" s="112"/>
      <c r="E4201" s="113"/>
      <c r="F4201" s="113"/>
      <c r="G4201" s="112"/>
      <c r="H4201" s="112"/>
      <c r="Z4201" s="112"/>
      <c r="AA4201" s="112"/>
    </row>
    <row r="4202" spans="3:27" x14ac:dyDescent="0.25">
      <c r="C4202" s="112"/>
      <c r="D4202" s="112"/>
      <c r="E4202" s="113"/>
      <c r="F4202" s="113"/>
      <c r="G4202" s="112"/>
      <c r="H4202" s="112"/>
      <c r="Z4202" s="112"/>
      <c r="AA4202" s="112"/>
    </row>
    <row r="4203" spans="3:27" x14ac:dyDescent="0.25">
      <c r="C4203" s="112"/>
      <c r="D4203" s="112"/>
      <c r="E4203" s="113"/>
      <c r="F4203" s="113"/>
      <c r="G4203" s="112"/>
      <c r="H4203" s="112"/>
      <c r="Z4203" s="112"/>
      <c r="AA4203" s="112"/>
    </row>
    <row r="4204" spans="3:27" x14ac:dyDescent="0.25">
      <c r="C4204" s="112"/>
      <c r="D4204" s="112"/>
      <c r="E4204" s="113"/>
      <c r="F4204" s="113"/>
      <c r="G4204" s="112"/>
      <c r="H4204" s="112"/>
      <c r="Z4204" s="112"/>
      <c r="AA4204" s="112"/>
    </row>
    <row r="4205" spans="3:27" x14ac:dyDescent="0.25">
      <c r="C4205" s="112"/>
      <c r="D4205" s="112"/>
      <c r="E4205" s="113"/>
      <c r="F4205" s="113"/>
      <c r="G4205" s="112"/>
      <c r="H4205" s="112"/>
      <c r="Z4205" s="112"/>
      <c r="AA4205" s="112"/>
    </row>
    <row r="4206" spans="3:27" x14ac:dyDescent="0.25">
      <c r="C4206" s="112"/>
      <c r="D4206" s="112"/>
      <c r="E4206" s="113"/>
      <c r="F4206" s="113"/>
      <c r="G4206" s="112"/>
      <c r="H4206" s="112"/>
      <c r="Z4206" s="112"/>
      <c r="AA4206" s="112"/>
    </row>
    <row r="4207" spans="3:27" x14ac:dyDescent="0.25">
      <c r="C4207" s="112"/>
      <c r="D4207" s="112"/>
      <c r="E4207" s="113"/>
      <c r="F4207" s="113"/>
      <c r="G4207" s="112"/>
      <c r="H4207" s="112"/>
      <c r="Z4207" s="112"/>
      <c r="AA4207" s="112"/>
    </row>
    <row r="4208" spans="3:27" x14ac:dyDescent="0.25">
      <c r="C4208" s="112"/>
      <c r="D4208" s="112"/>
      <c r="E4208" s="113"/>
      <c r="F4208" s="113"/>
      <c r="G4208" s="112"/>
      <c r="H4208" s="112"/>
      <c r="Z4208" s="112"/>
      <c r="AA4208" s="112"/>
    </row>
    <row r="4209" spans="3:27" x14ac:dyDescent="0.25">
      <c r="C4209" s="112"/>
      <c r="D4209" s="112"/>
      <c r="E4209" s="113"/>
      <c r="F4209" s="113"/>
      <c r="G4209" s="112"/>
      <c r="H4209" s="112"/>
      <c r="Z4209" s="112"/>
      <c r="AA4209" s="112"/>
    </row>
    <row r="4210" spans="3:27" x14ac:dyDescent="0.25">
      <c r="C4210" s="112"/>
      <c r="D4210" s="112"/>
      <c r="E4210" s="113"/>
      <c r="F4210" s="113"/>
      <c r="G4210" s="112"/>
      <c r="H4210" s="112"/>
      <c r="Z4210" s="112"/>
      <c r="AA4210" s="112"/>
    </row>
    <row r="4211" spans="3:27" x14ac:dyDescent="0.25">
      <c r="C4211" s="112"/>
      <c r="D4211" s="112"/>
      <c r="E4211" s="113"/>
      <c r="F4211" s="113"/>
      <c r="G4211" s="112"/>
      <c r="H4211" s="112"/>
      <c r="Z4211" s="112"/>
      <c r="AA4211" s="112"/>
    </row>
    <row r="4212" spans="3:27" x14ac:dyDescent="0.25">
      <c r="C4212" s="112"/>
      <c r="D4212" s="112"/>
      <c r="E4212" s="113"/>
      <c r="F4212" s="113"/>
      <c r="G4212" s="112"/>
      <c r="H4212" s="112"/>
      <c r="Z4212" s="112"/>
      <c r="AA4212" s="112"/>
    </row>
    <row r="4213" spans="3:27" x14ac:dyDescent="0.25">
      <c r="C4213" s="112"/>
      <c r="D4213" s="112"/>
      <c r="E4213" s="113"/>
      <c r="F4213" s="113"/>
      <c r="G4213" s="112"/>
      <c r="H4213" s="112"/>
      <c r="Z4213" s="112"/>
      <c r="AA4213" s="112"/>
    </row>
    <row r="4214" spans="3:27" x14ac:dyDescent="0.25">
      <c r="C4214" s="112"/>
      <c r="D4214" s="112"/>
      <c r="E4214" s="113"/>
      <c r="F4214" s="113"/>
      <c r="G4214" s="112"/>
      <c r="H4214" s="112"/>
      <c r="Z4214" s="112"/>
      <c r="AA4214" s="112"/>
    </row>
    <row r="4215" spans="3:27" x14ac:dyDescent="0.25">
      <c r="C4215" s="112"/>
      <c r="D4215" s="112"/>
      <c r="E4215" s="113"/>
      <c r="F4215" s="113"/>
      <c r="G4215" s="112"/>
      <c r="H4215" s="112"/>
      <c r="Z4215" s="112"/>
      <c r="AA4215" s="112"/>
    </row>
    <row r="4216" spans="3:27" x14ac:dyDescent="0.25">
      <c r="C4216" s="112"/>
      <c r="D4216" s="112"/>
      <c r="E4216" s="113"/>
      <c r="F4216" s="113"/>
      <c r="G4216" s="112"/>
      <c r="H4216" s="112"/>
      <c r="Z4216" s="112"/>
      <c r="AA4216" s="112"/>
    </row>
    <row r="4217" spans="3:27" x14ac:dyDescent="0.25">
      <c r="C4217" s="112"/>
      <c r="D4217" s="112"/>
      <c r="E4217" s="113"/>
      <c r="F4217" s="113"/>
      <c r="G4217" s="112"/>
      <c r="H4217" s="112"/>
      <c r="Z4217" s="112"/>
      <c r="AA4217" s="112"/>
    </row>
    <row r="4218" spans="3:27" x14ac:dyDescent="0.25">
      <c r="C4218" s="112"/>
      <c r="D4218" s="112"/>
      <c r="E4218" s="113"/>
      <c r="F4218" s="113"/>
      <c r="G4218" s="112"/>
      <c r="H4218" s="112"/>
      <c r="Z4218" s="112"/>
      <c r="AA4218" s="112"/>
    </row>
    <row r="4219" spans="3:27" x14ac:dyDescent="0.25">
      <c r="C4219" s="112"/>
      <c r="D4219" s="112"/>
      <c r="E4219" s="113"/>
      <c r="F4219" s="113"/>
      <c r="G4219" s="112"/>
      <c r="H4219" s="112"/>
      <c r="Z4219" s="112"/>
      <c r="AA4219" s="112"/>
    </row>
    <row r="4220" spans="3:27" x14ac:dyDescent="0.25">
      <c r="C4220" s="112"/>
      <c r="D4220" s="112"/>
      <c r="E4220" s="113"/>
      <c r="F4220" s="113"/>
      <c r="G4220" s="112"/>
      <c r="H4220" s="112"/>
      <c r="Z4220" s="112"/>
      <c r="AA4220" s="112"/>
    </row>
    <row r="4221" spans="3:27" x14ac:dyDescent="0.25">
      <c r="C4221" s="112"/>
      <c r="D4221" s="112"/>
      <c r="E4221" s="113"/>
      <c r="F4221" s="113"/>
      <c r="G4221" s="112"/>
      <c r="H4221" s="112"/>
      <c r="Z4221" s="112"/>
      <c r="AA4221" s="112"/>
    </row>
    <row r="4222" spans="3:27" x14ac:dyDescent="0.25">
      <c r="C4222" s="112"/>
      <c r="D4222" s="112"/>
      <c r="E4222" s="113"/>
      <c r="F4222" s="113"/>
      <c r="G4222" s="112"/>
      <c r="H4222" s="112"/>
      <c r="Z4222" s="112"/>
      <c r="AA4222" s="112"/>
    </row>
    <row r="4223" spans="3:27" x14ac:dyDescent="0.25">
      <c r="C4223" s="112"/>
      <c r="D4223" s="112"/>
      <c r="E4223" s="113"/>
      <c r="F4223" s="113"/>
      <c r="G4223" s="112"/>
      <c r="H4223" s="112"/>
      <c r="Z4223" s="112"/>
      <c r="AA4223" s="112"/>
    </row>
    <row r="4224" spans="3:27" x14ac:dyDescent="0.25">
      <c r="C4224" s="112"/>
      <c r="D4224" s="112"/>
      <c r="E4224" s="113"/>
      <c r="F4224" s="113"/>
      <c r="G4224" s="112"/>
      <c r="H4224" s="112"/>
      <c r="Z4224" s="112"/>
      <c r="AA4224" s="112"/>
    </row>
    <row r="4225" spans="3:27" x14ac:dyDescent="0.25">
      <c r="C4225" s="112"/>
      <c r="D4225" s="112"/>
      <c r="E4225" s="113"/>
      <c r="F4225" s="113"/>
      <c r="G4225" s="112"/>
      <c r="H4225" s="112"/>
      <c r="Z4225" s="112"/>
      <c r="AA4225" s="112"/>
    </row>
    <row r="4226" spans="3:27" x14ac:dyDescent="0.25">
      <c r="C4226" s="112"/>
      <c r="D4226" s="112"/>
      <c r="E4226" s="113"/>
      <c r="F4226" s="113"/>
      <c r="G4226" s="112"/>
      <c r="H4226" s="112"/>
      <c r="Z4226" s="112"/>
      <c r="AA4226" s="112"/>
    </row>
    <row r="4227" spans="3:27" x14ac:dyDescent="0.25">
      <c r="C4227" s="112"/>
      <c r="D4227" s="112"/>
      <c r="E4227" s="113"/>
      <c r="F4227" s="113"/>
      <c r="G4227" s="112"/>
      <c r="H4227" s="112"/>
      <c r="Z4227" s="112"/>
      <c r="AA4227" s="112"/>
    </row>
    <row r="4228" spans="3:27" x14ac:dyDescent="0.25">
      <c r="C4228" s="112"/>
      <c r="D4228" s="112"/>
      <c r="E4228" s="113"/>
      <c r="F4228" s="113"/>
      <c r="G4228" s="112"/>
      <c r="H4228" s="112"/>
      <c r="Z4228" s="112"/>
      <c r="AA4228" s="112"/>
    </row>
    <row r="4229" spans="3:27" x14ac:dyDescent="0.25">
      <c r="C4229" s="112"/>
      <c r="D4229" s="112"/>
      <c r="E4229" s="113"/>
      <c r="F4229" s="113"/>
      <c r="G4229" s="112"/>
      <c r="H4229" s="112"/>
      <c r="Z4229" s="112"/>
      <c r="AA4229" s="112"/>
    </row>
    <row r="4230" spans="3:27" x14ac:dyDescent="0.25">
      <c r="C4230" s="112"/>
      <c r="D4230" s="112"/>
      <c r="E4230" s="113"/>
      <c r="F4230" s="113"/>
      <c r="G4230" s="112"/>
      <c r="H4230" s="112"/>
      <c r="Z4230" s="112"/>
      <c r="AA4230" s="112"/>
    </row>
    <row r="4231" spans="3:27" x14ac:dyDescent="0.25">
      <c r="C4231" s="112"/>
      <c r="D4231" s="112"/>
      <c r="E4231" s="113"/>
      <c r="F4231" s="113"/>
      <c r="G4231" s="112"/>
      <c r="H4231" s="112"/>
      <c r="Z4231" s="112"/>
      <c r="AA4231" s="112"/>
    </row>
    <row r="4232" spans="3:27" x14ac:dyDescent="0.25">
      <c r="C4232" s="112"/>
      <c r="D4232" s="112"/>
      <c r="E4232" s="113"/>
      <c r="F4232" s="113"/>
      <c r="G4232" s="112"/>
      <c r="H4232" s="112"/>
      <c r="Z4232" s="112"/>
      <c r="AA4232" s="112"/>
    </row>
    <row r="4233" spans="3:27" x14ac:dyDescent="0.25">
      <c r="C4233" s="112"/>
      <c r="D4233" s="112"/>
      <c r="E4233" s="113"/>
      <c r="F4233" s="113"/>
      <c r="G4233" s="112"/>
      <c r="H4233" s="112"/>
      <c r="Z4233" s="112"/>
      <c r="AA4233" s="112"/>
    </row>
    <row r="4234" spans="3:27" x14ac:dyDescent="0.25">
      <c r="C4234" s="112"/>
      <c r="D4234" s="112"/>
      <c r="E4234" s="113"/>
      <c r="F4234" s="113"/>
      <c r="G4234" s="112"/>
      <c r="H4234" s="112"/>
      <c r="Z4234" s="112"/>
      <c r="AA4234" s="112"/>
    </row>
    <row r="4235" spans="3:27" x14ac:dyDescent="0.25">
      <c r="C4235" s="112"/>
      <c r="D4235" s="112"/>
      <c r="E4235" s="113"/>
      <c r="F4235" s="113"/>
      <c r="G4235" s="112"/>
      <c r="H4235" s="112"/>
      <c r="Z4235" s="112"/>
      <c r="AA4235" s="112"/>
    </row>
    <row r="4236" spans="3:27" x14ac:dyDescent="0.25">
      <c r="C4236" s="112"/>
      <c r="D4236" s="112"/>
      <c r="E4236" s="113"/>
      <c r="F4236" s="113"/>
      <c r="G4236" s="112"/>
      <c r="H4236" s="112"/>
      <c r="Z4236" s="112"/>
      <c r="AA4236" s="112"/>
    </row>
    <row r="4237" spans="3:27" x14ac:dyDescent="0.25">
      <c r="C4237" s="112"/>
      <c r="D4237" s="112"/>
      <c r="E4237" s="113"/>
      <c r="F4237" s="113"/>
      <c r="G4237" s="112"/>
      <c r="H4237" s="112"/>
      <c r="Z4237" s="112"/>
      <c r="AA4237" s="112"/>
    </row>
    <row r="4238" spans="3:27" x14ac:dyDescent="0.25">
      <c r="C4238" s="112"/>
      <c r="D4238" s="112"/>
      <c r="E4238" s="113"/>
      <c r="F4238" s="113"/>
      <c r="G4238" s="112"/>
      <c r="H4238" s="112"/>
      <c r="Z4238" s="112"/>
      <c r="AA4238" s="112"/>
    </row>
    <row r="4239" spans="3:27" x14ac:dyDescent="0.25">
      <c r="C4239" s="112"/>
      <c r="D4239" s="112"/>
      <c r="E4239" s="113"/>
      <c r="F4239" s="113"/>
      <c r="G4239" s="112"/>
      <c r="H4239" s="112"/>
      <c r="Z4239" s="112"/>
      <c r="AA4239" s="112"/>
    </row>
    <row r="4240" spans="3:27" x14ac:dyDescent="0.25">
      <c r="C4240" s="112"/>
      <c r="D4240" s="112"/>
      <c r="E4240" s="113"/>
      <c r="F4240" s="113"/>
      <c r="G4240" s="112"/>
      <c r="H4240" s="112"/>
      <c r="Z4240" s="112"/>
      <c r="AA4240" s="112"/>
    </row>
    <row r="4241" spans="3:27" x14ac:dyDescent="0.25">
      <c r="C4241" s="112"/>
      <c r="D4241" s="112"/>
      <c r="E4241" s="113"/>
      <c r="F4241" s="113"/>
      <c r="G4241" s="112"/>
      <c r="H4241" s="112"/>
      <c r="Z4241" s="112"/>
      <c r="AA4241" s="112"/>
    </row>
    <row r="4242" spans="3:27" x14ac:dyDescent="0.25">
      <c r="C4242" s="112"/>
      <c r="D4242" s="112"/>
      <c r="E4242" s="113"/>
      <c r="F4242" s="113"/>
      <c r="G4242" s="112"/>
      <c r="H4242" s="112"/>
      <c r="Z4242" s="112"/>
      <c r="AA4242" s="112"/>
    </row>
    <row r="4243" spans="3:27" x14ac:dyDescent="0.25">
      <c r="C4243" s="112"/>
      <c r="D4243" s="112"/>
      <c r="E4243" s="113"/>
      <c r="F4243" s="113"/>
      <c r="G4243" s="112"/>
      <c r="H4243" s="112"/>
      <c r="Z4243" s="112"/>
      <c r="AA4243" s="112"/>
    </row>
    <row r="4244" spans="3:27" x14ac:dyDescent="0.25">
      <c r="C4244" s="112"/>
      <c r="D4244" s="112"/>
      <c r="E4244" s="113"/>
      <c r="F4244" s="113"/>
      <c r="G4244" s="112"/>
      <c r="H4244" s="112"/>
      <c r="Z4244" s="112"/>
      <c r="AA4244" s="112"/>
    </row>
    <row r="4245" spans="3:27" x14ac:dyDescent="0.25">
      <c r="C4245" s="112"/>
      <c r="D4245" s="112"/>
      <c r="E4245" s="113"/>
      <c r="F4245" s="113"/>
      <c r="G4245" s="112"/>
      <c r="H4245" s="112"/>
      <c r="Z4245" s="112"/>
      <c r="AA4245" s="112"/>
    </row>
    <row r="4246" spans="3:27" x14ac:dyDescent="0.25">
      <c r="C4246" s="112"/>
      <c r="D4246" s="112"/>
      <c r="E4246" s="113"/>
      <c r="F4246" s="113"/>
      <c r="G4246" s="112"/>
      <c r="H4246" s="112"/>
      <c r="Z4246" s="112"/>
      <c r="AA4246" s="112"/>
    </row>
    <row r="4247" spans="3:27" x14ac:dyDescent="0.25">
      <c r="C4247" s="112"/>
      <c r="D4247" s="112"/>
      <c r="E4247" s="113"/>
      <c r="F4247" s="113"/>
      <c r="G4247" s="112"/>
      <c r="H4247" s="112"/>
      <c r="Z4247" s="112"/>
      <c r="AA4247" s="112"/>
    </row>
    <row r="4248" spans="3:27" x14ac:dyDescent="0.25">
      <c r="C4248" s="112"/>
      <c r="D4248" s="112"/>
      <c r="E4248" s="113"/>
      <c r="F4248" s="113"/>
      <c r="G4248" s="112"/>
      <c r="H4248" s="112"/>
      <c r="Z4248" s="112"/>
      <c r="AA4248" s="112"/>
    </row>
    <row r="4249" spans="3:27" x14ac:dyDescent="0.25">
      <c r="C4249" s="112"/>
      <c r="D4249" s="112"/>
      <c r="E4249" s="113"/>
      <c r="F4249" s="113"/>
      <c r="G4249" s="112"/>
      <c r="H4249" s="112"/>
      <c r="Z4249" s="112"/>
      <c r="AA4249" s="112"/>
    </row>
    <row r="4250" spans="3:27" x14ac:dyDescent="0.25">
      <c r="C4250" s="112"/>
      <c r="D4250" s="112"/>
      <c r="E4250" s="113"/>
      <c r="F4250" s="113"/>
      <c r="G4250" s="112"/>
      <c r="H4250" s="112"/>
      <c r="Z4250" s="112"/>
      <c r="AA4250" s="112"/>
    </row>
    <row r="4251" spans="3:27" x14ac:dyDescent="0.25">
      <c r="C4251" s="112"/>
      <c r="D4251" s="112"/>
      <c r="E4251" s="113"/>
      <c r="F4251" s="113"/>
      <c r="G4251" s="112"/>
      <c r="H4251" s="112"/>
      <c r="Z4251" s="112"/>
      <c r="AA4251" s="112"/>
    </row>
    <row r="4252" spans="3:27" x14ac:dyDescent="0.25">
      <c r="C4252" s="112"/>
      <c r="D4252" s="112"/>
      <c r="E4252" s="113"/>
      <c r="F4252" s="113"/>
      <c r="G4252" s="112"/>
      <c r="H4252" s="112"/>
      <c r="Z4252" s="112"/>
      <c r="AA4252" s="112"/>
    </row>
    <row r="4253" spans="3:27" x14ac:dyDescent="0.25">
      <c r="C4253" s="112"/>
      <c r="D4253" s="112"/>
      <c r="E4253" s="113"/>
      <c r="F4253" s="113"/>
      <c r="G4253" s="112"/>
      <c r="H4253" s="112"/>
      <c r="Z4253" s="112"/>
      <c r="AA4253" s="112"/>
    </row>
    <row r="4254" spans="3:27" x14ac:dyDescent="0.25">
      <c r="C4254" s="112"/>
      <c r="D4254" s="112"/>
      <c r="E4254" s="113"/>
      <c r="F4254" s="113"/>
      <c r="G4254" s="112"/>
      <c r="H4254" s="112"/>
      <c r="Z4254" s="112"/>
      <c r="AA4254" s="112"/>
    </row>
    <row r="4255" spans="3:27" x14ac:dyDescent="0.25">
      <c r="C4255" s="112"/>
      <c r="D4255" s="112"/>
      <c r="E4255" s="113"/>
      <c r="F4255" s="113"/>
      <c r="G4255" s="112"/>
      <c r="H4255" s="112"/>
      <c r="Z4255" s="112"/>
      <c r="AA4255" s="112"/>
    </row>
    <row r="4256" spans="3:27" x14ac:dyDescent="0.25">
      <c r="C4256" s="112"/>
      <c r="D4256" s="112"/>
      <c r="E4256" s="113"/>
      <c r="F4256" s="113"/>
      <c r="G4256" s="112"/>
      <c r="H4256" s="112"/>
      <c r="Z4256" s="112"/>
      <c r="AA4256" s="112"/>
    </row>
    <row r="4257" spans="3:27" x14ac:dyDescent="0.25">
      <c r="C4257" s="112"/>
      <c r="D4257" s="112"/>
      <c r="E4257" s="113"/>
      <c r="F4257" s="113"/>
      <c r="G4257" s="112"/>
      <c r="H4257" s="112"/>
      <c r="Z4257" s="112"/>
      <c r="AA4257" s="112"/>
    </row>
    <row r="4258" spans="3:27" x14ac:dyDescent="0.25">
      <c r="C4258" s="112"/>
      <c r="D4258" s="112"/>
      <c r="E4258" s="113"/>
      <c r="F4258" s="113"/>
      <c r="G4258" s="112"/>
      <c r="H4258" s="112"/>
      <c r="Z4258" s="112"/>
      <c r="AA4258" s="112"/>
    </row>
    <row r="4259" spans="3:27" x14ac:dyDescent="0.25">
      <c r="C4259" s="112"/>
      <c r="D4259" s="112"/>
      <c r="E4259" s="113"/>
      <c r="F4259" s="113"/>
      <c r="G4259" s="112"/>
      <c r="H4259" s="112"/>
      <c r="Z4259" s="112"/>
      <c r="AA4259" s="112"/>
    </row>
    <row r="4260" spans="3:27" x14ac:dyDescent="0.25">
      <c r="C4260" s="112"/>
      <c r="D4260" s="112"/>
      <c r="E4260" s="113"/>
      <c r="F4260" s="113"/>
      <c r="G4260" s="112"/>
      <c r="H4260" s="112"/>
      <c r="Z4260" s="112"/>
      <c r="AA4260" s="112"/>
    </row>
    <row r="4261" spans="3:27" x14ac:dyDescent="0.25">
      <c r="C4261" s="112"/>
      <c r="D4261" s="112"/>
      <c r="E4261" s="113"/>
      <c r="F4261" s="113"/>
      <c r="G4261" s="112"/>
      <c r="H4261" s="112"/>
      <c r="Z4261" s="112"/>
      <c r="AA4261" s="112"/>
    </row>
    <row r="4262" spans="3:27" x14ac:dyDescent="0.25">
      <c r="C4262" s="112"/>
      <c r="D4262" s="112"/>
      <c r="E4262" s="113"/>
      <c r="F4262" s="113"/>
      <c r="G4262" s="112"/>
      <c r="H4262" s="112"/>
      <c r="Z4262" s="112"/>
      <c r="AA4262" s="112"/>
    </row>
    <row r="4263" spans="3:27" x14ac:dyDescent="0.25">
      <c r="C4263" s="112"/>
      <c r="D4263" s="112"/>
      <c r="E4263" s="113"/>
      <c r="F4263" s="113"/>
      <c r="G4263" s="112"/>
      <c r="H4263" s="112"/>
      <c r="Z4263" s="112"/>
      <c r="AA4263" s="112"/>
    </row>
    <row r="4264" spans="3:27" x14ac:dyDescent="0.25">
      <c r="C4264" s="112"/>
      <c r="D4264" s="112"/>
      <c r="E4264" s="113"/>
      <c r="F4264" s="113"/>
      <c r="G4264" s="112"/>
      <c r="H4264" s="112"/>
      <c r="Z4264" s="112"/>
      <c r="AA4264" s="112"/>
    </row>
    <row r="4265" spans="3:27" x14ac:dyDescent="0.25">
      <c r="C4265" s="112"/>
      <c r="D4265" s="112"/>
      <c r="E4265" s="113"/>
      <c r="F4265" s="113"/>
      <c r="G4265" s="112"/>
      <c r="H4265" s="112"/>
      <c r="Z4265" s="112"/>
      <c r="AA4265" s="112"/>
    </row>
    <row r="4266" spans="3:27" x14ac:dyDescent="0.25">
      <c r="C4266" s="112"/>
      <c r="D4266" s="112"/>
      <c r="E4266" s="113"/>
      <c r="F4266" s="113"/>
      <c r="G4266" s="112"/>
      <c r="H4266" s="112"/>
      <c r="Z4266" s="112"/>
      <c r="AA4266" s="112"/>
    </row>
    <row r="4267" spans="3:27" x14ac:dyDescent="0.25">
      <c r="C4267" s="112"/>
      <c r="D4267" s="112"/>
      <c r="E4267" s="113"/>
      <c r="F4267" s="113"/>
      <c r="G4267" s="112"/>
      <c r="H4267" s="112"/>
      <c r="Z4267" s="112"/>
      <c r="AA4267" s="112"/>
    </row>
    <row r="4268" spans="3:27" x14ac:dyDescent="0.25">
      <c r="C4268" s="112"/>
      <c r="D4268" s="112"/>
      <c r="E4268" s="113"/>
      <c r="F4268" s="113"/>
      <c r="G4268" s="112"/>
      <c r="H4268" s="112"/>
      <c r="Z4268" s="112"/>
      <c r="AA4268" s="112"/>
    </row>
    <row r="4269" spans="3:27" x14ac:dyDescent="0.25">
      <c r="C4269" s="112"/>
      <c r="D4269" s="112"/>
      <c r="E4269" s="113"/>
      <c r="F4269" s="113"/>
      <c r="G4269" s="112"/>
      <c r="H4269" s="112"/>
      <c r="Z4269" s="112"/>
      <c r="AA4269" s="112"/>
    </row>
    <row r="4270" spans="3:27" x14ac:dyDescent="0.25">
      <c r="C4270" s="112"/>
      <c r="D4270" s="112"/>
      <c r="E4270" s="113"/>
      <c r="F4270" s="113"/>
      <c r="G4270" s="112"/>
      <c r="H4270" s="112"/>
      <c r="Z4270" s="112"/>
      <c r="AA4270" s="112"/>
    </row>
    <row r="4271" spans="3:27" x14ac:dyDescent="0.25">
      <c r="C4271" s="112"/>
      <c r="D4271" s="112"/>
      <c r="E4271" s="113"/>
      <c r="F4271" s="113"/>
      <c r="G4271" s="112"/>
      <c r="H4271" s="112"/>
      <c r="Z4271" s="112"/>
      <c r="AA4271" s="112"/>
    </row>
    <row r="4272" spans="3:27" x14ac:dyDescent="0.25">
      <c r="C4272" s="112"/>
      <c r="D4272" s="112"/>
      <c r="E4272" s="113"/>
      <c r="F4272" s="113"/>
      <c r="G4272" s="112"/>
      <c r="H4272" s="112"/>
      <c r="Z4272" s="112"/>
      <c r="AA4272" s="112"/>
    </row>
    <row r="4273" spans="3:27" x14ac:dyDescent="0.25">
      <c r="C4273" s="112"/>
      <c r="D4273" s="112"/>
      <c r="E4273" s="113"/>
      <c r="F4273" s="113"/>
      <c r="G4273" s="112"/>
      <c r="H4273" s="112"/>
      <c r="Z4273" s="112"/>
      <c r="AA4273" s="112"/>
    </row>
    <row r="4274" spans="3:27" x14ac:dyDescent="0.25">
      <c r="C4274" s="112"/>
      <c r="D4274" s="112"/>
      <c r="E4274" s="113"/>
      <c r="F4274" s="113"/>
      <c r="G4274" s="112"/>
      <c r="H4274" s="112"/>
      <c r="Z4274" s="112"/>
      <c r="AA4274" s="112"/>
    </row>
    <row r="4275" spans="3:27" x14ac:dyDescent="0.25">
      <c r="C4275" s="112"/>
      <c r="D4275" s="112"/>
      <c r="E4275" s="113"/>
      <c r="F4275" s="113"/>
      <c r="G4275" s="112"/>
      <c r="H4275" s="112"/>
      <c r="Z4275" s="112"/>
      <c r="AA4275" s="112"/>
    </row>
    <row r="4276" spans="3:27" x14ac:dyDescent="0.25">
      <c r="C4276" s="112"/>
      <c r="D4276" s="112"/>
      <c r="E4276" s="113"/>
      <c r="F4276" s="113"/>
      <c r="G4276" s="112"/>
      <c r="H4276" s="112"/>
      <c r="Z4276" s="112"/>
      <c r="AA4276" s="112"/>
    </row>
    <row r="4277" spans="3:27" x14ac:dyDescent="0.25">
      <c r="C4277" s="112"/>
      <c r="D4277" s="112"/>
      <c r="E4277" s="113"/>
      <c r="F4277" s="113"/>
      <c r="G4277" s="112"/>
      <c r="H4277" s="112"/>
      <c r="Z4277" s="112"/>
      <c r="AA4277" s="112"/>
    </row>
    <row r="4278" spans="3:27" x14ac:dyDescent="0.25">
      <c r="C4278" s="112"/>
      <c r="D4278" s="112"/>
      <c r="E4278" s="113"/>
      <c r="F4278" s="113"/>
      <c r="G4278" s="112"/>
      <c r="H4278" s="112"/>
      <c r="Z4278" s="112"/>
      <c r="AA4278" s="112"/>
    </row>
    <row r="4279" spans="3:27" x14ac:dyDescent="0.25">
      <c r="C4279" s="112"/>
      <c r="D4279" s="112"/>
      <c r="E4279" s="113"/>
      <c r="F4279" s="113"/>
      <c r="G4279" s="112"/>
      <c r="H4279" s="112"/>
      <c r="Z4279" s="112"/>
      <c r="AA4279" s="112"/>
    </row>
    <row r="4280" spans="3:27" x14ac:dyDescent="0.25">
      <c r="C4280" s="112"/>
      <c r="D4280" s="112"/>
      <c r="E4280" s="113"/>
      <c r="F4280" s="113"/>
      <c r="G4280" s="112"/>
      <c r="H4280" s="112"/>
      <c r="Z4280" s="112"/>
      <c r="AA4280" s="112"/>
    </row>
    <row r="4281" spans="3:27" x14ac:dyDescent="0.25">
      <c r="C4281" s="112"/>
      <c r="D4281" s="112"/>
      <c r="E4281" s="113"/>
      <c r="F4281" s="113"/>
      <c r="G4281" s="112"/>
      <c r="H4281" s="112"/>
      <c r="Z4281" s="112"/>
      <c r="AA4281" s="112"/>
    </row>
    <row r="4282" spans="3:27" x14ac:dyDescent="0.25">
      <c r="C4282" s="112"/>
      <c r="D4282" s="112"/>
      <c r="E4282" s="113"/>
      <c r="F4282" s="113"/>
      <c r="G4282" s="112"/>
      <c r="H4282" s="112"/>
      <c r="Z4282" s="112"/>
      <c r="AA4282" s="112"/>
    </row>
    <row r="4283" spans="3:27" x14ac:dyDescent="0.25">
      <c r="C4283" s="112"/>
      <c r="D4283" s="112"/>
      <c r="E4283" s="113"/>
      <c r="F4283" s="113"/>
      <c r="G4283" s="112"/>
      <c r="H4283" s="112"/>
      <c r="Z4283" s="112"/>
      <c r="AA4283" s="112"/>
    </row>
    <row r="4284" spans="3:27" x14ac:dyDescent="0.25">
      <c r="C4284" s="112"/>
      <c r="D4284" s="112"/>
      <c r="E4284" s="113"/>
      <c r="F4284" s="113"/>
      <c r="G4284" s="112"/>
      <c r="H4284" s="112"/>
      <c r="Z4284" s="112"/>
      <c r="AA4284" s="112"/>
    </row>
    <row r="4285" spans="3:27" x14ac:dyDescent="0.25">
      <c r="C4285" s="112"/>
      <c r="D4285" s="112"/>
      <c r="E4285" s="113"/>
      <c r="F4285" s="113"/>
      <c r="G4285" s="112"/>
      <c r="H4285" s="112"/>
      <c r="Z4285" s="112"/>
      <c r="AA4285" s="112"/>
    </row>
    <row r="4286" spans="3:27" x14ac:dyDescent="0.25">
      <c r="C4286" s="112"/>
      <c r="D4286" s="112"/>
      <c r="E4286" s="113"/>
      <c r="F4286" s="113"/>
      <c r="G4286" s="112"/>
      <c r="H4286" s="112"/>
      <c r="Z4286" s="112"/>
      <c r="AA4286" s="112"/>
    </row>
    <row r="4287" spans="3:27" x14ac:dyDescent="0.25">
      <c r="C4287" s="112"/>
      <c r="D4287" s="112"/>
      <c r="E4287" s="113"/>
      <c r="F4287" s="113"/>
      <c r="G4287" s="112"/>
      <c r="H4287" s="112"/>
      <c r="Z4287" s="112"/>
      <c r="AA4287" s="112"/>
    </row>
    <row r="4288" spans="3:27" x14ac:dyDescent="0.25">
      <c r="C4288" s="112"/>
      <c r="D4288" s="112"/>
      <c r="E4288" s="113"/>
      <c r="F4288" s="113"/>
      <c r="G4288" s="112"/>
      <c r="H4288" s="112"/>
      <c r="Z4288" s="112"/>
      <c r="AA4288" s="112"/>
    </row>
    <row r="4289" spans="3:27" x14ac:dyDescent="0.25">
      <c r="C4289" s="112"/>
      <c r="D4289" s="112"/>
      <c r="E4289" s="113"/>
      <c r="F4289" s="113"/>
      <c r="G4289" s="112"/>
      <c r="H4289" s="112"/>
      <c r="Z4289" s="112"/>
      <c r="AA4289" s="112"/>
    </row>
    <row r="4290" spans="3:27" x14ac:dyDescent="0.25">
      <c r="C4290" s="112"/>
      <c r="D4290" s="112"/>
      <c r="E4290" s="113"/>
      <c r="F4290" s="113"/>
      <c r="G4290" s="112"/>
      <c r="H4290" s="112"/>
      <c r="Z4290" s="112"/>
      <c r="AA4290" s="112"/>
    </row>
    <row r="4291" spans="3:27" x14ac:dyDescent="0.25">
      <c r="C4291" s="112"/>
      <c r="D4291" s="112"/>
      <c r="E4291" s="113"/>
      <c r="F4291" s="113"/>
      <c r="G4291" s="112"/>
      <c r="H4291" s="112"/>
      <c r="Z4291" s="112"/>
      <c r="AA4291" s="112"/>
    </row>
    <row r="4292" spans="3:27" x14ac:dyDescent="0.25">
      <c r="C4292" s="112"/>
      <c r="D4292" s="112"/>
      <c r="E4292" s="113"/>
      <c r="F4292" s="113"/>
      <c r="G4292" s="112"/>
      <c r="H4292" s="112"/>
      <c r="Z4292" s="112"/>
      <c r="AA4292" s="112"/>
    </row>
    <row r="4293" spans="3:27" x14ac:dyDescent="0.25">
      <c r="C4293" s="112"/>
      <c r="D4293" s="112"/>
      <c r="E4293" s="113"/>
      <c r="F4293" s="113"/>
      <c r="G4293" s="112"/>
      <c r="H4293" s="112"/>
      <c r="Z4293" s="112"/>
      <c r="AA4293" s="112"/>
    </row>
    <row r="4294" spans="3:27" x14ac:dyDescent="0.25">
      <c r="C4294" s="112"/>
      <c r="D4294" s="112"/>
      <c r="E4294" s="113"/>
      <c r="F4294" s="113"/>
      <c r="G4294" s="112"/>
      <c r="H4294" s="112"/>
      <c r="Z4294" s="112"/>
      <c r="AA4294" s="112"/>
    </row>
    <row r="4295" spans="3:27" x14ac:dyDescent="0.25">
      <c r="C4295" s="112"/>
      <c r="D4295" s="112"/>
      <c r="E4295" s="113"/>
      <c r="F4295" s="113"/>
      <c r="G4295" s="112"/>
      <c r="H4295" s="112"/>
      <c r="Z4295" s="112"/>
      <c r="AA4295" s="112"/>
    </row>
    <row r="4296" spans="3:27" x14ac:dyDescent="0.25">
      <c r="C4296" s="112"/>
      <c r="D4296" s="112"/>
      <c r="E4296" s="113"/>
      <c r="F4296" s="113"/>
      <c r="G4296" s="112"/>
      <c r="H4296" s="112"/>
      <c r="Z4296" s="112"/>
      <c r="AA4296" s="112"/>
    </row>
    <row r="4297" spans="3:27" x14ac:dyDescent="0.25">
      <c r="C4297" s="112"/>
      <c r="D4297" s="112"/>
      <c r="E4297" s="113"/>
      <c r="F4297" s="113"/>
      <c r="G4297" s="112"/>
      <c r="H4297" s="112"/>
      <c r="Z4297" s="112"/>
      <c r="AA4297" s="112"/>
    </row>
    <row r="4298" spans="3:27" x14ac:dyDescent="0.25">
      <c r="C4298" s="112"/>
      <c r="D4298" s="112"/>
      <c r="E4298" s="113"/>
      <c r="F4298" s="113"/>
      <c r="G4298" s="112"/>
      <c r="H4298" s="112"/>
      <c r="Z4298" s="112"/>
      <c r="AA4298" s="112"/>
    </row>
    <row r="4299" spans="3:27" x14ac:dyDescent="0.25">
      <c r="C4299" s="112"/>
      <c r="D4299" s="112"/>
      <c r="E4299" s="113"/>
      <c r="F4299" s="113"/>
      <c r="G4299" s="112"/>
      <c r="H4299" s="112"/>
      <c r="Z4299" s="112"/>
      <c r="AA4299" s="112"/>
    </row>
    <row r="4300" spans="3:27" x14ac:dyDescent="0.25">
      <c r="C4300" s="112"/>
      <c r="D4300" s="112"/>
      <c r="E4300" s="113"/>
      <c r="F4300" s="113"/>
      <c r="G4300" s="112"/>
      <c r="H4300" s="112"/>
      <c r="Z4300" s="112"/>
      <c r="AA4300" s="112"/>
    </row>
    <row r="4301" spans="3:27" x14ac:dyDescent="0.25">
      <c r="C4301" s="112"/>
      <c r="D4301" s="112"/>
      <c r="E4301" s="113"/>
      <c r="F4301" s="113"/>
      <c r="G4301" s="112"/>
      <c r="H4301" s="112"/>
      <c r="Z4301" s="112"/>
      <c r="AA4301" s="112"/>
    </row>
    <row r="4302" spans="3:27" x14ac:dyDescent="0.25">
      <c r="C4302" s="112"/>
      <c r="D4302" s="112"/>
      <c r="E4302" s="113"/>
      <c r="F4302" s="113"/>
      <c r="G4302" s="112"/>
      <c r="H4302" s="112"/>
      <c r="Z4302" s="112"/>
      <c r="AA4302" s="112"/>
    </row>
    <row r="4303" spans="3:27" x14ac:dyDescent="0.25">
      <c r="C4303" s="112"/>
      <c r="D4303" s="112"/>
      <c r="E4303" s="113"/>
      <c r="F4303" s="113"/>
      <c r="G4303" s="112"/>
      <c r="H4303" s="112"/>
      <c r="Z4303" s="112"/>
      <c r="AA4303" s="112"/>
    </row>
    <row r="4304" spans="3:27" x14ac:dyDescent="0.25">
      <c r="C4304" s="112"/>
      <c r="D4304" s="112"/>
      <c r="E4304" s="113"/>
      <c r="F4304" s="113"/>
      <c r="G4304" s="112"/>
      <c r="H4304" s="112"/>
      <c r="Z4304" s="112"/>
      <c r="AA4304" s="112"/>
    </row>
    <row r="4305" spans="3:27" x14ac:dyDescent="0.25">
      <c r="C4305" s="112"/>
      <c r="D4305" s="112"/>
      <c r="E4305" s="113"/>
      <c r="F4305" s="113"/>
      <c r="G4305" s="112"/>
      <c r="H4305" s="112"/>
      <c r="Z4305" s="112"/>
      <c r="AA4305" s="112"/>
    </row>
    <row r="4306" spans="3:27" x14ac:dyDescent="0.25">
      <c r="C4306" s="112"/>
      <c r="D4306" s="112"/>
      <c r="E4306" s="113"/>
      <c r="F4306" s="113"/>
      <c r="G4306" s="112"/>
      <c r="H4306" s="112"/>
      <c r="Z4306" s="112"/>
      <c r="AA4306" s="112"/>
    </row>
    <row r="4307" spans="3:27" x14ac:dyDescent="0.25">
      <c r="C4307" s="112"/>
      <c r="D4307" s="112"/>
      <c r="E4307" s="113"/>
      <c r="F4307" s="113"/>
      <c r="G4307" s="112"/>
      <c r="H4307" s="112"/>
      <c r="Z4307" s="112"/>
      <c r="AA4307" s="112"/>
    </row>
    <row r="4308" spans="3:27" x14ac:dyDescent="0.25">
      <c r="C4308" s="112"/>
      <c r="D4308" s="112"/>
      <c r="E4308" s="113"/>
      <c r="F4308" s="113"/>
      <c r="G4308" s="112"/>
      <c r="H4308" s="112"/>
      <c r="Z4308" s="112"/>
      <c r="AA4308" s="112"/>
    </row>
    <row r="4309" spans="3:27" x14ac:dyDescent="0.25">
      <c r="C4309" s="112"/>
      <c r="D4309" s="112"/>
      <c r="E4309" s="113"/>
      <c r="F4309" s="113"/>
      <c r="G4309" s="112"/>
      <c r="H4309" s="112"/>
      <c r="Z4309" s="112"/>
      <c r="AA4309" s="112"/>
    </row>
    <row r="4310" spans="3:27" x14ac:dyDescent="0.25">
      <c r="C4310" s="112"/>
      <c r="D4310" s="112"/>
      <c r="E4310" s="113"/>
      <c r="F4310" s="113"/>
      <c r="G4310" s="112"/>
      <c r="H4310" s="112"/>
      <c r="Z4310" s="112"/>
      <c r="AA4310" s="112"/>
    </row>
    <row r="4311" spans="3:27" x14ac:dyDescent="0.25">
      <c r="C4311" s="112"/>
      <c r="D4311" s="112"/>
      <c r="E4311" s="113"/>
      <c r="F4311" s="113"/>
      <c r="G4311" s="112"/>
      <c r="H4311" s="112"/>
      <c r="Z4311" s="112"/>
      <c r="AA4311" s="112"/>
    </row>
    <row r="4312" spans="3:27" x14ac:dyDescent="0.25">
      <c r="C4312" s="112"/>
      <c r="D4312" s="112"/>
      <c r="E4312" s="113"/>
      <c r="F4312" s="113"/>
      <c r="G4312" s="112"/>
      <c r="H4312" s="112"/>
      <c r="Z4312" s="112"/>
      <c r="AA4312" s="112"/>
    </row>
    <row r="4313" spans="3:27" x14ac:dyDescent="0.25">
      <c r="C4313" s="112"/>
      <c r="D4313" s="112"/>
      <c r="E4313" s="113"/>
      <c r="F4313" s="113"/>
      <c r="G4313" s="112"/>
      <c r="H4313" s="112"/>
      <c r="Z4313" s="112"/>
      <c r="AA4313" s="112"/>
    </row>
    <row r="4314" spans="3:27" x14ac:dyDescent="0.25">
      <c r="C4314" s="112"/>
      <c r="D4314" s="112"/>
      <c r="E4314" s="113"/>
      <c r="F4314" s="113"/>
      <c r="G4314" s="112"/>
      <c r="H4314" s="112"/>
      <c r="Z4314" s="112"/>
      <c r="AA4314" s="112"/>
    </row>
    <row r="4315" spans="3:27" x14ac:dyDescent="0.25">
      <c r="C4315" s="112"/>
      <c r="D4315" s="112"/>
      <c r="E4315" s="113"/>
      <c r="F4315" s="113"/>
      <c r="G4315" s="112"/>
      <c r="H4315" s="112"/>
      <c r="Z4315" s="112"/>
      <c r="AA4315" s="112"/>
    </row>
    <row r="4316" spans="3:27" x14ac:dyDescent="0.25">
      <c r="C4316" s="112"/>
      <c r="D4316" s="112"/>
      <c r="E4316" s="113"/>
      <c r="F4316" s="113"/>
      <c r="G4316" s="112"/>
      <c r="H4316" s="112"/>
      <c r="Z4316" s="112"/>
      <c r="AA4316" s="112"/>
    </row>
    <row r="4317" spans="3:27" x14ac:dyDescent="0.25">
      <c r="C4317" s="112"/>
      <c r="D4317" s="112"/>
      <c r="E4317" s="113"/>
      <c r="F4317" s="113"/>
      <c r="G4317" s="112"/>
      <c r="H4317" s="112"/>
      <c r="Z4317" s="112"/>
      <c r="AA4317" s="112"/>
    </row>
    <row r="4318" spans="3:27" x14ac:dyDescent="0.25">
      <c r="C4318" s="112"/>
      <c r="D4318" s="112"/>
      <c r="E4318" s="113"/>
      <c r="F4318" s="113"/>
      <c r="G4318" s="112"/>
      <c r="H4318" s="112"/>
      <c r="Z4318" s="112"/>
      <c r="AA4318" s="112"/>
    </row>
    <row r="4319" spans="3:27" x14ac:dyDescent="0.25">
      <c r="C4319" s="112"/>
      <c r="D4319" s="112"/>
      <c r="E4319" s="113"/>
      <c r="F4319" s="113"/>
      <c r="G4319" s="112"/>
      <c r="H4319" s="112"/>
      <c r="Z4319" s="112"/>
      <c r="AA4319" s="112"/>
    </row>
    <row r="4320" spans="3:27" x14ac:dyDescent="0.25">
      <c r="C4320" s="112"/>
      <c r="D4320" s="112"/>
      <c r="E4320" s="113"/>
      <c r="F4320" s="113"/>
      <c r="G4320" s="112"/>
      <c r="H4320" s="112"/>
      <c r="Z4320" s="112"/>
      <c r="AA4320" s="112"/>
    </row>
    <row r="4321" spans="3:27" x14ac:dyDescent="0.25">
      <c r="C4321" s="112"/>
      <c r="D4321" s="112"/>
      <c r="E4321" s="113"/>
      <c r="F4321" s="113"/>
      <c r="G4321" s="112"/>
      <c r="H4321" s="112"/>
      <c r="Z4321" s="112"/>
      <c r="AA4321" s="112"/>
    </row>
    <row r="4322" spans="3:27" x14ac:dyDescent="0.25">
      <c r="C4322" s="112"/>
      <c r="D4322" s="112"/>
      <c r="E4322" s="113"/>
      <c r="F4322" s="113"/>
      <c r="G4322" s="112"/>
      <c r="H4322" s="112"/>
      <c r="Z4322" s="112"/>
      <c r="AA4322" s="112"/>
    </row>
    <row r="4323" spans="3:27" x14ac:dyDescent="0.25">
      <c r="C4323" s="112"/>
      <c r="D4323" s="112"/>
      <c r="E4323" s="113"/>
      <c r="F4323" s="113"/>
      <c r="G4323" s="112"/>
      <c r="H4323" s="112"/>
      <c r="Z4323" s="112"/>
      <c r="AA4323" s="112"/>
    </row>
    <row r="4324" spans="3:27" x14ac:dyDescent="0.25">
      <c r="C4324" s="112"/>
      <c r="D4324" s="112"/>
      <c r="E4324" s="113"/>
      <c r="F4324" s="113"/>
      <c r="G4324" s="112"/>
      <c r="H4324" s="112"/>
      <c r="Z4324" s="112"/>
      <c r="AA4324" s="112"/>
    </row>
    <row r="4325" spans="3:27" x14ac:dyDescent="0.25">
      <c r="C4325" s="112"/>
      <c r="D4325" s="112"/>
      <c r="E4325" s="113"/>
      <c r="F4325" s="113"/>
      <c r="G4325" s="112"/>
      <c r="H4325" s="112"/>
      <c r="Z4325" s="112"/>
      <c r="AA4325" s="112"/>
    </row>
    <row r="4326" spans="3:27" x14ac:dyDescent="0.25">
      <c r="C4326" s="112"/>
      <c r="D4326" s="112"/>
      <c r="E4326" s="113"/>
      <c r="F4326" s="113"/>
      <c r="G4326" s="112"/>
      <c r="H4326" s="112"/>
      <c r="Z4326" s="112"/>
      <c r="AA4326" s="112"/>
    </row>
    <row r="4327" spans="3:27" x14ac:dyDescent="0.25">
      <c r="C4327" s="112"/>
      <c r="D4327" s="112"/>
      <c r="E4327" s="113"/>
      <c r="F4327" s="113"/>
      <c r="G4327" s="112"/>
      <c r="H4327" s="112"/>
      <c r="Z4327" s="112"/>
      <c r="AA4327" s="112"/>
    </row>
    <row r="4328" spans="3:27" x14ac:dyDescent="0.25">
      <c r="C4328" s="112"/>
      <c r="D4328" s="112"/>
      <c r="E4328" s="113"/>
      <c r="F4328" s="113"/>
      <c r="G4328" s="112"/>
      <c r="H4328" s="112"/>
      <c r="Z4328" s="112"/>
      <c r="AA4328" s="112"/>
    </row>
    <row r="4329" spans="3:27" x14ac:dyDescent="0.25">
      <c r="C4329" s="112"/>
      <c r="D4329" s="112"/>
      <c r="E4329" s="113"/>
      <c r="F4329" s="113"/>
      <c r="G4329" s="112"/>
      <c r="H4329" s="112"/>
      <c r="Z4329" s="112"/>
      <c r="AA4329" s="112"/>
    </row>
    <row r="4330" spans="3:27" x14ac:dyDescent="0.25">
      <c r="C4330" s="112"/>
      <c r="D4330" s="112"/>
      <c r="E4330" s="113"/>
      <c r="F4330" s="113"/>
      <c r="G4330" s="112"/>
      <c r="H4330" s="112"/>
      <c r="Z4330" s="112"/>
      <c r="AA4330" s="112"/>
    </row>
    <row r="4331" spans="3:27" x14ac:dyDescent="0.25">
      <c r="C4331" s="112"/>
      <c r="D4331" s="112"/>
      <c r="E4331" s="113"/>
      <c r="F4331" s="113"/>
      <c r="G4331" s="112"/>
      <c r="H4331" s="112"/>
      <c r="Z4331" s="112"/>
      <c r="AA4331" s="112"/>
    </row>
    <row r="4332" spans="3:27" x14ac:dyDescent="0.25">
      <c r="C4332" s="112"/>
      <c r="D4332" s="112"/>
      <c r="E4332" s="113"/>
      <c r="F4332" s="113"/>
      <c r="G4332" s="112"/>
      <c r="H4332" s="112"/>
      <c r="Z4332" s="112"/>
      <c r="AA4332" s="112"/>
    </row>
    <row r="4333" spans="3:27" x14ac:dyDescent="0.25">
      <c r="C4333" s="112"/>
      <c r="D4333" s="112"/>
      <c r="E4333" s="113"/>
      <c r="F4333" s="113"/>
      <c r="G4333" s="112"/>
      <c r="H4333" s="112"/>
      <c r="Z4333" s="112"/>
      <c r="AA4333" s="112"/>
    </row>
    <row r="4334" spans="3:27" x14ac:dyDescent="0.25">
      <c r="C4334" s="112"/>
      <c r="D4334" s="112"/>
      <c r="E4334" s="113"/>
      <c r="F4334" s="113"/>
      <c r="G4334" s="112"/>
      <c r="H4334" s="112"/>
      <c r="Z4334" s="112"/>
      <c r="AA4334" s="112"/>
    </row>
    <row r="4335" spans="3:27" x14ac:dyDescent="0.25">
      <c r="C4335" s="112"/>
      <c r="D4335" s="112"/>
      <c r="E4335" s="113"/>
      <c r="F4335" s="113"/>
      <c r="G4335" s="112"/>
      <c r="H4335" s="112"/>
      <c r="Z4335" s="112"/>
      <c r="AA4335" s="112"/>
    </row>
    <row r="4336" spans="3:27" x14ac:dyDescent="0.25">
      <c r="C4336" s="112"/>
      <c r="D4336" s="112"/>
      <c r="E4336" s="113"/>
      <c r="F4336" s="113"/>
      <c r="G4336" s="112"/>
      <c r="H4336" s="112"/>
      <c r="Z4336" s="112"/>
      <c r="AA4336" s="112"/>
    </row>
    <row r="4337" spans="3:27" x14ac:dyDescent="0.25">
      <c r="C4337" s="112"/>
      <c r="D4337" s="112"/>
      <c r="E4337" s="113"/>
      <c r="F4337" s="113"/>
      <c r="G4337" s="112"/>
      <c r="H4337" s="112"/>
      <c r="Z4337" s="112"/>
      <c r="AA4337" s="112"/>
    </row>
    <row r="4338" spans="3:27" x14ac:dyDescent="0.25">
      <c r="C4338" s="112"/>
      <c r="D4338" s="112"/>
      <c r="E4338" s="113"/>
      <c r="F4338" s="113"/>
      <c r="G4338" s="112"/>
      <c r="H4338" s="112"/>
      <c r="Z4338" s="112"/>
      <c r="AA4338" s="112"/>
    </row>
    <row r="4339" spans="3:27" x14ac:dyDescent="0.25">
      <c r="C4339" s="112"/>
      <c r="D4339" s="112"/>
      <c r="E4339" s="113"/>
      <c r="F4339" s="113"/>
      <c r="G4339" s="112"/>
      <c r="H4339" s="112"/>
      <c r="Z4339" s="112"/>
      <c r="AA4339" s="112"/>
    </row>
    <row r="4340" spans="3:27" x14ac:dyDescent="0.25">
      <c r="C4340" s="112"/>
      <c r="D4340" s="112"/>
      <c r="E4340" s="113"/>
      <c r="F4340" s="113"/>
      <c r="G4340" s="112"/>
      <c r="H4340" s="112"/>
      <c r="Z4340" s="112"/>
      <c r="AA4340" s="112"/>
    </row>
    <row r="4341" spans="3:27" x14ac:dyDescent="0.25">
      <c r="C4341" s="112"/>
      <c r="D4341" s="112"/>
      <c r="E4341" s="113"/>
      <c r="F4341" s="113"/>
      <c r="G4341" s="112"/>
      <c r="H4341" s="112"/>
      <c r="Z4341" s="112"/>
      <c r="AA4341" s="112"/>
    </row>
    <row r="4342" spans="3:27" x14ac:dyDescent="0.25">
      <c r="C4342" s="112"/>
      <c r="D4342" s="112"/>
      <c r="E4342" s="113"/>
      <c r="F4342" s="113"/>
      <c r="G4342" s="112"/>
      <c r="H4342" s="112"/>
      <c r="Z4342" s="112"/>
      <c r="AA4342" s="112"/>
    </row>
    <row r="4343" spans="3:27" x14ac:dyDescent="0.25">
      <c r="C4343" s="112"/>
      <c r="D4343" s="112"/>
      <c r="E4343" s="113"/>
      <c r="F4343" s="113"/>
      <c r="G4343" s="112"/>
      <c r="H4343" s="112"/>
      <c r="Z4343" s="112"/>
      <c r="AA4343" s="112"/>
    </row>
    <row r="4344" spans="3:27" x14ac:dyDescent="0.25">
      <c r="C4344" s="112"/>
      <c r="D4344" s="112"/>
      <c r="E4344" s="113"/>
      <c r="F4344" s="113"/>
      <c r="G4344" s="112"/>
      <c r="H4344" s="112"/>
      <c r="Z4344" s="112"/>
      <c r="AA4344" s="112"/>
    </row>
    <row r="4345" spans="3:27" x14ac:dyDescent="0.25">
      <c r="C4345" s="112"/>
      <c r="D4345" s="112"/>
      <c r="E4345" s="113"/>
      <c r="F4345" s="113"/>
      <c r="G4345" s="112"/>
      <c r="H4345" s="112"/>
      <c r="Z4345" s="112"/>
      <c r="AA4345" s="112"/>
    </row>
    <row r="4346" spans="3:27" x14ac:dyDescent="0.25">
      <c r="C4346" s="112"/>
      <c r="D4346" s="112"/>
      <c r="E4346" s="113"/>
      <c r="F4346" s="113"/>
      <c r="G4346" s="112"/>
      <c r="H4346" s="112"/>
      <c r="Z4346" s="112"/>
      <c r="AA4346" s="112"/>
    </row>
    <row r="4347" spans="3:27" x14ac:dyDescent="0.25">
      <c r="C4347" s="112"/>
      <c r="D4347" s="112"/>
      <c r="E4347" s="113"/>
      <c r="F4347" s="113"/>
      <c r="G4347" s="112"/>
      <c r="H4347" s="112"/>
      <c r="Z4347" s="112"/>
      <c r="AA4347" s="112"/>
    </row>
    <row r="4348" spans="3:27" x14ac:dyDescent="0.25">
      <c r="C4348" s="112"/>
      <c r="D4348" s="112"/>
      <c r="E4348" s="113"/>
      <c r="F4348" s="113"/>
      <c r="G4348" s="112"/>
      <c r="H4348" s="112"/>
      <c r="Z4348" s="112"/>
      <c r="AA4348" s="112"/>
    </row>
    <row r="4349" spans="3:27" x14ac:dyDescent="0.25">
      <c r="C4349" s="112"/>
      <c r="D4349" s="112"/>
      <c r="E4349" s="113"/>
      <c r="F4349" s="113"/>
      <c r="G4349" s="112"/>
      <c r="H4349" s="112"/>
      <c r="Z4349" s="112"/>
      <c r="AA4349" s="112"/>
    </row>
    <row r="4350" spans="3:27" x14ac:dyDescent="0.25">
      <c r="C4350" s="112"/>
      <c r="D4350" s="112"/>
      <c r="E4350" s="113"/>
      <c r="F4350" s="113"/>
      <c r="G4350" s="112"/>
      <c r="H4350" s="112"/>
      <c r="Z4350" s="112"/>
      <c r="AA4350" s="112"/>
    </row>
    <row r="4351" spans="3:27" x14ac:dyDescent="0.25">
      <c r="C4351" s="112"/>
      <c r="D4351" s="112"/>
      <c r="E4351" s="113"/>
      <c r="F4351" s="113"/>
      <c r="G4351" s="112"/>
      <c r="H4351" s="112"/>
      <c r="Z4351" s="112"/>
      <c r="AA4351" s="112"/>
    </row>
    <row r="4352" spans="3:27" x14ac:dyDescent="0.25">
      <c r="C4352" s="112"/>
      <c r="D4352" s="112"/>
      <c r="E4352" s="113"/>
      <c r="F4352" s="113"/>
      <c r="G4352" s="112"/>
      <c r="H4352" s="112"/>
      <c r="Z4352" s="112"/>
      <c r="AA4352" s="112"/>
    </row>
    <row r="4353" spans="3:27" x14ac:dyDescent="0.25">
      <c r="C4353" s="112"/>
      <c r="D4353" s="112"/>
      <c r="E4353" s="113"/>
      <c r="F4353" s="113"/>
      <c r="G4353" s="112"/>
      <c r="H4353" s="112"/>
      <c r="Z4353" s="112"/>
      <c r="AA4353" s="112"/>
    </row>
    <row r="4354" spans="3:27" x14ac:dyDescent="0.25">
      <c r="C4354" s="112"/>
      <c r="D4354" s="112"/>
      <c r="E4354" s="113"/>
      <c r="F4354" s="113"/>
      <c r="G4354" s="112"/>
      <c r="H4354" s="112"/>
      <c r="Z4354" s="112"/>
      <c r="AA4354" s="112"/>
    </row>
    <row r="4355" spans="3:27" x14ac:dyDescent="0.25">
      <c r="C4355" s="112"/>
      <c r="D4355" s="112"/>
      <c r="E4355" s="113"/>
      <c r="F4355" s="113"/>
      <c r="G4355" s="112"/>
      <c r="H4355" s="112"/>
      <c r="Z4355" s="112"/>
      <c r="AA4355" s="112"/>
    </row>
    <row r="4356" spans="3:27" x14ac:dyDescent="0.25">
      <c r="C4356" s="112"/>
      <c r="D4356" s="112"/>
      <c r="E4356" s="113"/>
      <c r="F4356" s="113"/>
      <c r="G4356" s="112"/>
      <c r="H4356" s="112"/>
      <c r="Z4356" s="112"/>
      <c r="AA4356" s="112"/>
    </row>
    <row r="4357" spans="3:27" x14ac:dyDescent="0.25">
      <c r="C4357" s="112"/>
      <c r="D4357" s="112"/>
      <c r="E4357" s="113"/>
      <c r="F4357" s="113"/>
      <c r="G4357" s="112"/>
      <c r="H4357" s="112"/>
      <c r="Z4357" s="112"/>
      <c r="AA4357" s="112"/>
    </row>
    <row r="4358" spans="3:27" x14ac:dyDescent="0.25">
      <c r="C4358" s="112"/>
      <c r="D4358" s="112"/>
      <c r="E4358" s="113"/>
      <c r="F4358" s="113"/>
      <c r="G4358" s="112"/>
      <c r="H4358" s="112"/>
      <c r="Z4358" s="112"/>
      <c r="AA4358" s="112"/>
    </row>
    <row r="4359" spans="3:27" x14ac:dyDescent="0.25">
      <c r="C4359" s="112"/>
      <c r="D4359" s="112"/>
      <c r="E4359" s="113"/>
      <c r="F4359" s="113"/>
      <c r="G4359" s="112"/>
      <c r="H4359" s="112"/>
      <c r="Z4359" s="112"/>
      <c r="AA4359" s="112"/>
    </row>
    <row r="4360" spans="3:27" x14ac:dyDescent="0.25">
      <c r="C4360" s="112"/>
      <c r="D4360" s="112"/>
      <c r="E4360" s="113"/>
      <c r="F4360" s="113"/>
      <c r="G4360" s="112"/>
      <c r="H4360" s="112"/>
      <c r="Z4360" s="112"/>
      <c r="AA4360" s="112"/>
    </row>
    <row r="4361" spans="3:27" x14ac:dyDescent="0.25">
      <c r="C4361" s="112"/>
      <c r="D4361" s="112"/>
      <c r="E4361" s="113"/>
      <c r="F4361" s="113"/>
      <c r="G4361" s="112"/>
      <c r="H4361" s="112"/>
      <c r="Z4361" s="112"/>
      <c r="AA4361" s="112"/>
    </row>
    <row r="4362" spans="3:27" x14ac:dyDescent="0.25">
      <c r="C4362" s="112"/>
      <c r="D4362" s="112"/>
      <c r="E4362" s="113"/>
      <c r="F4362" s="113"/>
      <c r="G4362" s="112"/>
      <c r="H4362" s="112"/>
      <c r="Z4362" s="112"/>
      <c r="AA4362" s="112"/>
    </row>
    <row r="4363" spans="3:27" x14ac:dyDescent="0.25">
      <c r="C4363" s="112"/>
      <c r="D4363" s="112"/>
      <c r="E4363" s="113"/>
      <c r="F4363" s="113"/>
      <c r="G4363" s="112"/>
      <c r="H4363" s="112"/>
      <c r="Z4363" s="112"/>
      <c r="AA4363" s="112"/>
    </row>
    <row r="4364" spans="3:27" x14ac:dyDescent="0.25">
      <c r="C4364" s="112"/>
      <c r="D4364" s="112"/>
      <c r="E4364" s="113"/>
      <c r="F4364" s="113"/>
      <c r="G4364" s="112"/>
      <c r="H4364" s="112"/>
      <c r="Z4364" s="112"/>
      <c r="AA4364" s="112"/>
    </row>
    <row r="4365" spans="3:27" x14ac:dyDescent="0.25">
      <c r="C4365" s="112"/>
      <c r="D4365" s="112"/>
      <c r="E4365" s="113"/>
      <c r="F4365" s="113"/>
      <c r="G4365" s="112"/>
      <c r="H4365" s="112"/>
      <c r="Z4365" s="112"/>
      <c r="AA4365" s="112"/>
    </row>
    <row r="4366" spans="3:27" x14ac:dyDescent="0.25">
      <c r="C4366" s="112"/>
      <c r="D4366" s="112"/>
      <c r="E4366" s="113"/>
      <c r="F4366" s="113"/>
      <c r="G4366" s="112"/>
      <c r="H4366" s="112"/>
      <c r="Z4366" s="112"/>
      <c r="AA4366" s="112"/>
    </row>
    <row r="4367" spans="3:27" x14ac:dyDescent="0.25">
      <c r="C4367" s="112"/>
      <c r="D4367" s="112"/>
      <c r="E4367" s="113"/>
      <c r="F4367" s="113"/>
      <c r="G4367" s="112"/>
      <c r="H4367" s="112"/>
      <c r="Z4367" s="112"/>
      <c r="AA4367" s="112"/>
    </row>
    <row r="4368" spans="3:27" x14ac:dyDescent="0.25">
      <c r="C4368" s="112"/>
      <c r="D4368" s="112"/>
      <c r="E4368" s="113"/>
      <c r="F4368" s="113"/>
      <c r="G4368" s="112"/>
      <c r="H4368" s="112"/>
      <c r="Z4368" s="112"/>
      <c r="AA4368" s="112"/>
    </row>
    <row r="4369" spans="3:27" x14ac:dyDescent="0.25">
      <c r="C4369" s="112"/>
      <c r="D4369" s="112"/>
      <c r="E4369" s="113"/>
      <c r="F4369" s="113"/>
      <c r="G4369" s="112"/>
      <c r="H4369" s="112"/>
      <c r="Z4369" s="112"/>
      <c r="AA4369" s="112"/>
    </row>
    <row r="4370" spans="3:27" x14ac:dyDescent="0.25">
      <c r="C4370" s="112"/>
      <c r="D4370" s="112"/>
      <c r="E4370" s="113"/>
      <c r="F4370" s="113"/>
      <c r="G4370" s="112"/>
      <c r="H4370" s="112"/>
      <c r="Z4370" s="112"/>
      <c r="AA4370" s="112"/>
    </row>
    <row r="4371" spans="3:27" x14ac:dyDescent="0.25">
      <c r="C4371" s="112"/>
      <c r="D4371" s="112"/>
      <c r="E4371" s="113"/>
      <c r="F4371" s="113"/>
      <c r="G4371" s="112"/>
      <c r="H4371" s="112"/>
      <c r="Z4371" s="112"/>
      <c r="AA4371" s="112"/>
    </row>
    <row r="4372" spans="3:27" x14ac:dyDescent="0.25">
      <c r="C4372" s="112"/>
      <c r="D4372" s="112"/>
      <c r="E4372" s="113"/>
      <c r="F4372" s="113"/>
      <c r="G4372" s="112"/>
      <c r="H4372" s="112"/>
      <c r="Z4372" s="112"/>
      <c r="AA4372" s="112"/>
    </row>
    <row r="4373" spans="3:27" x14ac:dyDescent="0.25">
      <c r="C4373" s="112"/>
      <c r="D4373" s="112"/>
      <c r="E4373" s="113"/>
      <c r="F4373" s="113"/>
      <c r="G4373" s="112"/>
      <c r="H4373" s="112"/>
      <c r="Z4373" s="112"/>
      <c r="AA4373" s="112"/>
    </row>
    <row r="4374" spans="3:27" x14ac:dyDescent="0.25">
      <c r="C4374" s="112"/>
      <c r="D4374" s="112"/>
      <c r="E4374" s="113"/>
      <c r="F4374" s="113"/>
      <c r="G4374" s="112"/>
      <c r="H4374" s="112"/>
      <c r="Z4374" s="112"/>
      <c r="AA4374" s="112"/>
    </row>
    <row r="4375" spans="3:27" x14ac:dyDescent="0.25">
      <c r="C4375" s="112"/>
      <c r="D4375" s="112"/>
      <c r="E4375" s="113"/>
      <c r="F4375" s="113"/>
      <c r="G4375" s="112"/>
      <c r="H4375" s="112"/>
      <c r="Z4375" s="112"/>
      <c r="AA4375" s="112"/>
    </row>
    <row r="4376" spans="3:27" x14ac:dyDescent="0.25">
      <c r="C4376" s="112"/>
      <c r="D4376" s="112"/>
      <c r="E4376" s="113"/>
      <c r="F4376" s="113"/>
      <c r="G4376" s="112"/>
      <c r="H4376" s="112"/>
      <c r="Z4376" s="112"/>
      <c r="AA4376" s="112"/>
    </row>
    <row r="4377" spans="3:27" x14ac:dyDescent="0.25">
      <c r="C4377" s="112"/>
      <c r="D4377" s="112"/>
      <c r="E4377" s="113"/>
      <c r="F4377" s="113"/>
      <c r="G4377" s="112"/>
      <c r="H4377" s="112"/>
      <c r="Z4377" s="112"/>
      <c r="AA4377" s="112"/>
    </row>
    <row r="4378" spans="3:27" x14ac:dyDescent="0.25">
      <c r="C4378" s="112"/>
      <c r="D4378" s="112"/>
      <c r="E4378" s="113"/>
      <c r="F4378" s="113"/>
      <c r="G4378" s="112"/>
      <c r="H4378" s="112"/>
      <c r="Z4378" s="112"/>
      <c r="AA4378" s="112"/>
    </row>
    <row r="4379" spans="3:27" x14ac:dyDescent="0.25">
      <c r="C4379" s="112"/>
      <c r="D4379" s="112"/>
      <c r="E4379" s="113"/>
      <c r="F4379" s="113"/>
      <c r="G4379" s="112"/>
      <c r="H4379" s="112"/>
      <c r="Z4379" s="112"/>
      <c r="AA4379" s="112"/>
    </row>
    <row r="4380" spans="3:27" x14ac:dyDescent="0.25">
      <c r="C4380" s="112"/>
      <c r="D4380" s="112"/>
      <c r="E4380" s="113"/>
      <c r="F4380" s="113"/>
      <c r="G4380" s="112"/>
      <c r="H4380" s="112"/>
      <c r="Z4380" s="112"/>
      <c r="AA4380" s="112"/>
    </row>
    <row r="4381" spans="3:27" x14ac:dyDescent="0.25">
      <c r="C4381" s="112"/>
      <c r="D4381" s="112"/>
      <c r="E4381" s="113"/>
      <c r="F4381" s="113"/>
      <c r="G4381" s="112"/>
      <c r="H4381" s="112"/>
      <c r="Z4381" s="112"/>
      <c r="AA4381" s="112"/>
    </row>
    <row r="4382" spans="3:27" x14ac:dyDescent="0.25">
      <c r="C4382" s="112"/>
      <c r="D4382" s="112"/>
      <c r="E4382" s="113"/>
      <c r="F4382" s="113"/>
      <c r="G4382" s="112"/>
      <c r="H4382" s="112"/>
      <c r="Z4382" s="112"/>
      <c r="AA4382" s="112"/>
    </row>
    <row r="4383" spans="3:27" x14ac:dyDescent="0.25">
      <c r="C4383" s="112"/>
      <c r="D4383" s="112"/>
      <c r="E4383" s="113"/>
      <c r="F4383" s="113"/>
      <c r="G4383" s="112"/>
      <c r="H4383" s="112"/>
      <c r="Z4383" s="112"/>
      <c r="AA4383" s="112"/>
    </row>
    <row r="4384" spans="3:27" x14ac:dyDescent="0.25">
      <c r="C4384" s="112"/>
      <c r="D4384" s="112"/>
      <c r="E4384" s="113"/>
      <c r="F4384" s="113"/>
      <c r="G4384" s="112"/>
      <c r="H4384" s="112"/>
      <c r="Z4384" s="112"/>
      <c r="AA4384" s="112"/>
    </row>
    <row r="4385" spans="3:27" x14ac:dyDescent="0.25">
      <c r="C4385" s="112"/>
      <c r="D4385" s="112"/>
      <c r="E4385" s="113"/>
      <c r="F4385" s="113"/>
      <c r="G4385" s="112"/>
      <c r="H4385" s="112"/>
      <c r="Z4385" s="112"/>
      <c r="AA4385" s="112"/>
    </row>
    <row r="4386" spans="3:27" x14ac:dyDescent="0.25">
      <c r="C4386" s="112"/>
      <c r="D4386" s="112"/>
      <c r="E4386" s="113"/>
      <c r="F4386" s="113"/>
      <c r="G4386" s="112"/>
      <c r="H4386" s="112"/>
      <c r="Z4386" s="112"/>
      <c r="AA4386" s="112"/>
    </row>
    <row r="4387" spans="3:27" x14ac:dyDescent="0.25">
      <c r="C4387" s="112"/>
      <c r="D4387" s="112"/>
      <c r="E4387" s="113"/>
      <c r="F4387" s="113"/>
      <c r="G4387" s="112"/>
      <c r="H4387" s="112"/>
      <c r="Z4387" s="112"/>
      <c r="AA4387" s="112"/>
    </row>
    <row r="4388" spans="3:27" x14ac:dyDescent="0.25">
      <c r="C4388" s="112"/>
      <c r="D4388" s="112"/>
      <c r="E4388" s="113"/>
      <c r="F4388" s="113"/>
      <c r="G4388" s="112"/>
      <c r="H4388" s="112"/>
      <c r="Z4388" s="112"/>
      <c r="AA4388" s="112"/>
    </row>
    <row r="4389" spans="3:27" x14ac:dyDescent="0.25">
      <c r="C4389" s="112"/>
      <c r="D4389" s="112"/>
      <c r="E4389" s="113"/>
      <c r="F4389" s="113"/>
      <c r="G4389" s="112"/>
      <c r="H4389" s="112"/>
      <c r="Z4389" s="112"/>
      <c r="AA4389" s="112"/>
    </row>
    <row r="4390" spans="3:27" x14ac:dyDescent="0.25">
      <c r="C4390" s="112"/>
      <c r="D4390" s="112"/>
      <c r="E4390" s="113"/>
      <c r="F4390" s="113"/>
      <c r="G4390" s="112"/>
      <c r="H4390" s="112"/>
      <c r="Z4390" s="112"/>
      <c r="AA4390" s="112"/>
    </row>
    <row r="4391" spans="3:27" x14ac:dyDescent="0.25">
      <c r="C4391" s="112"/>
      <c r="D4391" s="112"/>
      <c r="E4391" s="113"/>
      <c r="F4391" s="113"/>
      <c r="G4391" s="112"/>
      <c r="H4391" s="112"/>
      <c r="Z4391" s="112"/>
      <c r="AA4391" s="112"/>
    </row>
    <row r="4392" spans="3:27" x14ac:dyDescent="0.25">
      <c r="C4392" s="112"/>
      <c r="D4392" s="112"/>
      <c r="E4392" s="113"/>
      <c r="F4392" s="113"/>
      <c r="G4392" s="112"/>
      <c r="H4392" s="112"/>
      <c r="Z4392" s="112"/>
      <c r="AA4392" s="112"/>
    </row>
    <row r="4393" spans="3:27" x14ac:dyDescent="0.25">
      <c r="C4393" s="112"/>
      <c r="D4393" s="112"/>
      <c r="E4393" s="113"/>
      <c r="F4393" s="113"/>
      <c r="G4393" s="112"/>
      <c r="H4393" s="112"/>
      <c r="Z4393" s="112"/>
      <c r="AA4393" s="112"/>
    </row>
    <row r="4394" spans="3:27" x14ac:dyDescent="0.25">
      <c r="C4394" s="112"/>
      <c r="D4394" s="112"/>
      <c r="E4394" s="113"/>
      <c r="F4394" s="113"/>
      <c r="G4394" s="112"/>
      <c r="H4394" s="112"/>
      <c r="Z4394" s="112"/>
      <c r="AA4394" s="112"/>
    </row>
    <row r="4395" spans="3:27" x14ac:dyDescent="0.25">
      <c r="C4395" s="112"/>
      <c r="D4395" s="112"/>
      <c r="E4395" s="113"/>
      <c r="F4395" s="113"/>
      <c r="G4395" s="112"/>
      <c r="H4395" s="112"/>
      <c r="Z4395" s="112"/>
      <c r="AA4395" s="112"/>
    </row>
    <row r="4396" spans="3:27" x14ac:dyDescent="0.25">
      <c r="C4396" s="112"/>
      <c r="D4396" s="112"/>
      <c r="E4396" s="113"/>
      <c r="F4396" s="113"/>
      <c r="G4396" s="112"/>
      <c r="H4396" s="112"/>
      <c r="Z4396" s="112"/>
      <c r="AA4396" s="112"/>
    </row>
    <row r="4397" spans="3:27" x14ac:dyDescent="0.25">
      <c r="C4397" s="112"/>
      <c r="D4397" s="112"/>
      <c r="E4397" s="113"/>
      <c r="F4397" s="113"/>
      <c r="G4397" s="112"/>
      <c r="H4397" s="112"/>
      <c r="Z4397" s="112"/>
      <c r="AA4397" s="112"/>
    </row>
    <row r="4398" spans="3:27" x14ac:dyDescent="0.25">
      <c r="C4398" s="112"/>
      <c r="D4398" s="112"/>
      <c r="E4398" s="113"/>
      <c r="F4398" s="113"/>
      <c r="G4398" s="112"/>
      <c r="H4398" s="112"/>
      <c r="Z4398" s="112"/>
      <c r="AA4398" s="112"/>
    </row>
    <row r="4399" spans="3:27" x14ac:dyDescent="0.25">
      <c r="C4399" s="112"/>
      <c r="D4399" s="112"/>
      <c r="E4399" s="113"/>
      <c r="F4399" s="113"/>
      <c r="G4399" s="112"/>
      <c r="H4399" s="112"/>
      <c r="Z4399" s="112"/>
      <c r="AA4399" s="112"/>
    </row>
    <row r="4400" spans="3:27" x14ac:dyDescent="0.25">
      <c r="C4400" s="112"/>
      <c r="D4400" s="112"/>
      <c r="E4400" s="113"/>
      <c r="F4400" s="113"/>
      <c r="G4400" s="112"/>
      <c r="H4400" s="112"/>
      <c r="Z4400" s="112"/>
      <c r="AA4400" s="112"/>
    </row>
    <row r="4401" spans="3:27" x14ac:dyDescent="0.25">
      <c r="C4401" s="112"/>
      <c r="D4401" s="112"/>
      <c r="E4401" s="113"/>
      <c r="F4401" s="113"/>
      <c r="G4401" s="112"/>
      <c r="H4401" s="112"/>
      <c r="Z4401" s="112"/>
      <c r="AA4401" s="112"/>
    </row>
    <row r="4402" spans="3:27" x14ac:dyDescent="0.25">
      <c r="C4402" s="112"/>
      <c r="D4402" s="112"/>
      <c r="E4402" s="113"/>
      <c r="F4402" s="113"/>
      <c r="G4402" s="112"/>
      <c r="H4402" s="112"/>
      <c r="Z4402" s="112"/>
      <c r="AA4402" s="112"/>
    </row>
    <row r="4403" spans="3:27" x14ac:dyDescent="0.25">
      <c r="C4403" s="112"/>
      <c r="D4403" s="112"/>
      <c r="E4403" s="113"/>
      <c r="F4403" s="113"/>
      <c r="G4403" s="112"/>
      <c r="H4403" s="112"/>
      <c r="Z4403" s="112"/>
      <c r="AA4403" s="112"/>
    </row>
    <row r="4404" spans="3:27" x14ac:dyDescent="0.25">
      <c r="C4404" s="112"/>
      <c r="D4404" s="112"/>
      <c r="E4404" s="113"/>
      <c r="F4404" s="113"/>
      <c r="G4404" s="112"/>
      <c r="H4404" s="112"/>
      <c r="Z4404" s="112"/>
      <c r="AA4404" s="112"/>
    </row>
    <row r="4405" spans="3:27" x14ac:dyDescent="0.25">
      <c r="C4405" s="112"/>
      <c r="D4405" s="112"/>
      <c r="E4405" s="113"/>
      <c r="F4405" s="113"/>
      <c r="G4405" s="112"/>
      <c r="H4405" s="112"/>
      <c r="Z4405" s="112"/>
      <c r="AA4405" s="112"/>
    </row>
    <row r="4406" spans="3:27" x14ac:dyDescent="0.25">
      <c r="C4406" s="112"/>
      <c r="D4406" s="112"/>
      <c r="E4406" s="113"/>
      <c r="F4406" s="113"/>
      <c r="G4406" s="112"/>
      <c r="H4406" s="112"/>
      <c r="Z4406" s="112"/>
      <c r="AA4406" s="112"/>
    </row>
    <row r="4407" spans="3:27" x14ac:dyDescent="0.25">
      <c r="C4407" s="112"/>
      <c r="D4407" s="112"/>
      <c r="E4407" s="113"/>
      <c r="F4407" s="113"/>
      <c r="G4407" s="112"/>
      <c r="H4407" s="112"/>
      <c r="Z4407" s="112"/>
      <c r="AA4407" s="112"/>
    </row>
    <row r="4408" spans="3:27" x14ac:dyDescent="0.25">
      <c r="C4408" s="112"/>
      <c r="D4408" s="112"/>
      <c r="E4408" s="113"/>
      <c r="F4408" s="113"/>
      <c r="G4408" s="112"/>
      <c r="H4408" s="112"/>
      <c r="Z4408" s="112"/>
      <c r="AA4408" s="112"/>
    </row>
    <row r="4409" spans="3:27" x14ac:dyDescent="0.25">
      <c r="C4409" s="112"/>
      <c r="D4409" s="112"/>
      <c r="E4409" s="113"/>
      <c r="F4409" s="113"/>
      <c r="G4409" s="112"/>
      <c r="H4409" s="112"/>
      <c r="Z4409" s="112"/>
      <c r="AA4409" s="112"/>
    </row>
    <row r="4410" spans="3:27" x14ac:dyDescent="0.25">
      <c r="C4410" s="112"/>
      <c r="D4410" s="112"/>
      <c r="E4410" s="113"/>
      <c r="F4410" s="113"/>
      <c r="G4410" s="112"/>
      <c r="H4410" s="112"/>
      <c r="Z4410" s="112"/>
      <c r="AA4410" s="112"/>
    </row>
    <row r="4411" spans="3:27" x14ac:dyDescent="0.25">
      <c r="C4411" s="112"/>
      <c r="D4411" s="112"/>
      <c r="E4411" s="113"/>
      <c r="F4411" s="113"/>
      <c r="G4411" s="112"/>
      <c r="H4411" s="112"/>
      <c r="Z4411" s="112"/>
      <c r="AA4411" s="112"/>
    </row>
    <row r="4412" spans="3:27" x14ac:dyDescent="0.25">
      <c r="C4412" s="112"/>
      <c r="D4412" s="112"/>
      <c r="E4412" s="113"/>
      <c r="F4412" s="113"/>
      <c r="G4412" s="112"/>
      <c r="H4412" s="112"/>
      <c r="Z4412" s="112"/>
      <c r="AA4412" s="112"/>
    </row>
    <row r="4413" spans="3:27" x14ac:dyDescent="0.25">
      <c r="C4413" s="112"/>
      <c r="D4413" s="112"/>
      <c r="E4413" s="113"/>
      <c r="F4413" s="113"/>
      <c r="G4413" s="112"/>
      <c r="H4413" s="112"/>
      <c r="Z4413" s="112"/>
      <c r="AA4413" s="112"/>
    </row>
    <row r="4414" spans="3:27" x14ac:dyDescent="0.25">
      <c r="C4414" s="112"/>
      <c r="D4414" s="112"/>
      <c r="E4414" s="113"/>
      <c r="F4414" s="113"/>
      <c r="G4414" s="112"/>
      <c r="H4414" s="112"/>
      <c r="Z4414" s="112"/>
      <c r="AA4414" s="112"/>
    </row>
    <row r="4415" spans="3:27" x14ac:dyDescent="0.25">
      <c r="C4415" s="112"/>
      <c r="D4415" s="112"/>
      <c r="E4415" s="113"/>
      <c r="F4415" s="113"/>
      <c r="G4415" s="112"/>
      <c r="H4415" s="112"/>
      <c r="Z4415" s="112"/>
      <c r="AA4415" s="112"/>
    </row>
    <row r="4416" spans="3:27" x14ac:dyDescent="0.25">
      <c r="C4416" s="112"/>
      <c r="D4416" s="112"/>
      <c r="E4416" s="113"/>
      <c r="F4416" s="113"/>
      <c r="G4416" s="112"/>
      <c r="H4416" s="112"/>
      <c r="Z4416" s="112"/>
      <c r="AA4416" s="112"/>
    </row>
    <row r="4417" spans="3:27" x14ac:dyDescent="0.25">
      <c r="C4417" s="112"/>
      <c r="D4417" s="112"/>
      <c r="E4417" s="113"/>
      <c r="F4417" s="113"/>
      <c r="G4417" s="112"/>
      <c r="H4417" s="112"/>
      <c r="Z4417" s="112"/>
      <c r="AA4417" s="112"/>
    </row>
    <row r="4418" spans="3:27" x14ac:dyDescent="0.25">
      <c r="C4418" s="112"/>
      <c r="D4418" s="112"/>
      <c r="E4418" s="113"/>
      <c r="F4418" s="113"/>
      <c r="G4418" s="112"/>
      <c r="H4418" s="112"/>
      <c r="Z4418" s="112"/>
      <c r="AA4418" s="112"/>
    </row>
    <row r="4419" spans="3:27" x14ac:dyDescent="0.25">
      <c r="C4419" s="112"/>
      <c r="D4419" s="112"/>
      <c r="E4419" s="113"/>
      <c r="F4419" s="113"/>
      <c r="G4419" s="112"/>
      <c r="H4419" s="112"/>
      <c r="Z4419" s="112"/>
      <c r="AA4419" s="112"/>
    </row>
    <row r="4420" spans="3:27" x14ac:dyDescent="0.25">
      <c r="C4420" s="112"/>
      <c r="D4420" s="112"/>
      <c r="E4420" s="113"/>
      <c r="F4420" s="113"/>
      <c r="G4420" s="112"/>
      <c r="H4420" s="112"/>
      <c r="Z4420" s="112"/>
      <c r="AA4420" s="112"/>
    </row>
    <row r="4421" spans="3:27" x14ac:dyDescent="0.25">
      <c r="C4421" s="112"/>
      <c r="D4421" s="112"/>
      <c r="E4421" s="113"/>
      <c r="F4421" s="113"/>
      <c r="G4421" s="112"/>
      <c r="H4421" s="112"/>
      <c r="Z4421" s="112"/>
      <c r="AA4421" s="112"/>
    </row>
    <row r="4422" spans="3:27" x14ac:dyDescent="0.25">
      <c r="C4422" s="112"/>
      <c r="D4422" s="112"/>
      <c r="E4422" s="113"/>
      <c r="F4422" s="113"/>
      <c r="G4422" s="112"/>
      <c r="H4422" s="112"/>
      <c r="Z4422" s="112"/>
      <c r="AA4422" s="112"/>
    </row>
    <row r="4423" spans="3:27" x14ac:dyDescent="0.25">
      <c r="C4423" s="112"/>
      <c r="D4423" s="112"/>
      <c r="E4423" s="113"/>
      <c r="F4423" s="113"/>
      <c r="G4423" s="112"/>
      <c r="H4423" s="112"/>
      <c r="Z4423" s="112"/>
      <c r="AA4423" s="112"/>
    </row>
    <row r="4424" spans="3:27" x14ac:dyDescent="0.25">
      <c r="C4424" s="112"/>
      <c r="D4424" s="112"/>
      <c r="E4424" s="113"/>
      <c r="F4424" s="113"/>
      <c r="G4424" s="112"/>
      <c r="H4424" s="112"/>
      <c r="Z4424" s="112"/>
      <c r="AA4424" s="112"/>
    </row>
    <row r="4425" spans="3:27" x14ac:dyDescent="0.25">
      <c r="C4425" s="112"/>
      <c r="D4425" s="112"/>
      <c r="E4425" s="113"/>
      <c r="F4425" s="113"/>
      <c r="G4425" s="112"/>
      <c r="H4425" s="112"/>
      <c r="Z4425" s="112"/>
      <c r="AA4425" s="112"/>
    </row>
    <row r="4426" spans="3:27" x14ac:dyDescent="0.25">
      <c r="C4426" s="112"/>
      <c r="D4426" s="112"/>
      <c r="E4426" s="113"/>
      <c r="F4426" s="113"/>
      <c r="G4426" s="112"/>
      <c r="H4426" s="112"/>
      <c r="Z4426" s="112"/>
      <c r="AA4426" s="112"/>
    </row>
    <row r="4427" spans="3:27" x14ac:dyDescent="0.25">
      <c r="C4427" s="112"/>
      <c r="D4427" s="112"/>
      <c r="E4427" s="113"/>
      <c r="F4427" s="113"/>
      <c r="G4427" s="112"/>
      <c r="H4427" s="112"/>
      <c r="Z4427" s="112"/>
      <c r="AA4427" s="112"/>
    </row>
    <row r="4428" spans="3:27" x14ac:dyDescent="0.25">
      <c r="C4428" s="112"/>
      <c r="D4428" s="112"/>
      <c r="E4428" s="113"/>
      <c r="F4428" s="113"/>
      <c r="G4428" s="112"/>
      <c r="H4428" s="112"/>
      <c r="Z4428" s="112"/>
      <c r="AA4428" s="112"/>
    </row>
    <row r="4429" spans="3:27" x14ac:dyDescent="0.25">
      <c r="C4429" s="112"/>
      <c r="D4429" s="112"/>
      <c r="E4429" s="113"/>
      <c r="F4429" s="113"/>
      <c r="G4429" s="112"/>
      <c r="H4429" s="112"/>
      <c r="Z4429" s="112"/>
      <c r="AA4429" s="112"/>
    </row>
    <row r="4430" spans="3:27" x14ac:dyDescent="0.25">
      <c r="C4430" s="112"/>
      <c r="D4430" s="112"/>
      <c r="E4430" s="113"/>
      <c r="F4430" s="113"/>
      <c r="G4430" s="112"/>
      <c r="H4430" s="112"/>
      <c r="Z4430" s="112"/>
      <c r="AA4430" s="112"/>
    </row>
    <row r="4431" spans="3:27" x14ac:dyDescent="0.25">
      <c r="C4431" s="112"/>
      <c r="D4431" s="112"/>
      <c r="E4431" s="113"/>
      <c r="F4431" s="113"/>
      <c r="G4431" s="112"/>
      <c r="H4431" s="112"/>
      <c r="Z4431" s="112"/>
      <c r="AA4431" s="112"/>
    </row>
    <row r="4432" spans="3:27" x14ac:dyDescent="0.25">
      <c r="C4432" s="112"/>
      <c r="D4432" s="112"/>
      <c r="E4432" s="113"/>
      <c r="F4432" s="113"/>
      <c r="G4432" s="112"/>
      <c r="H4432" s="112"/>
      <c r="Z4432" s="112"/>
      <c r="AA4432" s="112"/>
    </row>
    <row r="4433" spans="3:27" x14ac:dyDescent="0.25">
      <c r="C4433" s="112"/>
      <c r="D4433" s="112"/>
      <c r="E4433" s="113"/>
      <c r="F4433" s="113"/>
      <c r="G4433" s="112"/>
      <c r="H4433" s="112"/>
      <c r="Z4433" s="112"/>
      <c r="AA4433" s="112"/>
    </row>
    <row r="4434" spans="3:27" x14ac:dyDescent="0.25">
      <c r="C4434" s="112"/>
      <c r="D4434" s="112"/>
      <c r="E4434" s="113"/>
      <c r="F4434" s="113"/>
      <c r="G4434" s="112"/>
      <c r="H4434" s="112"/>
      <c r="Z4434" s="112"/>
      <c r="AA4434" s="112"/>
    </row>
    <row r="4435" spans="3:27" x14ac:dyDescent="0.25">
      <c r="C4435" s="112"/>
      <c r="D4435" s="112"/>
      <c r="E4435" s="113"/>
      <c r="F4435" s="113"/>
      <c r="G4435" s="112"/>
      <c r="H4435" s="112"/>
      <c r="Z4435" s="112"/>
      <c r="AA4435" s="112"/>
    </row>
    <row r="4436" spans="3:27" x14ac:dyDescent="0.25">
      <c r="C4436" s="112"/>
      <c r="D4436" s="112"/>
      <c r="E4436" s="113"/>
      <c r="F4436" s="113"/>
      <c r="G4436" s="112"/>
      <c r="H4436" s="112"/>
      <c r="Z4436" s="112"/>
      <c r="AA4436" s="112"/>
    </row>
    <row r="4437" spans="3:27" x14ac:dyDescent="0.25">
      <c r="C4437" s="112"/>
      <c r="D4437" s="112"/>
      <c r="E4437" s="113"/>
      <c r="F4437" s="113"/>
      <c r="G4437" s="112"/>
      <c r="H4437" s="112"/>
      <c r="Z4437" s="112"/>
      <c r="AA4437" s="112"/>
    </row>
    <row r="4438" spans="3:27" x14ac:dyDescent="0.25">
      <c r="C4438" s="112"/>
      <c r="D4438" s="112"/>
      <c r="E4438" s="113"/>
      <c r="F4438" s="113"/>
      <c r="G4438" s="112"/>
      <c r="H4438" s="112"/>
      <c r="Z4438" s="112"/>
      <c r="AA4438" s="112"/>
    </row>
    <row r="4439" spans="3:27" x14ac:dyDescent="0.25">
      <c r="C4439" s="112"/>
      <c r="D4439" s="112"/>
      <c r="E4439" s="113"/>
      <c r="F4439" s="113"/>
      <c r="G4439" s="112"/>
      <c r="H4439" s="112"/>
      <c r="Z4439" s="112"/>
      <c r="AA4439" s="112"/>
    </row>
    <row r="4440" spans="3:27" x14ac:dyDescent="0.25">
      <c r="C4440" s="112"/>
      <c r="D4440" s="112"/>
      <c r="E4440" s="113"/>
      <c r="F4440" s="113"/>
      <c r="G4440" s="112"/>
      <c r="H4440" s="112"/>
      <c r="Z4440" s="112"/>
      <c r="AA4440" s="112"/>
    </row>
    <row r="4441" spans="3:27" x14ac:dyDescent="0.25">
      <c r="C4441" s="112"/>
      <c r="D4441" s="112"/>
      <c r="E4441" s="113"/>
      <c r="F4441" s="113"/>
      <c r="G4441" s="112"/>
      <c r="H4441" s="112"/>
      <c r="Z4441" s="112"/>
      <c r="AA4441" s="112"/>
    </row>
    <row r="4442" spans="3:27" x14ac:dyDescent="0.25">
      <c r="C4442" s="112"/>
      <c r="D4442" s="112"/>
      <c r="E4442" s="113"/>
      <c r="F4442" s="113"/>
      <c r="G4442" s="112"/>
      <c r="H4442" s="112"/>
      <c r="Z4442" s="112"/>
      <c r="AA4442" s="112"/>
    </row>
    <row r="4443" spans="3:27" x14ac:dyDescent="0.25">
      <c r="C4443" s="112"/>
      <c r="D4443" s="112"/>
      <c r="E4443" s="113"/>
      <c r="F4443" s="113"/>
      <c r="G4443" s="112"/>
      <c r="H4443" s="112"/>
      <c r="Z4443" s="112"/>
      <c r="AA4443" s="112"/>
    </row>
    <row r="4444" spans="3:27" x14ac:dyDescent="0.25">
      <c r="C4444" s="112"/>
      <c r="D4444" s="112"/>
      <c r="E4444" s="113"/>
      <c r="F4444" s="113"/>
      <c r="G4444" s="112"/>
      <c r="H4444" s="112"/>
      <c r="Z4444" s="112"/>
      <c r="AA4444" s="112"/>
    </row>
    <row r="4445" spans="3:27" x14ac:dyDescent="0.25">
      <c r="C4445" s="112"/>
      <c r="D4445" s="112"/>
      <c r="E4445" s="113"/>
      <c r="F4445" s="113"/>
      <c r="G4445" s="112"/>
      <c r="H4445" s="112"/>
      <c r="Z4445" s="112"/>
      <c r="AA4445" s="112"/>
    </row>
    <row r="4446" spans="3:27" x14ac:dyDescent="0.25">
      <c r="C4446" s="112"/>
      <c r="D4446" s="112"/>
      <c r="E4446" s="113"/>
      <c r="F4446" s="113"/>
      <c r="G4446" s="112"/>
      <c r="H4446" s="112"/>
      <c r="Z4446" s="112"/>
      <c r="AA4446" s="112"/>
    </row>
    <row r="4447" spans="3:27" x14ac:dyDescent="0.25">
      <c r="C4447" s="112"/>
      <c r="D4447" s="112"/>
      <c r="E4447" s="113"/>
      <c r="F4447" s="113"/>
      <c r="G4447" s="112"/>
      <c r="H4447" s="112"/>
      <c r="Z4447" s="112"/>
      <c r="AA4447" s="112"/>
    </row>
    <row r="4448" spans="3:27" x14ac:dyDescent="0.25">
      <c r="C4448" s="112"/>
      <c r="D4448" s="112"/>
      <c r="E4448" s="113"/>
      <c r="F4448" s="113"/>
      <c r="G4448" s="112"/>
      <c r="H4448" s="112"/>
      <c r="Z4448" s="112"/>
      <c r="AA4448" s="112"/>
    </row>
    <row r="4449" spans="3:27" x14ac:dyDescent="0.25">
      <c r="C4449" s="112"/>
      <c r="D4449" s="112"/>
      <c r="E4449" s="113"/>
      <c r="F4449" s="113"/>
      <c r="G4449" s="112"/>
      <c r="H4449" s="112"/>
      <c r="Z4449" s="112"/>
      <c r="AA4449" s="112"/>
    </row>
    <row r="4450" spans="3:27" x14ac:dyDescent="0.25">
      <c r="C4450" s="112"/>
      <c r="D4450" s="112"/>
      <c r="E4450" s="113"/>
      <c r="F4450" s="113"/>
      <c r="G4450" s="112"/>
      <c r="H4450" s="112"/>
      <c r="Z4450" s="112"/>
      <c r="AA4450" s="112"/>
    </row>
    <row r="4451" spans="3:27" x14ac:dyDescent="0.25">
      <c r="C4451" s="112"/>
      <c r="D4451" s="112"/>
      <c r="E4451" s="113"/>
      <c r="F4451" s="113"/>
      <c r="G4451" s="112"/>
      <c r="H4451" s="112"/>
      <c r="Z4451" s="112"/>
      <c r="AA4451" s="112"/>
    </row>
    <row r="4452" spans="3:27" x14ac:dyDescent="0.25">
      <c r="C4452" s="112"/>
      <c r="D4452" s="112"/>
      <c r="E4452" s="113"/>
      <c r="F4452" s="113"/>
      <c r="G4452" s="112"/>
      <c r="H4452" s="112"/>
      <c r="Z4452" s="112"/>
      <c r="AA4452" s="112"/>
    </row>
    <row r="4453" spans="3:27" x14ac:dyDescent="0.25">
      <c r="C4453" s="112"/>
      <c r="D4453" s="112"/>
      <c r="E4453" s="113"/>
      <c r="F4453" s="113"/>
      <c r="G4453" s="112"/>
      <c r="H4453" s="112"/>
      <c r="Z4453" s="112"/>
      <c r="AA4453" s="112"/>
    </row>
    <row r="4454" spans="3:27" x14ac:dyDescent="0.25">
      <c r="C4454" s="112"/>
      <c r="D4454" s="112"/>
      <c r="E4454" s="113"/>
      <c r="F4454" s="113"/>
      <c r="G4454" s="112"/>
      <c r="H4454" s="112"/>
      <c r="Z4454" s="112"/>
      <c r="AA4454" s="112"/>
    </row>
    <row r="4455" spans="3:27" x14ac:dyDescent="0.25">
      <c r="C4455" s="112"/>
      <c r="D4455" s="112"/>
      <c r="E4455" s="113"/>
      <c r="F4455" s="113"/>
      <c r="G4455" s="112"/>
      <c r="H4455" s="112"/>
      <c r="Z4455" s="112"/>
      <c r="AA4455" s="112"/>
    </row>
    <row r="4456" spans="3:27" x14ac:dyDescent="0.25">
      <c r="C4456" s="112"/>
      <c r="D4456" s="112"/>
      <c r="E4456" s="113"/>
      <c r="F4456" s="113"/>
      <c r="G4456" s="112"/>
      <c r="H4456" s="112"/>
      <c r="Z4456" s="112"/>
      <c r="AA4456" s="112"/>
    </row>
    <row r="4457" spans="3:27" x14ac:dyDescent="0.25">
      <c r="C4457" s="112"/>
      <c r="D4457" s="112"/>
      <c r="E4457" s="113"/>
      <c r="F4457" s="113"/>
      <c r="G4457" s="112"/>
      <c r="H4457" s="112"/>
      <c r="Z4457" s="112"/>
      <c r="AA4457" s="112"/>
    </row>
    <row r="4458" spans="3:27" x14ac:dyDescent="0.25">
      <c r="C4458" s="112"/>
      <c r="D4458" s="112"/>
      <c r="E4458" s="113"/>
      <c r="F4458" s="113"/>
      <c r="G4458" s="112"/>
      <c r="H4458" s="112"/>
      <c r="Z4458" s="112"/>
      <c r="AA4458" s="112"/>
    </row>
    <row r="4459" spans="3:27" x14ac:dyDescent="0.25">
      <c r="C4459" s="112"/>
      <c r="D4459" s="112"/>
      <c r="E4459" s="113"/>
      <c r="F4459" s="113"/>
      <c r="G4459" s="112"/>
      <c r="H4459" s="112"/>
      <c r="Z4459" s="112"/>
      <c r="AA4459" s="112"/>
    </row>
    <row r="4460" spans="3:27" x14ac:dyDescent="0.25">
      <c r="C4460" s="112"/>
      <c r="D4460" s="112"/>
      <c r="E4460" s="113"/>
      <c r="F4460" s="113"/>
      <c r="G4460" s="112"/>
      <c r="H4460" s="112"/>
      <c r="Z4460" s="112"/>
      <c r="AA4460" s="112"/>
    </row>
    <row r="4461" spans="3:27" x14ac:dyDescent="0.25">
      <c r="C4461" s="112"/>
      <c r="D4461" s="112"/>
      <c r="E4461" s="113"/>
      <c r="F4461" s="113"/>
      <c r="G4461" s="112"/>
      <c r="H4461" s="112"/>
      <c r="Z4461" s="112"/>
      <c r="AA4461" s="112"/>
    </row>
    <row r="4462" spans="3:27" x14ac:dyDescent="0.25">
      <c r="C4462" s="112"/>
      <c r="D4462" s="112"/>
      <c r="E4462" s="113"/>
      <c r="F4462" s="113"/>
      <c r="G4462" s="112"/>
      <c r="H4462" s="112"/>
      <c r="Z4462" s="112"/>
      <c r="AA4462" s="112"/>
    </row>
    <row r="4463" spans="3:27" x14ac:dyDescent="0.25">
      <c r="C4463" s="112"/>
      <c r="D4463" s="112"/>
      <c r="E4463" s="113"/>
      <c r="F4463" s="113"/>
      <c r="G4463" s="112"/>
      <c r="H4463" s="112"/>
      <c r="Z4463" s="112"/>
      <c r="AA4463" s="112"/>
    </row>
    <row r="4464" spans="3:27" x14ac:dyDescent="0.25">
      <c r="C4464" s="112"/>
      <c r="D4464" s="112"/>
      <c r="E4464" s="113"/>
      <c r="F4464" s="113"/>
      <c r="G4464" s="112"/>
      <c r="H4464" s="112"/>
      <c r="Z4464" s="112"/>
      <c r="AA4464" s="112"/>
    </row>
    <row r="4465" spans="3:27" x14ac:dyDescent="0.25">
      <c r="C4465" s="112"/>
      <c r="D4465" s="112"/>
      <c r="E4465" s="113"/>
      <c r="F4465" s="113"/>
      <c r="G4465" s="112"/>
      <c r="H4465" s="112"/>
      <c r="Z4465" s="112"/>
      <c r="AA4465" s="112"/>
    </row>
    <row r="4466" spans="3:27" x14ac:dyDescent="0.25">
      <c r="C4466" s="112"/>
      <c r="D4466" s="112"/>
      <c r="E4466" s="113"/>
      <c r="F4466" s="113"/>
      <c r="G4466" s="112"/>
      <c r="H4466" s="112"/>
      <c r="Z4466" s="112"/>
      <c r="AA4466" s="112"/>
    </row>
    <row r="4467" spans="3:27" x14ac:dyDescent="0.25">
      <c r="C4467" s="112"/>
      <c r="D4467" s="112"/>
      <c r="E4467" s="113"/>
      <c r="F4467" s="113"/>
      <c r="G4467" s="112"/>
      <c r="H4467" s="112"/>
      <c r="Z4467" s="112"/>
      <c r="AA4467" s="112"/>
    </row>
    <row r="4468" spans="3:27" x14ac:dyDescent="0.25">
      <c r="C4468" s="112"/>
      <c r="D4468" s="112"/>
      <c r="E4468" s="113"/>
      <c r="F4468" s="113"/>
      <c r="G4468" s="112"/>
      <c r="H4468" s="112"/>
      <c r="Z4468" s="112"/>
      <c r="AA4468" s="112"/>
    </row>
    <row r="4469" spans="3:27" x14ac:dyDescent="0.25">
      <c r="C4469" s="112"/>
      <c r="D4469" s="112"/>
      <c r="E4469" s="113"/>
      <c r="F4469" s="113"/>
      <c r="G4469" s="112"/>
      <c r="H4469" s="112"/>
      <c r="Z4469" s="112"/>
      <c r="AA4469" s="112"/>
    </row>
    <row r="4470" spans="3:27" x14ac:dyDescent="0.25">
      <c r="C4470" s="112"/>
      <c r="D4470" s="112"/>
      <c r="E4470" s="113"/>
      <c r="F4470" s="113"/>
      <c r="G4470" s="112"/>
      <c r="H4470" s="112"/>
      <c r="Z4470" s="112"/>
      <c r="AA4470" s="112"/>
    </row>
    <row r="4471" spans="3:27" x14ac:dyDescent="0.25">
      <c r="C4471" s="112"/>
      <c r="D4471" s="112"/>
      <c r="E4471" s="113"/>
      <c r="F4471" s="113"/>
      <c r="G4471" s="112"/>
      <c r="H4471" s="112"/>
      <c r="Z4471" s="112"/>
      <c r="AA4471" s="112"/>
    </row>
    <row r="4472" spans="3:27" x14ac:dyDescent="0.25">
      <c r="C4472" s="112"/>
      <c r="D4472" s="112"/>
      <c r="E4472" s="113"/>
      <c r="F4472" s="113"/>
      <c r="G4472" s="112"/>
      <c r="H4472" s="112"/>
      <c r="Z4472" s="112"/>
      <c r="AA4472" s="112"/>
    </row>
    <row r="4473" spans="3:27" x14ac:dyDescent="0.25">
      <c r="C4473" s="112"/>
      <c r="D4473" s="112"/>
      <c r="E4473" s="113"/>
      <c r="F4473" s="113"/>
      <c r="G4473" s="112"/>
      <c r="H4473" s="112"/>
      <c r="Z4473" s="112"/>
      <c r="AA4473" s="112"/>
    </row>
    <row r="4474" spans="3:27" x14ac:dyDescent="0.25">
      <c r="C4474" s="112"/>
      <c r="D4474" s="112"/>
      <c r="E4474" s="113"/>
      <c r="F4474" s="113"/>
      <c r="G4474" s="112"/>
      <c r="H4474" s="112"/>
      <c r="Z4474" s="112"/>
      <c r="AA4474" s="112"/>
    </row>
    <row r="4475" spans="3:27" x14ac:dyDescent="0.25">
      <c r="C4475" s="112"/>
      <c r="D4475" s="112"/>
      <c r="E4475" s="113"/>
      <c r="F4475" s="113"/>
      <c r="G4475" s="112"/>
      <c r="H4475" s="112"/>
      <c r="Z4475" s="112"/>
      <c r="AA4475" s="112"/>
    </row>
    <row r="4476" spans="3:27" x14ac:dyDescent="0.25">
      <c r="C4476" s="112"/>
      <c r="D4476" s="112"/>
      <c r="E4476" s="113"/>
      <c r="F4476" s="113"/>
      <c r="G4476" s="112"/>
      <c r="H4476" s="112"/>
      <c r="Z4476" s="112"/>
      <c r="AA4476" s="112"/>
    </row>
    <row r="4477" spans="3:27" x14ac:dyDescent="0.25">
      <c r="C4477" s="112"/>
      <c r="D4477" s="112"/>
      <c r="E4477" s="113"/>
      <c r="F4477" s="113"/>
      <c r="G4477" s="112"/>
      <c r="H4477" s="112"/>
      <c r="Z4477" s="112"/>
      <c r="AA4477" s="112"/>
    </row>
    <row r="4478" spans="3:27" x14ac:dyDescent="0.25">
      <c r="C4478" s="112"/>
      <c r="D4478" s="112"/>
      <c r="E4478" s="113"/>
      <c r="F4478" s="113"/>
      <c r="G4478" s="112"/>
      <c r="H4478" s="112"/>
      <c r="Z4478" s="112"/>
      <c r="AA4478" s="112"/>
    </row>
    <row r="4479" spans="3:27" x14ac:dyDescent="0.25">
      <c r="C4479" s="112"/>
      <c r="D4479" s="112"/>
      <c r="E4479" s="113"/>
      <c r="F4479" s="113"/>
      <c r="G4479" s="112"/>
      <c r="H4479" s="112"/>
      <c r="Z4479" s="112"/>
      <c r="AA4479" s="112"/>
    </row>
    <row r="4480" spans="3:27" x14ac:dyDescent="0.25">
      <c r="C4480" s="112"/>
      <c r="D4480" s="112"/>
      <c r="E4480" s="113"/>
      <c r="F4480" s="113"/>
      <c r="G4480" s="112"/>
      <c r="H4480" s="112"/>
      <c r="Z4480" s="112"/>
      <c r="AA4480" s="112"/>
    </row>
    <row r="4481" spans="3:27" x14ac:dyDescent="0.25">
      <c r="C4481" s="112"/>
      <c r="D4481" s="112"/>
      <c r="E4481" s="113"/>
      <c r="F4481" s="113"/>
      <c r="G4481" s="112"/>
      <c r="H4481" s="112"/>
      <c r="Z4481" s="112"/>
      <c r="AA4481" s="112"/>
    </row>
    <row r="4482" spans="3:27" x14ac:dyDescent="0.25">
      <c r="C4482" s="112"/>
      <c r="D4482" s="112"/>
      <c r="E4482" s="113"/>
      <c r="F4482" s="113"/>
      <c r="G4482" s="112"/>
      <c r="H4482" s="112"/>
      <c r="Z4482" s="112"/>
      <c r="AA4482" s="112"/>
    </row>
    <row r="4483" spans="3:27" x14ac:dyDescent="0.25">
      <c r="C4483" s="112"/>
      <c r="D4483" s="112"/>
      <c r="E4483" s="113"/>
      <c r="F4483" s="113"/>
      <c r="G4483" s="112"/>
      <c r="H4483" s="112"/>
      <c r="Z4483" s="112"/>
      <c r="AA4483" s="112"/>
    </row>
    <row r="4484" spans="3:27" x14ac:dyDescent="0.25">
      <c r="C4484" s="112"/>
      <c r="D4484" s="112"/>
      <c r="E4484" s="113"/>
      <c r="F4484" s="113"/>
      <c r="G4484" s="112"/>
      <c r="H4484" s="112"/>
      <c r="Z4484" s="112"/>
      <c r="AA4484" s="112"/>
    </row>
    <row r="4485" spans="3:27" x14ac:dyDescent="0.25">
      <c r="C4485" s="112"/>
      <c r="D4485" s="112"/>
      <c r="E4485" s="113"/>
      <c r="F4485" s="113"/>
      <c r="G4485" s="112"/>
      <c r="H4485" s="112"/>
      <c r="Z4485" s="112"/>
      <c r="AA4485" s="112"/>
    </row>
    <row r="4486" spans="3:27" x14ac:dyDescent="0.25">
      <c r="C4486" s="112"/>
      <c r="D4486" s="112"/>
      <c r="E4486" s="113"/>
      <c r="F4486" s="113"/>
      <c r="G4486" s="112"/>
      <c r="H4486" s="112"/>
      <c r="Z4486" s="112"/>
      <c r="AA4486" s="112"/>
    </row>
    <row r="4487" spans="3:27" x14ac:dyDescent="0.25">
      <c r="C4487" s="112"/>
      <c r="D4487" s="112"/>
      <c r="E4487" s="113"/>
      <c r="F4487" s="113"/>
      <c r="G4487" s="112"/>
      <c r="H4487" s="112"/>
      <c r="Z4487" s="112"/>
      <c r="AA4487" s="112"/>
    </row>
    <row r="4488" spans="3:27" x14ac:dyDescent="0.25">
      <c r="C4488" s="112"/>
      <c r="D4488" s="112"/>
      <c r="E4488" s="113"/>
      <c r="F4488" s="113"/>
      <c r="G4488" s="112"/>
      <c r="H4488" s="112"/>
      <c r="Z4488" s="112"/>
      <c r="AA4488" s="112"/>
    </row>
    <row r="4489" spans="3:27" x14ac:dyDescent="0.25">
      <c r="C4489" s="112"/>
      <c r="D4489" s="112"/>
      <c r="E4489" s="113"/>
      <c r="F4489" s="113"/>
      <c r="G4489" s="112"/>
      <c r="H4489" s="112"/>
      <c r="Z4489" s="112"/>
      <c r="AA4489" s="112"/>
    </row>
    <row r="4490" spans="3:27" x14ac:dyDescent="0.25">
      <c r="C4490" s="112"/>
      <c r="D4490" s="112"/>
      <c r="E4490" s="113"/>
      <c r="F4490" s="113"/>
      <c r="G4490" s="112"/>
      <c r="H4490" s="112"/>
      <c r="Z4490" s="112"/>
      <c r="AA4490" s="112"/>
    </row>
    <row r="4491" spans="3:27" x14ac:dyDescent="0.25">
      <c r="C4491" s="112"/>
      <c r="D4491" s="112"/>
      <c r="E4491" s="113"/>
      <c r="F4491" s="113"/>
      <c r="G4491" s="112"/>
      <c r="H4491" s="112"/>
      <c r="Z4491" s="112"/>
      <c r="AA4491" s="112"/>
    </row>
    <row r="4492" spans="3:27" x14ac:dyDescent="0.25">
      <c r="C4492" s="112"/>
      <c r="D4492" s="112"/>
      <c r="E4492" s="113"/>
      <c r="F4492" s="113"/>
      <c r="G4492" s="112"/>
      <c r="H4492" s="112"/>
      <c r="Z4492" s="112"/>
      <c r="AA4492" s="112"/>
    </row>
    <row r="4493" spans="3:27" x14ac:dyDescent="0.25">
      <c r="C4493" s="112"/>
      <c r="D4493" s="112"/>
      <c r="E4493" s="113"/>
      <c r="F4493" s="113"/>
      <c r="G4493" s="112"/>
      <c r="H4493" s="112"/>
      <c r="Z4493" s="112"/>
      <c r="AA4493" s="112"/>
    </row>
    <row r="4494" spans="3:27" x14ac:dyDescent="0.25">
      <c r="C4494" s="112"/>
      <c r="D4494" s="112"/>
      <c r="E4494" s="113"/>
      <c r="F4494" s="113"/>
      <c r="G4494" s="112"/>
      <c r="H4494" s="112"/>
      <c r="Z4494" s="112"/>
      <c r="AA4494" s="112"/>
    </row>
    <row r="4495" spans="3:27" x14ac:dyDescent="0.25">
      <c r="C4495" s="112"/>
      <c r="D4495" s="112"/>
      <c r="E4495" s="113"/>
      <c r="F4495" s="113"/>
      <c r="G4495" s="112"/>
      <c r="H4495" s="112"/>
      <c r="Z4495" s="112"/>
      <c r="AA4495" s="112"/>
    </row>
    <row r="4496" spans="3:27" x14ac:dyDescent="0.25">
      <c r="C4496" s="112"/>
      <c r="D4496" s="112"/>
      <c r="E4496" s="113"/>
      <c r="F4496" s="113"/>
      <c r="G4496" s="112"/>
      <c r="H4496" s="112"/>
      <c r="Z4496" s="112"/>
      <c r="AA4496" s="112"/>
    </row>
    <row r="4497" spans="3:27" x14ac:dyDescent="0.25">
      <c r="C4497" s="112"/>
      <c r="D4497" s="112"/>
      <c r="E4497" s="113"/>
      <c r="F4497" s="113"/>
      <c r="G4497" s="112"/>
      <c r="H4497" s="112"/>
      <c r="Z4497" s="112"/>
      <c r="AA4497" s="112"/>
    </row>
    <row r="4498" spans="3:27" x14ac:dyDescent="0.25">
      <c r="C4498" s="112"/>
      <c r="D4498" s="112"/>
      <c r="E4498" s="113"/>
      <c r="F4498" s="113"/>
      <c r="G4498" s="112"/>
      <c r="H4498" s="112"/>
      <c r="Z4498" s="112"/>
      <c r="AA4498" s="112"/>
    </row>
    <row r="4499" spans="3:27" x14ac:dyDescent="0.25">
      <c r="C4499" s="112"/>
      <c r="D4499" s="112"/>
      <c r="E4499" s="113"/>
      <c r="F4499" s="113"/>
      <c r="G4499" s="112"/>
      <c r="H4499" s="112"/>
      <c r="Z4499" s="112"/>
      <c r="AA4499" s="112"/>
    </row>
    <row r="4500" spans="3:27" x14ac:dyDescent="0.25">
      <c r="C4500" s="112"/>
      <c r="D4500" s="112"/>
      <c r="E4500" s="113"/>
      <c r="F4500" s="113"/>
      <c r="G4500" s="112"/>
      <c r="H4500" s="112"/>
      <c r="Z4500" s="112"/>
      <c r="AA4500" s="112"/>
    </row>
    <row r="4501" spans="3:27" x14ac:dyDescent="0.25">
      <c r="C4501" s="112"/>
      <c r="D4501" s="112"/>
      <c r="E4501" s="113"/>
      <c r="F4501" s="113"/>
      <c r="G4501" s="112"/>
      <c r="H4501" s="112"/>
      <c r="Z4501" s="112"/>
      <c r="AA4501" s="112"/>
    </row>
    <row r="4502" spans="3:27" x14ac:dyDescent="0.25">
      <c r="C4502" s="112"/>
      <c r="D4502" s="112"/>
      <c r="E4502" s="113"/>
      <c r="F4502" s="113"/>
      <c r="G4502" s="112"/>
      <c r="H4502" s="112"/>
      <c r="Z4502" s="112"/>
      <c r="AA4502" s="112"/>
    </row>
    <row r="4503" spans="3:27" x14ac:dyDescent="0.25">
      <c r="C4503" s="112"/>
      <c r="D4503" s="112"/>
      <c r="E4503" s="113"/>
      <c r="F4503" s="113"/>
      <c r="G4503" s="112"/>
      <c r="H4503" s="112"/>
      <c r="Z4503" s="112"/>
      <c r="AA4503" s="112"/>
    </row>
    <row r="4504" spans="3:27" x14ac:dyDescent="0.25">
      <c r="C4504" s="112"/>
      <c r="D4504" s="112"/>
      <c r="E4504" s="113"/>
      <c r="F4504" s="113"/>
      <c r="G4504" s="112"/>
      <c r="H4504" s="112"/>
      <c r="Z4504" s="112"/>
      <c r="AA4504" s="112"/>
    </row>
    <row r="4505" spans="3:27" x14ac:dyDescent="0.25">
      <c r="C4505" s="112"/>
      <c r="D4505" s="112"/>
      <c r="E4505" s="113"/>
      <c r="F4505" s="113"/>
      <c r="G4505" s="112"/>
      <c r="H4505" s="112"/>
      <c r="Z4505" s="112"/>
      <c r="AA4505" s="112"/>
    </row>
    <row r="4506" spans="3:27" x14ac:dyDescent="0.25">
      <c r="C4506" s="112"/>
      <c r="D4506" s="112"/>
      <c r="E4506" s="113"/>
      <c r="F4506" s="113"/>
      <c r="G4506" s="112"/>
      <c r="H4506" s="112"/>
      <c r="Z4506" s="112"/>
      <c r="AA4506" s="112"/>
    </row>
    <row r="4507" spans="3:27" x14ac:dyDescent="0.25">
      <c r="C4507" s="112"/>
      <c r="D4507" s="112"/>
      <c r="E4507" s="113"/>
      <c r="F4507" s="113"/>
      <c r="G4507" s="112"/>
      <c r="H4507" s="112"/>
      <c r="Z4507" s="112"/>
      <c r="AA4507" s="112"/>
    </row>
    <row r="4508" spans="3:27" x14ac:dyDescent="0.25">
      <c r="C4508" s="112"/>
      <c r="D4508" s="112"/>
      <c r="E4508" s="113"/>
      <c r="F4508" s="113"/>
      <c r="G4508" s="112"/>
      <c r="H4508" s="112"/>
      <c r="Z4508" s="112"/>
      <c r="AA4508" s="112"/>
    </row>
    <row r="4509" spans="3:27" x14ac:dyDescent="0.25">
      <c r="C4509" s="112"/>
      <c r="D4509" s="112"/>
      <c r="E4509" s="113"/>
      <c r="F4509" s="113"/>
      <c r="G4509" s="112"/>
      <c r="H4509" s="112"/>
      <c r="Z4509" s="112"/>
      <c r="AA4509" s="112"/>
    </row>
    <row r="4510" spans="3:27" x14ac:dyDescent="0.25">
      <c r="C4510" s="112"/>
      <c r="D4510" s="112"/>
      <c r="E4510" s="113"/>
      <c r="F4510" s="113"/>
      <c r="G4510" s="112"/>
      <c r="H4510" s="112"/>
      <c r="Z4510" s="112"/>
      <c r="AA4510" s="112"/>
    </row>
    <row r="4511" spans="3:27" x14ac:dyDescent="0.25">
      <c r="C4511" s="112"/>
      <c r="D4511" s="112"/>
      <c r="E4511" s="113"/>
      <c r="F4511" s="113"/>
      <c r="G4511" s="112"/>
      <c r="H4511" s="112"/>
      <c r="Z4511" s="112"/>
      <c r="AA4511" s="112"/>
    </row>
    <row r="4512" spans="3:27" x14ac:dyDescent="0.25">
      <c r="C4512" s="112"/>
      <c r="D4512" s="112"/>
      <c r="E4512" s="113"/>
      <c r="F4512" s="113"/>
      <c r="G4512" s="112"/>
      <c r="H4512" s="112"/>
      <c r="Z4512" s="112"/>
      <c r="AA4512" s="112"/>
    </row>
    <row r="4513" spans="3:27" x14ac:dyDescent="0.25">
      <c r="C4513" s="112"/>
      <c r="D4513" s="112"/>
      <c r="E4513" s="113"/>
      <c r="F4513" s="113"/>
      <c r="G4513" s="112"/>
      <c r="H4513" s="112"/>
      <c r="Z4513" s="112"/>
      <c r="AA4513" s="112"/>
    </row>
    <row r="4514" spans="3:27" x14ac:dyDescent="0.25">
      <c r="C4514" s="112"/>
      <c r="D4514" s="112"/>
      <c r="E4514" s="113"/>
      <c r="F4514" s="113"/>
      <c r="G4514" s="112"/>
      <c r="H4514" s="112"/>
      <c r="Z4514" s="112"/>
      <c r="AA4514" s="112"/>
    </row>
    <row r="4515" spans="3:27" x14ac:dyDescent="0.25">
      <c r="C4515" s="112"/>
      <c r="D4515" s="112"/>
      <c r="E4515" s="113"/>
      <c r="F4515" s="113"/>
      <c r="G4515" s="112"/>
      <c r="H4515" s="112"/>
      <c r="Z4515" s="112"/>
      <c r="AA4515" s="112"/>
    </row>
    <row r="4516" spans="3:27" x14ac:dyDescent="0.25">
      <c r="C4516" s="112"/>
      <c r="D4516" s="112"/>
      <c r="E4516" s="113"/>
      <c r="F4516" s="113"/>
      <c r="G4516" s="112"/>
      <c r="H4516" s="112"/>
      <c r="Z4516" s="112"/>
      <c r="AA4516" s="112"/>
    </row>
    <row r="4517" spans="3:27" x14ac:dyDescent="0.25">
      <c r="C4517" s="112"/>
      <c r="D4517" s="112"/>
      <c r="E4517" s="113"/>
      <c r="F4517" s="113"/>
      <c r="G4517" s="112"/>
      <c r="H4517" s="112"/>
      <c r="Z4517" s="112"/>
      <c r="AA4517" s="112"/>
    </row>
    <row r="4518" spans="3:27" x14ac:dyDescent="0.25">
      <c r="C4518" s="112"/>
      <c r="D4518" s="112"/>
      <c r="E4518" s="113"/>
      <c r="F4518" s="113"/>
      <c r="G4518" s="112"/>
      <c r="H4518" s="112"/>
      <c r="Z4518" s="112"/>
      <c r="AA4518" s="112"/>
    </row>
    <row r="4519" spans="3:27" x14ac:dyDescent="0.25">
      <c r="C4519" s="112"/>
      <c r="D4519" s="112"/>
      <c r="E4519" s="113"/>
      <c r="F4519" s="113"/>
      <c r="G4519" s="112"/>
      <c r="H4519" s="112"/>
      <c r="Z4519" s="112"/>
      <c r="AA4519" s="112"/>
    </row>
    <row r="4520" spans="3:27" x14ac:dyDescent="0.25">
      <c r="C4520" s="112"/>
      <c r="D4520" s="112"/>
      <c r="E4520" s="113"/>
      <c r="F4520" s="113"/>
      <c r="G4520" s="112"/>
      <c r="H4520" s="112"/>
      <c r="Z4520" s="112"/>
      <c r="AA4520" s="112"/>
    </row>
    <row r="4521" spans="3:27" x14ac:dyDescent="0.25">
      <c r="C4521" s="112"/>
      <c r="D4521" s="112"/>
      <c r="E4521" s="113"/>
      <c r="F4521" s="113"/>
      <c r="G4521" s="112"/>
      <c r="H4521" s="112"/>
      <c r="Z4521" s="112"/>
      <c r="AA4521" s="112"/>
    </row>
    <row r="4522" spans="3:27" x14ac:dyDescent="0.25">
      <c r="C4522" s="112"/>
      <c r="D4522" s="112"/>
      <c r="E4522" s="113"/>
      <c r="F4522" s="113"/>
      <c r="G4522" s="112"/>
      <c r="H4522" s="112"/>
      <c r="Z4522" s="112"/>
      <c r="AA4522" s="112"/>
    </row>
    <row r="4523" spans="3:27" x14ac:dyDescent="0.25">
      <c r="C4523" s="112"/>
      <c r="D4523" s="112"/>
      <c r="E4523" s="113"/>
      <c r="F4523" s="113"/>
      <c r="G4523" s="112"/>
      <c r="H4523" s="112"/>
      <c r="Z4523" s="112"/>
      <c r="AA4523" s="112"/>
    </row>
    <row r="4524" spans="3:27" x14ac:dyDescent="0.25">
      <c r="C4524" s="112"/>
      <c r="D4524" s="112"/>
      <c r="E4524" s="113"/>
      <c r="F4524" s="113"/>
      <c r="G4524" s="112"/>
      <c r="H4524" s="112"/>
      <c r="Z4524" s="112"/>
      <c r="AA4524" s="112"/>
    </row>
    <row r="4525" spans="3:27" x14ac:dyDescent="0.25">
      <c r="C4525" s="112"/>
      <c r="D4525" s="112"/>
      <c r="E4525" s="113"/>
      <c r="F4525" s="113"/>
      <c r="G4525" s="112"/>
      <c r="H4525" s="112"/>
      <c r="Z4525" s="112"/>
      <c r="AA4525" s="112"/>
    </row>
    <row r="4526" spans="3:27" x14ac:dyDescent="0.25">
      <c r="C4526" s="112"/>
      <c r="D4526" s="112"/>
      <c r="E4526" s="113"/>
      <c r="F4526" s="113"/>
      <c r="G4526" s="112"/>
      <c r="H4526" s="112"/>
      <c r="Z4526" s="112"/>
      <c r="AA4526" s="112"/>
    </row>
    <row r="4527" spans="3:27" x14ac:dyDescent="0.25">
      <c r="C4527" s="112"/>
      <c r="D4527" s="112"/>
      <c r="E4527" s="113"/>
      <c r="F4527" s="113"/>
      <c r="G4527" s="112"/>
      <c r="H4527" s="112"/>
      <c r="Z4527" s="112"/>
      <c r="AA4527" s="112"/>
    </row>
    <row r="4528" spans="3:27" x14ac:dyDescent="0.25">
      <c r="C4528" s="112"/>
      <c r="D4528" s="112"/>
      <c r="E4528" s="113"/>
      <c r="F4528" s="113"/>
      <c r="G4528" s="112"/>
      <c r="H4528" s="112"/>
      <c r="Z4528" s="112"/>
      <c r="AA4528" s="112"/>
    </row>
    <row r="4529" spans="3:27" x14ac:dyDescent="0.25">
      <c r="C4529" s="112"/>
      <c r="D4529" s="112"/>
      <c r="E4529" s="113"/>
      <c r="F4529" s="113"/>
      <c r="G4529" s="112"/>
      <c r="H4529" s="112"/>
      <c r="Z4529" s="112"/>
      <c r="AA4529" s="112"/>
    </row>
    <row r="4530" spans="3:27" x14ac:dyDescent="0.25">
      <c r="C4530" s="112"/>
      <c r="D4530" s="112"/>
      <c r="E4530" s="113"/>
      <c r="F4530" s="113"/>
      <c r="G4530" s="112"/>
      <c r="H4530" s="112"/>
      <c r="Z4530" s="112"/>
      <c r="AA4530" s="112"/>
    </row>
    <row r="4531" spans="3:27" x14ac:dyDescent="0.25">
      <c r="C4531" s="112"/>
      <c r="D4531" s="112"/>
      <c r="E4531" s="113"/>
      <c r="F4531" s="113"/>
      <c r="G4531" s="112"/>
      <c r="H4531" s="112"/>
      <c r="Z4531" s="112"/>
      <c r="AA4531" s="112"/>
    </row>
    <row r="4532" spans="3:27" x14ac:dyDescent="0.25">
      <c r="C4532" s="112"/>
      <c r="D4532" s="112"/>
      <c r="E4532" s="113"/>
      <c r="F4532" s="113"/>
      <c r="G4532" s="112"/>
      <c r="H4532" s="112"/>
      <c r="Z4532" s="112"/>
      <c r="AA4532" s="112"/>
    </row>
    <row r="4533" spans="3:27" x14ac:dyDescent="0.25">
      <c r="C4533" s="112"/>
      <c r="D4533" s="112"/>
      <c r="E4533" s="113"/>
      <c r="F4533" s="113"/>
      <c r="G4533" s="112"/>
      <c r="H4533" s="112"/>
      <c r="Z4533" s="112"/>
      <c r="AA4533" s="112"/>
    </row>
    <row r="4534" spans="3:27" x14ac:dyDescent="0.25">
      <c r="C4534" s="112"/>
      <c r="D4534" s="112"/>
      <c r="E4534" s="113"/>
      <c r="F4534" s="113"/>
      <c r="G4534" s="112"/>
      <c r="H4534" s="112"/>
      <c r="Z4534" s="112"/>
      <c r="AA4534" s="112"/>
    </row>
    <row r="4535" spans="3:27" x14ac:dyDescent="0.25">
      <c r="C4535" s="112"/>
      <c r="D4535" s="112"/>
      <c r="E4535" s="113"/>
      <c r="F4535" s="113"/>
      <c r="G4535" s="112"/>
      <c r="H4535" s="112"/>
      <c r="Z4535" s="112"/>
      <c r="AA4535" s="112"/>
    </row>
    <row r="4536" spans="3:27" x14ac:dyDescent="0.25">
      <c r="C4536" s="112"/>
      <c r="D4536" s="112"/>
      <c r="E4536" s="113"/>
      <c r="F4536" s="113"/>
      <c r="G4536" s="112"/>
      <c r="H4536" s="112"/>
      <c r="Z4536" s="112"/>
      <c r="AA4536" s="112"/>
    </row>
    <row r="4537" spans="3:27" x14ac:dyDescent="0.25">
      <c r="C4537" s="112"/>
      <c r="D4537" s="112"/>
      <c r="E4537" s="113"/>
      <c r="F4537" s="113"/>
      <c r="G4537" s="112"/>
      <c r="H4537" s="112"/>
      <c r="Z4537" s="112"/>
      <c r="AA4537" s="112"/>
    </row>
    <row r="4538" spans="3:27" x14ac:dyDescent="0.25">
      <c r="C4538" s="112"/>
      <c r="D4538" s="112"/>
      <c r="E4538" s="113"/>
      <c r="F4538" s="113"/>
      <c r="G4538" s="112"/>
      <c r="H4538" s="112"/>
      <c r="Z4538" s="112"/>
      <c r="AA4538" s="112"/>
    </row>
    <row r="4539" spans="3:27" x14ac:dyDescent="0.25">
      <c r="C4539" s="112"/>
      <c r="D4539" s="112"/>
      <c r="E4539" s="113"/>
      <c r="F4539" s="113"/>
      <c r="G4539" s="112"/>
      <c r="H4539" s="112"/>
      <c r="Z4539" s="112"/>
      <c r="AA4539" s="112"/>
    </row>
    <row r="4540" spans="3:27" x14ac:dyDescent="0.25">
      <c r="C4540" s="112"/>
      <c r="D4540" s="112"/>
      <c r="E4540" s="113"/>
      <c r="F4540" s="113"/>
      <c r="G4540" s="112"/>
      <c r="H4540" s="112"/>
      <c r="Z4540" s="112"/>
      <c r="AA4540" s="112"/>
    </row>
    <row r="4541" spans="3:27" x14ac:dyDescent="0.25">
      <c r="C4541" s="112"/>
      <c r="D4541" s="112"/>
      <c r="E4541" s="113"/>
      <c r="F4541" s="113"/>
      <c r="G4541" s="112"/>
      <c r="H4541" s="112"/>
      <c r="Z4541" s="112"/>
      <c r="AA4541" s="112"/>
    </row>
    <row r="4542" spans="3:27" x14ac:dyDescent="0.25">
      <c r="C4542" s="112"/>
      <c r="D4542" s="112"/>
      <c r="E4542" s="113"/>
      <c r="F4542" s="113"/>
      <c r="G4542" s="112"/>
      <c r="H4542" s="112"/>
      <c r="Z4542" s="112"/>
      <c r="AA4542" s="112"/>
    </row>
    <row r="4543" spans="3:27" x14ac:dyDescent="0.25">
      <c r="C4543" s="112"/>
      <c r="D4543" s="112"/>
      <c r="E4543" s="113"/>
      <c r="F4543" s="113"/>
      <c r="G4543" s="112"/>
      <c r="H4543" s="112"/>
      <c r="Z4543" s="112"/>
      <c r="AA4543" s="112"/>
    </row>
    <row r="4544" spans="3:27" x14ac:dyDescent="0.25">
      <c r="C4544" s="112"/>
      <c r="D4544" s="112"/>
      <c r="E4544" s="113"/>
      <c r="F4544" s="113"/>
      <c r="G4544" s="112"/>
      <c r="H4544" s="112"/>
      <c r="Z4544" s="112"/>
      <c r="AA4544" s="112"/>
    </row>
    <row r="4545" spans="3:27" x14ac:dyDescent="0.25">
      <c r="C4545" s="112"/>
      <c r="D4545" s="112"/>
      <c r="E4545" s="113"/>
      <c r="F4545" s="113"/>
      <c r="G4545" s="112"/>
      <c r="H4545" s="112"/>
      <c r="Z4545" s="112"/>
      <c r="AA4545" s="112"/>
    </row>
    <row r="4546" spans="3:27" x14ac:dyDescent="0.25">
      <c r="C4546" s="112"/>
      <c r="D4546" s="112"/>
      <c r="E4546" s="113"/>
      <c r="F4546" s="113"/>
      <c r="G4546" s="112"/>
      <c r="H4546" s="112"/>
      <c r="Z4546" s="112"/>
      <c r="AA4546" s="112"/>
    </row>
    <row r="4547" spans="3:27" x14ac:dyDescent="0.25">
      <c r="C4547" s="112"/>
      <c r="D4547" s="112"/>
      <c r="E4547" s="113"/>
      <c r="F4547" s="113"/>
      <c r="G4547" s="112"/>
      <c r="H4547" s="112"/>
      <c r="Z4547" s="112"/>
      <c r="AA4547" s="112"/>
    </row>
    <row r="4548" spans="3:27" x14ac:dyDescent="0.25">
      <c r="C4548" s="112"/>
      <c r="D4548" s="112"/>
      <c r="E4548" s="113"/>
      <c r="F4548" s="113"/>
      <c r="G4548" s="112"/>
      <c r="H4548" s="112"/>
      <c r="Z4548" s="112"/>
      <c r="AA4548" s="112"/>
    </row>
    <row r="4549" spans="3:27" x14ac:dyDescent="0.25">
      <c r="C4549" s="112"/>
      <c r="D4549" s="112"/>
      <c r="E4549" s="113"/>
      <c r="F4549" s="113"/>
      <c r="G4549" s="112"/>
      <c r="H4549" s="112"/>
      <c r="Z4549" s="112"/>
      <c r="AA4549" s="112"/>
    </row>
    <row r="4550" spans="3:27" x14ac:dyDescent="0.25">
      <c r="C4550" s="112"/>
      <c r="D4550" s="112"/>
      <c r="E4550" s="113"/>
      <c r="F4550" s="113"/>
      <c r="G4550" s="112"/>
      <c r="H4550" s="112"/>
      <c r="Z4550" s="112"/>
      <c r="AA4550" s="112"/>
    </row>
    <row r="4551" spans="3:27" x14ac:dyDescent="0.25">
      <c r="C4551" s="112"/>
      <c r="D4551" s="112"/>
      <c r="E4551" s="113"/>
      <c r="F4551" s="113"/>
      <c r="G4551" s="112"/>
      <c r="H4551" s="112"/>
      <c r="Z4551" s="112"/>
      <c r="AA4551" s="112"/>
    </row>
    <row r="4552" spans="3:27" x14ac:dyDescent="0.25">
      <c r="C4552" s="112"/>
      <c r="D4552" s="112"/>
      <c r="E4552" s="113"/>
      <c r="F4552" s="113"/>
      <c r="G4552" s="112"/>
      <c r="H4552" s="112"/>
      <c r="Z4552" s="112"/>
      <c r="AA4552" s="112"/>
    </row>
    <row r="4553" spans="3:27" x14ac:dyDescent="0.25">
      <c r="C4553" s="112"/>
      <c r="D4553" s="112"/>
      <c r="E4553" s="113"/>
      <c r="F4553" s="113"/>
      <c r="G4553" s="112"/>
      <c r="H4553" s="112"/>
      <c r="Z4553" s="112"/>
      <c r="AA4553" s="112"/>
    </row>
    <row r="4554" spans="3:27" x14ac:dyDescent="0.25">
      <c r="C4554" s="112"/>
      <c r="D4554" s="112"/>
      <c r="E4554" s="113"/>
      <c r="F4554" s="113"/>
      <c r="G4554" s="112"/>
      <c r="H4554" s="112"/>
      <c r="Z4554" s="112"/>
      <c r="AA4554" s="112"/>
    </row>
    <row r="4555" spans="3:27" x14ac:dyDescent="0.25">
      <c r="C4555" s="112"/>
      <c r="D4555" s="112"/>
      <c r="E4555" s="113"/>
      <c r="F4555" s="113"/>
      <c r="G4555" s="112"/>
      <c r="H4555" s="112"/>
      <c r="Z4555" s="112"/>
      <c r="AA4555" s="112"/>
    </row>
    <row r="4556" spans="3:27" x14ac:dyDescent="0.25">
      <c r="C4556" s="112"/>
      <c r="D4556" s="112"/>
      <c r="E4556" s="113"/>
      <c r="F4556" s="113"/>
      <c r="G4556" s="112"/>
      <c r="H4556" s="112"/>
      <c r="Z4556" s="112"/>
      <c r="AA4556" s="112"/>
    </row>
    <row r="4557" spans="3:27" x14ac:dyDescent="0.25">
      <c r="C4557" s="112"/>
      <c r="D4557" s="112"/>
      <c r="E4557" s="113"/>
      <c r="F4557" s="113"/>
      <c r="G4557" s="112"/>
      <c r="H4557" s="112"/>
      <c r="Z4557" s="112"/>
      <c r="AA4557" s="112"/>
    </row>
    <row r="4558" spans="3:27" x14ac:dyDescent="0.25">
      <c r="C4558" s="112"/>
      <c r="D4558" s="112"/>
      <c r="E4558" s="113"/>
      <c r="F4558" s="113"/>
      <c r="G4558" s="112"/>
      <c r="H4558" s="112"/>
      <c r="Z4558" s="112"/>
      <c r="AA4558" s="112"/>
    </row>
    <row r="4559" spans="3:27" x14ac:dyDescent="0.25">
      <c r="C4559" s="112"/>
      <c r="D4559" s="112"/>
      <c r="E4559" s="113"/>
      <c r="F4559" s="113"/>
      <c r="G4559" s="112"/>
      <c r="H4559" s="112"/>
      <c r="Z4559" s="112"/>
      <c r="AA4559" s="112"/>
    </row>
    <row r="4560" spans="3:27" x14ac:dyDescent="0.25">
      <c r="C4560" s="112"/>
      <c r="D4560" s="112"/>
      <c r="E4560" s="113"/>
      <c r="F4560" s="113"/>
      <c r="G4560" s="112"/>
      <c r="H4560" s="112"/>
      <c r="Z4560" s="112"/>
      <c r="AA4560" s="112"/>
    </row>
    <row r="4561" spans="3:27" x14ac:dyDescent="0.25">
      <c r="C4561" s="112"/>
      <c r="D4561" s="112"/>
      <c r="E4561" s="113"/>
      <c r="F4561" s="113"/>
      <c r="G4561" s="112"/>
      <c r="H4561" s="112"/>
      <c r="Z4561" s="112"/>
      <c r="AA4561" s="112"/>
    </row>
    <row r="4562" spans="3:27" x14ac:dyDescent="0.25">
      <c r="C4562" s="112"/>
      <c r="D4562" s="112"/>
      <c r="E4562" s="113"/>
      <c r="F4562" s="113"/>
      <c r="G4562" s="112"/>
      <c r="H4562" s="112"/>
      <c r="Z4562" s="112"/>
      <c r="AA4562" s="112"/>
    </row>
    <row r="4563" spans="3:27" x14ac:dyDescent="0.25">
      <c r="C4563" s="112"/>
      <c r="D4563" s="112"/>
      <c r="E4563" s="113"/>
      <c r="F4563" s="113"/>
      <c r="G4563" s="112"/>
      <c r="H4563" s="112"/>
      <c r="Z4563" s="112"/>
      <c r="AA4563" s="112"/>
    </row>
    <row r="4564" spans="3:27" x14ac:dyDescent="0.25">
      <c r="C4564" s="112"/>
      <c r="D4564" s="112"/>
      <c r="E4564" s="113"/>
      <c r="F4564" s="113"/>
      <c r="G4564" s="112"/>
      <c r="H4564" s="112"/>
      <c r="Z4564" s="112"/>
      <c r="AA4564" s="112"/>
    </row>
    <row r="4565" spans="3:27" x14ac:dyDescent="0.25">
      <c r="C4565" s="112"/>
      <c r="D4565" s="112"/>
      <c r="E4565" s="113"/>
      <c r="F4565" s="113"/>
      <c r="G4565" s="112"/>
      <c r="H4565" s="112"/>
      <c r="Z4565" s="112"/>
      <c r="AA4565" s="112"/>
    </row>
    <row r="4566" spans="3:27" x14ac:dyDescent="0.25">
      <c r="C4566" s="112"/>
      <c r="D4566" s="112"/>
      <c r="E4566" s="113"/>
      <c r="F4566" s="113"/>
      <c r="G4566" s="112"/>
      <c r="H4566" s="112"/>
      <c r="Z4566" s="112"/>
      <c r="AA4566" s="112"/>
    </row>
    <row r="4567" spans="3:27" x14ac:dyDescent="0.25">
      <c r="C4567" s="112"/>
      <c r="D4567" s="112"/>
      <c r="E4567" s="113"/>
      <c r="F4567" s="113"/>
      <c r="G4567" s="112"/>
      <c r="H4567" s="112"/>
      <c r="Z4567" s="112"/>
      <c r="AA4567" s="112"/>
    </row>
    <row r="4568" spans="3:27" x14ac:dyDescent="0.25">
      <c r="C4568" s="112"/>
      <c r="D4568" s="112"/>
      <c r="E4568" s="113"/>
      <c r="F4568" s="113"/>
      <c r="G4568" s="112"/>
      <c r="H4568" s="112"/>
      <c r="Z4568" s="112"/>
      <c r="AA4568" s="112"/>
    </row>
    <row r="4569" spans="3:27" x14ac:dyDescent="0.25">
      <c r="C4569" s="112"/>
      <c r="D4569" s="112"/>
      <c r="E4569" s="113"/>
      <c r="F4569" s="113"/>
      <c r="G4569" s="112"/>
      <c r="H4569" s="112"/>
      <c r="Z4569" s="112"/>
      <c r="AA4569" s="112"/>
    </row>
    <row r="4570" spans="3:27" x14ac:dyDescent="0.25">
      <c r="C4570" s="112"/>
      <c r="D4570" s="112"/>
      <c r="E4570" s="113"/>
      <c r="F4570" s="113"/>
      <c r="G4570" s="112"/>
      <c r="H4570" s="112"/>
      <c r="Z4570" s="112"/>
      <c r="AA4570" s="112"/>
    </row>
    <row r="4571" spans="3:27" x14ac:dyDescent="0.25">
      <c r="C4571" s="112"/>
      <c r="D4571" s="112"/>
      <c r="E4571" s="113"/>
      <c r="F4571" s="113"/>
      <c r="G4571" s="112"/>
      <c r="H4571" s="112"/>
      <c r="Z4571" s="112"/>
      <c r="AA4571" s="112"/>
    </row>
    <row r="4572" spans="3:27" x14ac:dyDescent="0.25">
      <c r="C4572" s="112"/>
      <c r="D4572" s="112"/>
      <c r="E4572" s="113"/>
      <c r="F4572" s="113"/>
      <c r="G4572" s="112"/>
      <c r="H4572" s="112"/>
      <c r="Z4572" s="112"/>
      <c r="AA4572" s="112"/>
    </row>
    <row r="4573" spans="3:27" x14ac:dyDescent="0.25">
      <c r="C4573" s="112"/>
      <c r="D4573" s="112"/>
      <c r="E4573" s="113"/>
      <c r="F4573" s="113"/>
      <c r="G4573" s="112"/>
      <c r="H4573" s="112"/>
      <c r="Z4573" s="112"/>
      <c r="AA4573" s="112"/>
    </row>
    <row r="4574" spans="3:27" x14ac:dyDescent="0.25">
      <c r="C4574" s="112"/>
      <c r="D4574" s="112"/>
      <c r="E4574" s="113"/>
      <c r="F4574" s="113"/>
      <c r="G4574" s="112"/>
      <c r="H4574" s="112"/>
      <c r="Z4574" s="112"/>
      <c r="AA4574" s="112"/>
    </row>
    <row r="4575" spans="3:27" x14ac:dyDescent="0.25">
      <c r="C4575" s="112"/>
      <c r="D4575" s="112"/>
      <c r="E4575" s="113"/>
      <c r="F4575" s="113"/>
      <c r="G4575" s="112"/>
      <c r="H4575" s="112"/>
      <c r="Z4575" s="112"/>
      <c r="AA4575" s="112"/>
    </row>
    <row r="4576" spans="3:27" x14ac:dyDescent="0.25">
      <c r="C4576" s="112"/>
      <c r="D4576" s="112"/>
      <c r="E4576" s="113"/>
      <c r="F4576" s="113"/>
      <c r="G4576" s="112"/>
      <c r="H4576" s="112"/>
      <c r="Z4576" s="112"/>
      <c r="AA4576" s="112"/>
    </row>
    <row r="4577" spans="3:27" x14ac:dyDescent="0.25">
      <c r="C4577" s="112"/>
      <c r="D4577" s="112"/>
      <c r="E4577" s="113"/>
      <c r="F4577" s="113"/>
      <c r="G4577" s="112"/>
      <c r="H4577" s="112"/>
      <c r="Z4577" s="112"/>
      <c r="AA4577" s="112"/>
    </row>
    <row r="4578" spans="3:27" x14ac:dyDescent="0.25">
      <c r="C4578" s="112"/>
      <c r="D4578" s="112"/>
      <c r="E4578" s="113"/>
      <c r="F4578" s="113"/>
      <c r="G4578" s="112"/>
      <c r="H4578" s="112"/>
      <c r="Z4578" s="112"/>
      <c r="AA4578" s="112"/>
    </row>
    <row r="4579" spans="3:27" x14ac:dyDescent="0.25">
      <c r="C4579" s="112"/>
      <c r="D4579" s="112"/>
      <c r="E4579" s="113"/>
      <c r="F4579" s="113"/>
      <c r="G4579" s="112"/>
      <c r="H4579" s="112"/>
      <c r="Z4579" s="112"/>
      <c r="AA4579" s="112"/>
    </row>
    <row r="4580" spans="3:27" x14ac:dyDescent="0.25">
      <c r="C4580" s="112"/>
      <c r="D4580" s="112"/>
      <c r="E4580" s="113"/>
      <c r="F4580" s="113"/>
      <c r="G4580" s="112"/>
      <c r="H4580" s="112"/>
      <c r="Z4580" s="112"/>
      <c r="AA4580" s="112"/>
    </row>
    <row r="4581" spans="3:27" x14ac:dyDescent="0.25">
      <c r="C4581" s="112"/>
      <c r="D4581" s="112"/>
      <c r="E4581" s="113"/>
      <c r="F4581" s="113"/>
      <c r="G4581" s="112"/>
      <c r="H4581" s="112"/>
      <c r="Z4581" s="112"/>
      <c r="AA4581" s="112"/>
    </row>
    <row r="4582" spans="3:27" x14ac:dyDescent="0.25">
      <c r="C4582" s="112"/>
      <c r="D4582" s="112"/>
      <c r="E4582" s="113"/>
      <c r="F4582" s="113"/>
      <c r="G4582" s="112"/>
      <c r="H4582" s="112"/>
      <c r="Z4582" s="112"/>
      <c r="AA4582" s="112"/>
    </row>
    <row r="4583" spans="3:27" x14ac:dyDescent="0.25">
      <c r="C4583" s="112"/>
      <c r="D4583" s="112"/>
      <c r="E4583" s="113"/>
      <c r="F4583" s="113"/>
      <c r="G4583" s="112"/>
      <c r="H4583" s="112"/>
      <c r="Z4583" s="112"/>
      <c r="AA4583" s="112"/>
    </row>
    <row r="4584" spans="3:27" x14ac:dyDescent="0.25">
      <c r="C4584" s="112"/>
      <c r="D4584" s="112"/>
      <c r="E4584" s="113"/>
      <c r="F4584" s="113"/>
      <c r="G4584" s="112"/>
      <c r="H4584" s="112"/>
      <c r="Z4584" s="112"/>
      <c r="AA4584" s="112"/>
    </row>
    <row r="4585" spans="3:27" x14ac:dyDescent="0.25">
      <c r="C4585" s="112"/>
      <c r="D4585" s="112"/>
      <c r="E4585" s="113"/>
      <c r="F4585" s="113"/>
      <c r="G4585" s="112"/>
      <c r="H4585" s="112"/>
      <c r="Z4585" s="112"/>
      <c r="AA4585" s="112"/>
    </row>
    <row r="4586" spans="3:27" x14ac:dyDescent="0.25">
      <c r="C4586" s="112"/>
      <c r="D4586" s="112"/>
      <c r="E4586" s="113"/>
      <c r="F4586" s="113"/>
      <c r="G4586" s="112"/>
      <c r="H4586" s="112"/>
      <c r="Z4586" s="112"/>
      <c r="AA4586" s="112"/>
    </row>
    <row r="4587" spans="3:27" x14ac:dyDescent="0.25">
      <c r="C4587" s="112"/>
      <c r="D4587" s="112"/>
      <c r="E4587" s="113"/>
      <c r="F4587" s="113"/>
      <c r="G4587" s="112"/>
      <c r="H4587" s="112"/>
      <c r="Z4587" s="112"/>
      <c r="AA4587" s="112"/>
    </row>
    <row r="4588" spans="3:27" x14ac:dyDescent="0.25">
      <c r="C4588" s="112"/>
      <c r="D4588" s="112"/>
      <c r="E4588" s="113"/>
      <c r="F4588" s="113"/>
      <c r="G4588" s="112"/>
      <c r="H4588" s="112"/>
      <c r="Z4588" s="112"/>
      <c r="AA4588" s="112"/>
    </row>
    <row r="4589" spans="3:27" x14ac:dyDescent="0.25">
      <c r="C4589" s="112"/>
      <c r="D4589" s="112"/>
      <c r="E4589" s="113"/>
      <c r="F4589" s="113"/>
      <c r="G4589" s="112"/>
      <c r="H4589" s="112"/>
      <c r="Z4589" s="112"/>
      <c r="AA4589" s="112"/>
    </row>
    <row r="4590" spans="3:27" x14ac:dyDescent="0.25">
      <c r="C4590" s="112"/>
      <c r="D4590" s="112"/>
      <c r="E4590" s="113"/>
      <c r="F4590" s="113"/>
      <c r="G4590" s="112"/>
      <c r="H4590" s="112"/>
      <c r="Z4590" s="112"/>
      <c r="AA4590" s="112"/>
    </row>
    <row r="4591" spans="3:27" x14ac:dyDescent="0.25">
      <c r="C4591" s="112"/>
      <c r="D4591" s="112"/>
      <c r="E4591" s="113"/>
      <c r="F4591" s="113"/>
      <c r="G4591" s="112"/>
      <c r="H4591" s="112"/>
      <c r="Z4591" s="112"/>
      <c r="AA4591" s="112"/>
    </row>
    <row r="4592" spans="3:27" x14ac:dyDescent="0.25">
      <c r="C4592" s="112"/>
      <c r="D4592" s="112"/>
      <c r="E4592" s="113"/>
      <c r="F4592" s="113"/>
      <c r="G4592" s="112"/>
      <c r="H4592" s="112"/>
      <c r="Z4592" s="112"/>
      <c r="AA4592" s="112"/>
    </row>
    <row r="4593" spans="3:27" x14ac:dyDescent="0.25">
      <c r="C4593" s="112"/>
      <c r="D4593" s="112"/>
      <c r="E4593" s="113"/>
      <c r="F4593" s="113"/>
      <c r="G4593" s="112"/>
      <c r="H4593" s="112"/>
      <c r="Z4593" s="112"/>
      <c r="AA4593" s="112"/>
    </row>
    <row r="4594" spans="3:27" x14ac:dyDescent="0.25">
      <c r="C4594" s="112"/>
      <c r="D4594" s="112"/>
      <c r="E4594" s="113"/>
      <c r="F4594" s="113"/>
      <c r="G4594" s="112"/>
      <c r="H4594" s="112"/>
      <c r="Z4594" s="112"/>
      <c r="AA4594" s="112"/>
    </row>
    <row r="4595" spans="3:27" x14ac:dyDescent="0.25">
      <c r="C4595" s="112"/>
      <c r="D4595" s="112"/>
      <c r="E4595" s="113"/>
      <c r="F4595" s="113"/>
      <c r="G4595" s="112"/>
      <c r="H4595" s="112"/>
      <c r="Z4595" s="112"/>
      <c r="AA4595" s="112"/>
    </row>
    <row r="4596" spans="3:27" x14ac:dyDescent="0.25">
      <c r="C4596" s="112"/>
      <c r="D4596" s="112"/>
      <c r="E4596" s="113"/>
      <c r="F4596" s="113"/>
      <c r="G4596" s="112"/>
      <c r="H4596" s="112"/>
      <c r="Z4596" s="112"/>
      <c r="AA4596" s="112"/>
    </row>
    <row r="4597" spans="3:27" x14ac:dyDescent="0.25">
      <c r="C4597" s="112"/>
      <c r="D4597" s="112"/>
      <c r="E4597" s="113"/>
      <c r="F4597" s="113"/>
      <c r="G4597" s="112"/>
      <c r="H4597" s="112"/>
      <c r="Z4597" s="112"/>
      <c r="AA4597" s="112"/>
    </row>
    <row r="4598" spans="3:27" x14ac:dyDescent="0.25">
      <c r="C4598" s="112"/>
      <c r="D4598" s="112"/>
      <c r="E4598" s="113"/>
      <c r="F4598" s="113"/>
      <c r="G4598" s="112"/>
      <c r="H4598" s="112"/>
      <c r="Z4598" s="112"/>
      <c r="AA4598" s="112"/>
    </row>
    <row r="4599" spans="3:27" x14ac:dyDescent="0.25">
      <c r="C4599" s="112"/>
      <c r="D4599" s="112"/>
      <c r="E4599" s="113"/>
      <c r="F4599" s="113"/>
      <c r="G4599" s="112"/>
      <c r="H4599" s="112"/>
      <c r="Z4599" s="112"/>
      <c r="AA4599" s="112"/>
    </row>
    <row r="4600" spans="3:27" x14ac:dyDescent="0.25">
      <c r="C4600" s="112"/>
      <c r="D4600" s="112"/>
      <c r="E4600" s="113"/>
      <c r="F4600" s="113"/>
      <c r="G4600" s="112"/>
      <c r="H4600" s="112"/>
      <c r="Z4600" s="112"/>
      <c r="AA4600" s="112"/>
    </row>
    <row r="4601" spans="3:27" x14ac:dyDescent="0.25">
      <c r="C4601" s="112"/>
      <c r="D4601" s="112"/>
      <c r="E4601" s="113"/>
      <c r="F4601" s="113"/>
      <c r="G4601" s="112"/>
      <c r="H4601" s="112"/>
      <c r="Z4601" s="112"/>
      <c r="AA4601" s="112"/>
    </row>
    <row r="4602" spans="3:27" x14ac:dyDescent="0.25">
      <c r="C4602" s="112"/>
      <c r="D4602" s="112"/>
      <c r="E4602" s="113"/>
      <c r="F4602" s="113"/>
      <c r="G4602" s="112"/>
      <c r="H4602" s="112"/>
      <c r="Z4602" s="112"/>
      <c r="AA4602" s="112"/>
    </row>
    <row r="4603" spans="3:27" x14ac:dyDescent="0.25">
      <c r="C4603" s="112"/>
      <c r="D4603" s="112"/>
      <c r="E4603" s="113"/>
      <c r="F4603" s="113"/>
      <c r="G4603" s="112"/>
      <c r="H4603" s="112"/>
      <c r="Z4603" s="112"/>
      <c r="AA4603" s="112"/>
    </row>
    <row r="4604" spans="3:27" x14ac:dyDescent="0.25">
      <c r="C4604" s="112"/>
      <c r="D4604" s="112"/>
      <c r="E4604" s="113"/>
      <c r="F4604" s="113"/>
      <c r="G4604" s="112"/>
      <c r="H4604" s="112"/>
      <c r="Z4604" s="112"/>
      <c r="AA4604" s="112"/>
    </row>
    <row r="4605" spans="3:27" x14ac:dyDescent="0.25">
      <c r="C4605" s="112"/>
      <c r="D4605" s="112"/>
      <c r="E4605" s="113"/>
      <c r="F4605" s="113"/>
      <c r="G4605" s="112"/>
      <c r="H4605" s="112"/>
      <c r="Z4605" s="112"/>
      <c r="AA4605" s="112"/>
    </row>
    <row r="4606" spans="3:27" x14ac:dyDescent="0.25">
      <c r="C4606" s="112"/>
      <c r="D4606" s="112"/>
      <c r="E4606" s="113"/>
      <c r="F4606" s="113"/>
      <c r="G4606" s="112"/>
      <c r="H4606" s="112"/>
      <c r="Z4606" s="112"/>
      <c r="AA4606" s="112"/>
    </row>
    <row r="4607" spans="3:27" x14ac:dyDescent="0.25">
      <c r="C4607" s="112"/>
      <c r="D4607" s="112"/>
      <c r="E4607" s="113"/>
      <c r="F4607" s="113"/>
      <c r="G4607" s="112"/>
      <c r="H4607" s="112"/>
      <c r="Z4607" s="112"/>
      <c r="AA4607" s="112"/>
    </row>
    <row r="4608" spans="3:27" x14ac:dyDescent="0.25">
      <c r="C4608" s="112"/>
      <c r="D4608" s="112"/>
      <c r="E4608" s="113"/>
      <c r="F4608" s="113"/>
      <c r="G4608" s="112"/>
      <c r="H4608" s="112"/>
      <c r="Z4608" s="112"/>
      <c r="AA4608" s="112"/>
    </row>
    <row r="4609" spans="3:27" x14ac:dyDescent="0.25">
      <c r="C4609" s="112"/>
      <c r="D4609" s="112"/>
      <c r="E4609" s="113"/>
      <c r="F4609" s="113"/>
      <c r="G4609" s="112"/>
      <c r="H4609" s="112"/>
      <c r="Z4609" s="112"/>
      <c r="AA4609" s="112"/>
    </row>
    <row r="4610" spans="3:27" x14ac:dyDescent="0.25">
      <c r="C4610" s="112"/>
      <c r="D4610" s="112"/>
      <c r="E4610" s="113"/>
      <c r="F4610" s="113"/>
      <c r="G4610" s="112"/>
      <c r="H4610" s="112"/>
      <c r="Z4610" s="112"/>
      <c r="AA4610" s="112"/>
    </row>
    <row r="4611" spans="3:27" x14ac:dyDescent="0.25">
      <c r="C4611" s="112"/>
      <c r="D4611" s="112"/>
      <c r="E4611" s="113"/>
      <c r="F4611" s="113"/>
      <c r="G4611" s="112"/>
      <c r="H4611" s="112"/>
      <c r="Z4611" s="112"/>
      <c r="AA4611" s="112"/>
    </row>
    <row r="4612" spans="3:27" x14ac:dyDescent="0.25">
      <c r="C4612" s="112"/>
      <c r="D4612" s="112"/>
      <c r="E4612" s="113"/>
      <c r="F4612" s="113"/>
      <c r="G4612" s="112"/>
      <c r="H4612" s="112"/>
      <c r="Z4612" s="112"/>
      <c r="AA4612" s="112"/>
    </row>
    <row r="4613" spans="3:27" x14ac:dyDescent="0.25">
      <c r="C4613" s="112"/>
      <c r="D4613" s="112"/>
      <c r="E4613" s="113"/>
      <c r="F4613" s="113"/>
      <c r="G4613" s="112"/>
      <c r="H4613" s="112"/>
      <c r="Z4613" s="112"/>
      <c r="AA4613" s="112"/>
    </row>
    <row r="4614" spans="3:27" x14ac:dyDescent="0.25">
      <c r="C4614" s="112"/>
      <c r="D4614" s="112"/>
      <c r="E4614" s="113"/>
      <c r="F4614" s="113"/>
      <c r="G4614" s="112"/>
      <c r="H4614" s="112"/>
      <c r="Z4614" s="112"/>
      <c r="AA4614" s="112"/>
    </row>
    <row r="4615" spans="3:27" x14ac:dyDescent="0.25">
      <c r="C4615" s="112"/>
      <c r="D4615" s="112"/>
      <c r="E4615" s="113"/>
      <c r="F4615" s="113"/>
      <c r="G4615" s="112"/>
      <c r="H4615" s="112"/>
      <c r="Z4615" s="112"/>
      <c r="AA4615" s="112"/>
    </row>
    <row r="4616" spans="3:27" x14ac:dyDescent="0.25">
      <c r="C4616" s="112"/>
      <c r="D4616" s="112"/>
      <c r="E4616" s="113"/>
      <c r="F4616" s="113"/>
      <c r="G4616" s="112"/>
      <c r="H4616" s="112"/>
      <c r="Z4616" s="112"/>
      <c r="AA4616" s="112"/>
    </row>
    <row r="4617" spans="3:27" x14ac:dyDescent="0.25">
      <c r="C4617" s="112"/>
      <c r="D4617" s="112"/>
      <c r="E4617" s="113"/>
      <c r="F4617" s="113"/>
      <c r="G4617" s="112"/>
      <c r="H4617" s="112"/>
      <c r="Z4617" s="112"/>
      <c r="AA4617" s="112"/>
    </row>
    <row r="4618" spans="3:27" x14ac:dyDescent="0.25">
      <c r="C4618" s="112"/>
      <c r="D4618" s="112"/>
      <c r="E4618" s="113"/>
      <c r="F4618" s="113"/>
      <c r="G4618" s="112"/>
      <c r="H4618" s="112"/>
      <c r="Z4618" s="112"/>
      <c r="AA4618" s="112"/>
    </row>
    <row r="4619" spans="3:27" x14ac:dyDescent="0.25">
      <c r="C4619" s="112"/>
      <c r="D4619" s="112"/>
      <c r="E4619" s="113"/>
      <c r="F4619" s="113"/>
      <c r="G4619" s="112"/>
      <c r="H4619" s="112"/>
      <c r="Z4619" s="112"/>
      <c r="AA4619" s="112"/>
    </row>
    <row r="4620" spans="3:27" x14ac:dyDescent="0.25">
      <c r="C4620" s="112"/>
      <c r="D4620" s="112"/>
      <c r="E4620" s="113"/>
      <c r="F4620" s="113"/>
      <c r="G4620" s="112"/>
      <c r="H4620" s="112"/>
      <c r="Z4620" s="112"/>
      <c r="AA4620" s="112"/>
    </row>
    <row r="4621" spans="3:27" x14ac:dyDescent="0.25">
      <c r="C4621" s="112"/>
      <c r="D4621" s="112"/>
      <c r="E4621" s="113"/>
      <c r="F4621" s="113"/>
      <c r="G4621" s="112"/>
      <c r="H4621" s="112"/>
      <c r="Z4621" s="112"/>
      <c r="AA4621" s="112"/>
    </row>
    <row r="4622" spans="3:27" x14ac:dyDescent="0.25">
      <c r="C4622" s="112"/>
      <c r="D4622" s="112"/>
      <c r="E4622" s="113"/>
      <c r="F4622" s="113"/>
      <c r="G4622" s="112"/>
      <c r="H4622" s="112"/>
      <c r="Z4622" s="112"/>
      <c r="AA4622" s="112"/>
    </row>
    <row r="4623" spans="3:27" x14ac:dyDescent="0.25">
      <c r="C4623" s="112"/>
      <c r="D4623" s="112"/>
      <c r="E4623" s="113"/>
      <c r="F4623" s="113"/>
      <c r="G4623" s="112"/>
      <c r="H4623" s="112"/>
      <c r="Z4623" s="112"/>
      <c r="AA4623" s="112"/>
    </row>
    <row r="4624" spans="3:27" x14ac:dyDescent="0.25">
      <c r="C4624" s="112"/>
      <c r="D4624" s="112"/>
      <c r="E4624" s="113"/>
      <c r="F4624" s="113"/>
      <c r="G4624" s="112"/>
      <c r="H4624" s="112"/>
      <c r="Z4624" s="112"/>
      <c r="AA4624" s="112"/>
    </row>
    <row r="4625" spans="3:27" x14ac:dyDescent="0.25">
      <c r="C4625" s="112"/>
      <c r="D4625" s="112"/>
      <c r="E4625" s="113"/>
      <c r="F4625" s="113"/>
      <c r="G4625" s="112"/>
      <c r="H4625" s="112"/>
      <c r="Z4625" s="112"/>
      <c r="AA4625" s="112"/>
    </row>
    <row r="4626" spans="3:27" x14ac:dyDescent="0.25">
      <c r="C4626" s="112"/>
      <c r="D4626" s="112"/>
      <c r="E4626" s="113"/>
      <c r="F4626" s="113"/>
      <c r="G4626" s="112"/>
      <c r="H4626" s="112"/>
      <c r="Z4626" s="112"/>
      <c r="AA4626" s="112"/>
    </row>
    <row r="4627" spans="3:27" x14ac:dyDescent="0.25">
      <c r="C4627" s="112"/>
      <c r="D4627" s="112"/>
      <c r="E4627" s="113"/>
      <c r="F4627" s="113"/>
      <c r="G4627" s="112"/>
      <c r="H4627" s="112"/>
      <c r="Z4627" s="112"/>
      <c r="AA4627" s="112"/>
    </row>
    <row r="4628" spans="3:27" x14ac:dyDescent="0.25">
      <c r="C4628" s="112"/>
      <c r="D4628" s="112"/>
      <c r="E4628" s="113"/>
      <c r="F4628" s="113"/>
      <c r="G4628" s="112"/>
      <c r="H4628" s="112"/>
      <c r="Z4628" s="112"/>
      <c r="AA4628" s="112"/>
    </row>
    <row r="4629" spans="3:27" x14ac:dyDescent="0.25">
      <c r="C4629" s="112"/>
      <c r="D4629" s="112"/>
      <c r="E4629" s="113"/>
      <c r="F4629" s="113"/>
      <c r="G4629" s="112"/>
      <c r="H4629" s="112"/>
      <c r="Z4629" s="112"/>
      <c r="AA4629" s="112"/>
    </row>
    <row r="4630" spans="3:27" x14ac:dyDescent="0.25">
      <c r="C4630" s="112"/>
      <c r="D4630" s="112"/>
      <c r="E4630" s="113"/>
      <c r="F4630" s="113"/>
      <c r="G4630" s="112"/>
      <c r="H4630" s="112"/>
      <c r="Z4630" s="112"/>
      <c r="AA4630" s="112"/>
    </row>
    <row r="4631" spans="3:27" x14ac:dyDescent="0.25">
      <c r="C4631" s="112"/>
      <c r="D4631" s="112"/>
      <c r="E4631" s="113"/>
      <c r="F4631" s="113"/>
      <c r="G4631" s="112"/>
      <c r="H4631" s="112"/>
      <c r="Z4631" s="112"/>
      <c r="AA4631" s="112"/>
    </row>
    <row r="4632" spans="3:27" x14ac:dyDescent="0.25">
      <c r="C4632" s="112"/>
      <c r="D4632" s="112"/>
      <c r="E4632" s="113"/>
      <c r="F4632" s="113"/>
      <c r="G4632" s="112"/>
      <c r="H4632" s="112"/>
      <c r="Z4632" s="112"/>
      <c r="AA4632" s="112"/>
    </row>
    <row r="4633" spans="3:27" x14ac:dyDescent="0.25">
      <c r="C4633" s="112"/>
      <c r="D4633" s="112"/>
      <c r="E4633" s="113"/>
      <c r="F4633" s="113"/>
      <c r="G4633" s="112"/>
      <c r="H4633" s="112"/>
      <c r="Z4633" s="112"/>
      <c r="AA4633" s="112"/>
    </row>
    <row r="4634" spans="3:27" x14ac:dyDescent="0.25">
      <c r="C4634" s="112"/>
      <c r="D4634" s="112"/>
      <c r="E4634" s="113"/>
      <c r="F4634" s="113"/>
      <c r="G4634" s="112"/>
      <c r="H4634" s="112"/>
      <c r="Z4634" s="112"/>
      <c r="AA4634" s="112"/>
    </row>
    <row r="4635" spans="3:27" x14ac:dyDescent="0.25">
      <c r="C4635" s="112"/>
      <c r="D4635" s="112"/>
      <c r="E4635" s="113"/>
      <c r="F4635" s="113"/>
      <c r="G4635" s="112"/>
      <c r="H4635" s="112"/>
      <c r="Z4635" s="112"/>
      <c r="AA4635" s="112"/>
    </row>
    <row r="4636" spans="3:27" x14ac:dyDescent="0.25">
      <c r="C4636" s="112"/>
      <c r="D4636" s="112"/>
      <c r="E4636" s="113"/>
      <c r="F4636" s="113"/>
      <c r="G4636" s="112"/>
      <c r="H4636" s="112"/>
      <c r="Z4636" s="112"/>
      <c r="AA4636" s="112"/>
    </row>
    <row r="4637" spans="3:27" x14ac:dyDescent="0.25">
      <c r="C4637" s="112"/>
      <c r="D4637" s="112"/>
      <c r="E4637" s="113"/>
      <c r="F4637" s="113"/>
      <c r="G4637" s="112"/>
      <c r="H4637" s="112"/>
      <c r="Z4637" s="112"/>
      <c r="AA4637" s="112"/>
    </row>
    <row r="4638" spans="3:27" x14ac:dyDescent="0.25">
      <c r="C4638" s="112"/>
      <c r="D4638" s="112"/>
      <c r="E4638" s="113"/>
      <c r="F4638" s="113"/>
      <c r="G4638" s="112"/>
      <c r="H4638" s="112"/>
      <c r="Z4638" s="112"/>
      <c r="AA4638" s="112"/>
    </row>
    <row r="4639" spans="3:27" x14ac:dyDescent="0.25">
      <c r="C4639" s="112"/>
      <c r="D4639" s="112"/>
      <c r="E4639" s="113"/>
      <c r="F4639" s="113"/>
      <c r="G4639" s="112"/>
      <c r="H4639" s="112"/>
      <c r="Z4639" s="112"/>
      <c r="AA4639" s="112"/>
    </row>
    <row r="4640" spans="3:27" x14ac:dyDescent="0.25">
      <c r="C4640" s="112"/>
      <c r="D4640" s="112"/>
      <c r="E4640" s="113"/>
      <c r="F4640" s="113"/>
      <c r="G4640" s="112"/>
      <c r="H4640" s="112"/>
      <c r="Z4640" s="112"/>
      <c r="AA4640" s="112"/>
    </row>
    <row r="4641" spans="3:27" x14ac:dyDescent="0.25">
      <c r="C4641" s="112"/>
      <c r="D4641" s="112"/>
      <c r="E4641" s="113"/>
      <c r="F4641" s="113"/>
      <c r="G4641" s="112"/>
      <c r="H4641" s="112"/>
      <c r="Z4641" s="112"/>
      <c r="AA4641" s="112"/>
    </row>
    <row r="4642" spans="3:27" x14ac:dyDescent="0.25">
      <c r="C4642" s="112"/>
      <c r="D4642" s="112"/>
      <c r="E4642" s="113"/>
      <c r="F4642" s="113"/>
      <c r="G4642" s="112"/>
      <c r="H4642" s="112"/>
      <c r="Z4642" s="112"/>
      <c r="AA4642" s="112"/>
    </row>
    <row r="4643" spans="3:27" x14ac:dyDescent="0.25">
      <c r="C4643" s="112"/>
      <c r="D4643" s="112"/>
      <c r="E4643" s="113"/>
      <c r="F4643" s="113"/>
      <c r="G4643" s="112"/>
      <c r="H4643" s="112"/>
      <c r="Z4643" s="112"/>
      <c r="AA4643" s="112"/>
    </row>
    <row r="4644" spans="3:27" x14ac:dyDescent="0.25">
      <c r="C4644" s="112"/>
      <c r="D4644" s="112"/>
      <c r="E4644" s="113"/>
      <c r="F4644" s="113"/>
      <c r="G4644" s="112"/>
      <c r="H4644" s="112"/>
      <c r="Z4644" s="112"/>
      <c r="AA4644" s="112"/>
    </row>
    <row r="4645" spans="3:27" x14ac:dyDescent="0.25">
      <c r="C4645" s="112"/>
      <c r="D4645" s="112"/>
      <c r="E4645" s="113"/>
      <c r="F4645" s="113"/>
      <c r="G4645" s="112"/>
      <c r="H4645" s="112"/>
      <c r="Z4645" s="112"/>
      <c r="AA4645" s="112"/>
    </row>
    <row r="4646" spans="3:27" x14ac:dyDescent="0.25">
      <c r="C4646" s="112"/>
      <c r="D4646" s="112"/>
      <c r="E4646" s="113"/>
      <c r="F4646" s="113"/>
      <c r="G4646" s="112"/>
      <c r="H4646" s="112"/>
      <c r="Z4646" s="112"/>
      <c r="AA4646" s="112"/>
    </row>
    <row r="4647" spans="3:27" x14ac:dyDescent="0.25">
      <c r="C4647" s="112"/>
      <c r="D4647" s="112"/>
      <c r="E4647" s="113"/>
      <c r="F4647" s="113"/>
      <c r="G4647" s="112"/>
      <c r="H4647" s="112"/>
      <c r="Z4647" s="112"/>
      <c r="AA4647" s="112"/>
    </row>
    <row r="4648" spans="3:27" x14ac:dyDescent="0.25">
      <c r="C4648" s="112"/>
      <c r="D4648" s="112"/>
      <c r="E4648" s="113"/>
      <c r="F4648" s="113"/>
      <c r="G4648" s="112"/>
      <c r="H4648" s="112"/>
      <c r="Z4648" s="112"/>
      <c r="AA4648" s="112"/>
    </row>
    <row r="4649" spans="3:27" x14ac:dyDescent="0.25">
      <c r="C4649" s="112"/>
      <c r="D4649" s="112"/>
      <c r="E4649" s="113"/>
      <c r="F4649" s="113"/>
      <c r="G4649" s="112"/>
      <c r="H4649" s="112"/>
      <c r="Z4649" s="112"/>
      <c r="AA4649" s="112"/>
    </row>
    <row r="4650" spans="3:27" x14ac:dyDescent="0.25">
      <c r="C4650" s="112"/>
      <c r="D4650" s="112"/>
      <c r="E4650" s="113"/>
      <c r="F4650" s="113"/>
      <c r="G4650" s="112"/>
      <c r="H4650" s="112"/>
      <c r="Z4650" s="112"/>
      <c r="AA4650" s="112"/>
    </row>
    <row r="4651" spans="3:27" x14ac:dyDescent="0.25">
      <c r="C4651" s="112"/>
      <c r="D4651" s="112"/>
      <c r="E4651" s="113"/>
      <c r="F4651" s="113"/>
      <c r="G4651" s="112"/>
      <c r="H4651" s="112"/>
      <c r="Z4651" s="112"/>
      <c r="AA4651" s="112"/>
    </row>
    <row r="4652" spans="3:27" x14ac:dyDescent="0.25">
      <c r="C4652" s="112"/>
      <c r="D4652" s="112"/>
      <c r="E4652" s="113"/>
      <c r="F4652" s="113"/>
      <c r="G4652" s="112"/>
      <c r="H4652" s="112"/>
      <c r="Z4652" s="112"/>
      <c r="AA4652" s="112"/>
    </row>
    <row r="4653" spans="3:27" x14ac:dyDescent="0.25">
      <c r="C4653" s="112"/>
      <c r="D4653" s="112"/>
      <c r="E4653" s="113"/>
      <c r="F4653" s="113"/>
      <c r="G4653" s="112"/>
      <c r="H4653" s="112"/>
      <c r="Z4653" s="112"/>
      <c r="AA4653" s="112"/>
    </row>
    <row r="4654" spans="3:27" x14ac:dyDescent="0.25">
      <c r="C4654" s="112"/>
      <c r="D4654" s="112"/>
      <c r="E4654" s="113"/>
      <c r="F4654" s="113"/>
      <c r="G4654" s="112"/>
      <c r="H4654" s="112"/>
      <c r="Z4654" s="112"/>
      <c r="AA4654" s="112"/>
    </row>
    <row r="4655" spans="3:27" x14ac:dyDescent="0.25">
      <c r="C4655" s="112"/>
      <c r="D4655" s="112"/>
      <c r="E4655" s="113"/>
      <c r="F4655" s="113"/>
      <c r="G4655" s="112"/>
      <c r="H4655" s="112"/>
      <c r="Z4655" s="112"/>
      <c r="AA4655" s="112"/>
    </row>
    <row r="4656" spans="3:27" x14ac:dyDescent="0.25">
      <c r="C4656" s="112"/>
      <c r="D4656" s="112"/>
      <c r="E4656" s="113"/>
      <c r="F4656" s="113"/>
      <c r="G4656" s="112"/>
      <c r="H4656" s="112"/>
      <c r="Z4656" s="112"/>
      <c r="AA4656" s="112"/>
    </row>
    <row r="4657" spans="3:27" x14ac:dyDescent="0.25">
      <c r="C4657" s="112"/>
      <c r="D4657" s="112"/>
      <c r="E4657" s="113"/>
      <c r="F4657" s="113"/>
      <c r="G4657" s="112"/>
      <c r="H4657" s="112"/>
      <c r="Z4657" s="112"/>
      <c r="AA4657" s="112"/>
    </row>
    <row r="4658" spans="3:27" x14ac:dyDescent="0.25">
      <c r="C4658" s="112"/>
      <c r="D4658" s="112"/>
      <c r="E4658" s="113"/>
      <c r="F4658" s="113"/>
      <c r="G4658" s="112"/>
      <c r="H4658" s="112"/>
      <c r="Z4658" s="112"/>
      <c r="AA4658" s="112"/>
    </row>
    <row r="4659" spans="3:27" x14ac:dyDescent="0.25">
      <c r="C4659" s="112"/>
      <c r="D4659" s="112"/>
      <c r="E4659" s="113"/>
      <c r="F4659" s="113"/>
      <c r="G4659" s="112"/>
      <c r="H4659" s="112"/>
      <c r="Z4659" s="112"/>
      <c r="AA4659" s="112"/>
    </row>
    <row r="4660" spans="3:27" x14ac:dyDescent="0.25">
      <c r="C4660" s="112"/>
      <c r="D4660" s="112"/>
      <c r="E4660" s="113"/>
      <c r="F4660" s="113"/>
      <c r="G4660" s="112"/>
      <c r="H4660" s="112"/>
      <c r="Z4660" s="112"/>
      <c r="AA4660" s="112"/>
    </row>
    <row r="4661" spans="3:27" x14ac:dyDescent="0.25">
      <c r="C4661" s="112"/>
      <c r="D4661" s="112"/>
      <c r="E4661" s="113"/>
      <c r="F4661" s="113"/>
      <c r="G4661" s="112"/>
      <c r="H4661" s="112"/>
      <c r="Z4661" s="112"/>
      <c r="AA4661" s="112"/>
    </row>
    <row r="4662" spans="3:27" x14ac:dyDescent="0.25">
      <c r="C4662" s="112"/>
      <c r="D4662" s="112"/>
      <c r="E4662" s="113"/>
      <c r="F4662" s="113"/>
      <c r="G4662" s="112"/>
      <c r="H4662" s="112"/>
      <c r="Z4662" s="112"/>
      <c r="AA4662" s="112"/>
    </row>
    <row r="4663" spans="3:27" x14ac:dyDescent="0.25">
      <c r="C4663" s="112"/>
      <c r="D4663" s="112"/>
      <c r="E4663" s="113"/>
      <c r="F4663" s="113"/>
      <c r="G4663" s="112"/>
      <c r="H4663" s="112"/>
      <c r="Z4663" s="112"/>
      <c r="AA4663" s="112"/>
    </row>
    <row r="4664" spans="3:27" x14ac:dyDescent="0.25">
      <c r="C4664" s="112"/>
      <c r="D4664" s="112"/>
      <c r="E4664" s="113"/>
      <c r="F4664" s="113"/>
      <c r="G4664" s="112"/>
      <c r="H4664" s="112"/>
      <c r="Z4664" s="112"/>
      <c r="AA4664" s="112"/>
    </row>
    <row r="4665" spans="3:27" x14ac:dyDescent="0.25">
      <c r="C4665" s="112"/>
      <c r="D4665" s="112"/>
      <c r="E4665" s="113"/>
      <c r="F4665" s="113"/>
      <c r="G4665" s="112"/>
      <c r="H4665" s="112"/>
      <c r="Z4665" s="112"/>
      <c r="AA4665" s="112"/>
    </row>
    <row r="4666" spans="3:27" x14ac:dyDescent="0.25">
      <c r="C4666" s="112"/>
      <c r="D4666" s="112"/>
      <c r="E4666" s="113"/>
      <c r="F4666" s="113"/>
      <c r="G4666" s="112"/>
      <c r="H4666" s="112"/>
      <c r="Z4666" s="112"/>
      <c r="AA4666" s="112"/>
    </row>
    <row r="4667" spans="3:27" x14ac:dyDescent="0.25">
      <c r="C4667" s="112"/>
      <c r="D4667" s="112"/>
      <c r="E4667" s="113"/>
      <c r="F4667" s="113"/>
      <c r="G4667" s="112"/>
      <c r="H4667" s="112"/>
      <c r="Z4667" s="112"/>
      <c r="AA4667" s="112"/>
    </row>
    <row r="4668" spans="3:27" x14ac:dyDescent="0.25">
      <c r="C4668" s="112"/>
      <c r="D4668" s="112"/>
      <c r="E4668" s="113"/>
      <c r="F4668" s="113"/>
      <c r="G4668" s="112"/>
      <c r="H4668" s="112"/>
      <c r="Z4668" s="112"/>
      <c r="AA4668" s="112"/>
    </row>
    <row r="4669" spans="3:27" x14ac:dyDescent="0.25">
      <c r="C4669" s="112"/>
      <c r="D4669" s="112"/>
      <c r="E4669" s="113"/>
      <c r="F4669" s="113"/>
      <c r="G4669" s="112"/>
      <c r="H4669" s="112"/>
      <c r="Z4669" s="112"/>
      <c r="AA4669" s="112"/>
    </row>
    <row r="4670" spans="3:27" x14ac:dyDescent="0.25">
      <c r="C4670" s="112"/>
      <c r="D4670" s="112"/>
      <c r="E4670" s="113"/>
      <c r="F4670" s="113"/>
      <c r="G4670" s="112"/>
      <c r="H4670" s="112"/>
      <c r="Z4670" s="112"/>
      <c r="AA4670" s="112"/>
    </row>
    <row r="4671" spans="3:27" x14ac:dyDescent="0.25">
      <c r="C4671" s="112"/>
      <c r="D4671" s="112"/>
      <c r="E4671" s="113"/>
      <c r="F4671" s="113"/>
      <c r="G4671" s="112"/>
      <c r="H4671" s="112"/>
      <c r="Z4671" s="112"/>
      <c r="AA4671" s="112"/>
    </row>
    <row r="4672" spans="3:27" x14ac:dyDescent="0.25">
      <c r="C4672" s="112"/>
      <c r="D4672" s="112"/>
      <c r="E4672" s="113"/>
      <c r="F4672" s="113"/>
      <c r="G4672" s="112"/>
      <c r="H4672" s="112"/>
      <c r="Z4672" s="112"/>
      <c r="AA4672" s="112"/>
    </row>
    <row r="4673" spans="3:27" x14ac:dyDescent="0.25">
      <c r="C4673" s="112"/>
      <c r="D4673" s="112"/>
      <c r="E4673" s="113"/>
      <c r="F4673" s="113"/>
      <c r="G4673" s="112"/>
      <c r="H4673" s="112"/>
      <c r="Z4673" s="112"/>
      <c r="AA4673" s="112"/>
    </row>
    <row r="4674" spans="3:27" x14ac:dyDescent="0.25">
      <c r="C4674" s="112"/>
      <c r="D4674" s="112"/>
      <c r="E4674" s="113"/>
      <c r="F4674" s="113"/>
      <c r="G4674" s="112"/>
      <c r="H4674" s="112"/>
      <c r="Z4674" s="112"/>
      <c r="AA4674" s="112"/>
    </row>
    <row r="4675" spans="3:27" x14ac:dyDescent="0.25">
      <c r="C4675" s="112"/>
      <c r="D4675" s="112"/>
      <c r="E4675" s="113"/>
      <c r="F4675" s="113"/>
      <c r="G4675" s="112"/>
      <c r="H4675" s="112"/>
      <c r="Z4675" s="112"/>
      <c r="AA4675" s="112"/>
    </row>
    <row r="4676" spans="3:27" x14ac:dyDescent="0.25">
      <c r="C4676" s="112"/>
      <c r="D4676" s="112"/>
      <c r="E4676" s="113"/>
      <c r="F4676" s="113"/>
      <c r="G4676" s="112"/>
      <c r="H4676" s="112"/>
      <c r="Z4676" s="112"/>
      <c r="AA4676" s="112"/>
    </row>
    <row r="4677" spans="3:27" x14ac:dyDescent="0.25">
      <c r="C4677" s="112"/>
      <c r="D4677" s="112"/>
      <c r="E4677" s="113"/>
      <c r="F4677" s="113"/>
      <c r="G4677" s="112"/>
      <c r="H4677" s="112"/>
      <c r="Z4677" s="112"/>
      <c r="AA4677" s="112"/>
    </row>
    <row r="4678" spans="3:27" x14ac:dyDescent="0.25">
      <c r="C4678" s="112"/>
      <c r="D4678" s="112"/>
      <c r="E4678" s="113"/>
      <c r="F4678" s="113"/>
      <c r="G4678" s="112"/>
      <c r="H4678" s="112"/>
      <c r="Z4678" s="112"/>
      <c r="AA4678" s="112"/>
    </row>
    <row r="4679" spans="3:27" x14ac:dyDescent="0.25">
      <c r="C4679" s="112"/>
      <c r="D4679" s="112"/>
      <c r="E4679" s="113"/>
      <c r="F4679" s="113"/>
      <c r="G4679" s="112"/>
      <c r="H4679" s="112"/>
      <c r="Z4679" s="112"/>
      <c r="AA4679" s="112"/>
    </row>
    <row r="4680" spans="3:27" x14ac:dyDescent="0.25">
      <c r="C4680" s="112"/>
      <c r="D4680" s="112"/>
      <c r="E4680" s="113"/>
      <c r="F4680" s="113"/>
      <c r="G4680" s="112"/>
      <c r="H4680" s="112"/>
      <c r="Z4680" s="112"/>
      <c r="AA4680" s="112"/>
    </row>
    <row r="4681" spans="3:27" x14ac:dyDescent="0.25">
      <c r="C4681" s="112"/>
      <c r="D4681" s="112"/>
      <c r="E4681" s="113"/>
      <c r="F4681" s="113"/>
      <c r="G4681" s="112"/>
      <c r="H4681" s="112"/>
      <c r="Z4681" s="112"/>
      <c r="AA4681" s="112"/>
    </row>
    <row r="4682" spans="3:27" x14ac:dyDescent="0.25">
      <c r="C4682" s="112"/>
      <c r="D4682" s="112"/>
      <c r="E4682" s="113"/>
      <c r="F4682" s="113"/>
      <c r="G4682" s="112"/>
      <c r="H4682" s="112"/>
      <c r="Z4682" s="112"/>
      <c r="AA4682" s="112"/>
    </row>
    <row r="4683" spans="3:27" x14ac:dyDescent="0.25">
      <c r="C4683" s="112"/>
      <c r="D4683" s="112"/>
      <c r="E4683" s="113"/>
      <c r="F4683" s="113"/>
      <c r="G4683" s="112"/>
      <c r="H4683" s="112"/>
      <c r="Z4683" s="112"/>
      <c r="AA4683" s="112"/>
    </row>
    <row r="4684" spans="3:27" x14ac:dyDescent="0.25">
      <c r="C4684" s="112"/>
      <c r="D4684" s="112"/>
      <c r="E4684" s="113"/>
      <c r="F4684" s="113"/>
      <c r="G4684" s="112"/>
      <c r="H4684" s="112"/>
      <c r="Z4684" s="112"/>
      <c r="AA4684" s="112"/>
    </row>
    <row r="4685" spans="3:27" x14ac:dyDescent="0.25">
      <c r="C4685" s="112"/>
      <c r="D4685" s="112"/>
      <c r="E4685" s="113"/>
      <c r="F4685" s="113"/>
      <c r="G4685" s="112"/>
      <c r="H4685" s="112"/>
      <c r="Z4685" s="112"/>
      <c r="AA4685" s="112"/>
    </row>
    <row r="4686" spans="3:27" x14ac:dyDescent="0.25">
      <c r="C4686" s="112"/>
      <c r="D4686" s="112"/>
      <c r="E4686" s="113"/>
      <c r="F4686" s="113"/>
      <c r="G4686" s="112"/>
      <c r="H4686" s="112"/>
      <c r="Z4686" s="112"/>
      <c r="AA4686" s="112"/>
    </row>
    <row r="4687" spans="3:27" x14ac:dyDescent="0.25">
      <c r="C4687" s="112"/>
      <c r="D4687" s="112"/>
      <c r="E4687" s="113"/>
      <c r="F4687" s="113"/>
      <c r="G4687" s="112"/>
      <c r="H4687" s="112"/>
      <c r="Z4687" s="112"/>
      <c r="AA4687" s="112"/>
    </row>
    <row r="4688" spans="3:27" x14ac:dyDescent="0.25">
      <c r="C4688" s="112"/>
      <c r="D4688" s="112"/>
      <c r="E4688" s="113"/>
      <c r="F4688" s="113"/>
      <c r="G4688" s="112"/>
      <c r="H4688" s="112"/>
      <c r="Z4688" s="112"/>
      <c r="AA4688" s="112"/>
    </row>
    <row r="4689" spans="3:27" x14ac:dyDescent="0.25">
      <c r="C4689" s="112"/>
      <c r="D4689" s="112"/>
      <c r="E4689" s="113"/>
      <c r="F4689" s="113"/>
      <c r="G4689" s="112"/>
      <c r="H4689" s="112"/>
      <c r="Z4689" s="112"/>
      <c r="AA4689" s="112"/>
    </row>
    <row r="4690" spans="3:27" x14ac:dyDescent="0.25">
      <c r="C4690" s="112"/>
      <c r="D4690" s="112"/>
      <c r="E4690" s="113"/>
      <c r="F4690" s="113"/>
      <c r="G4690" s="112"/>
      <c r="H4690" s="112"/>
      <c r="Z4690" s="112"/>
      <c r="AA4690" s="112"/>
    </row>
    <row r="4691" spans="3:27" x14ac:dyDescent="0.25">
      <c r="C4691" s="112"/>
      <c r="D4691" s="112"/>
      <c r="E4691" s="113"/>
      <c r="F4691" s="113"/>
      <c r="G4691" s="112"/>
      <c r="H4691" s="112"/>
      <c r="Z4691" s="112"/>
      <c r="AA4691" s="112"/>
    </row>
    <row r="4692" spans="3:27" x14ac:dyDescent="0.25">
      <c r="C4692" s="112"/>
      <c r="D4692" s="112"/>
      <c r="E4692" s="113"/>
      <c r="F4692" s="113"/>
      <c r="G4692" s="112"/>
      <c r="H4692" s="112"/>
      <c r="Z4692" s="112"/>
      <c r="AA4692" s="112"/>
    </row>
    <row r="4693" spans="3:27" x14ac:dyDescent="0.25">
      <c r="C4693" s="112"/>
      <c r="D4693" s="112"/>
      <c r="E4693" s="113"/>
      <c r="F4693" s="113"/>
      <c r="G4693" s="112"/>
      <c r="H4693" s="112"/>
      <c r="Z4693" s="112"/>
      <c r="AA4693" s="112"/>
    </row>
    <row r="4694" spans="3:27" x14ac:dyDescent="0.25">
      <c r="C4694" s="112"/>
      <c r="D4694" s="112"/>
      <c r="E4694" s="113"/>
      <c r="F4694" s="113"/>
      <c r="G4694" s="112"/>
      <c r="H4694" s="112"/>
      <c r="Z4694" s="112"/>
      <c r="AA4694" s="112"/>
    </row>
    <row r="4695" spans="3:27" x14ac:dyDescent="0.25">
      <c r="C4695" s="112"/>
      <c r="D4695" s="112"/>
      <c r="E4695" s="113"/>
      <c r="F4695" s="113"/>
      <c r="G4695" s="112"/>
      <c r="H4695" s="112"/>
      <c r="Z4695" s="112"/>
      <c r="AA4695" s="112"/>
    </row>
    <row r="4696" spans="3:27" x14ac:dyDescent="0.25">
      <c r="C4696" s="112"/>
      <c r="D4696" s="112"/>
      <c r="E4696" s="113"/>
      <c r="F4696" s="113"/>
      <c r="G4696" s="112"/>
      <c r="H4696" s="112"/>
      <c r="Z4696" s="112"/>
      <c r="AA4696" s="112"/>
    </row>
    <row r="4697" spans="3:27" x14ac:dyDescent="0.25">
      <c r="C4697" s="112"/>
      <c r="D4697" s="112"/>
      <c r="E4697" s="113"/>
      <c r="F4697" s="113"/>
      <c r="G4697" s="112"/>
      <c r="H4697" s="112"/>
      <c r="Z4697" s="112"/>
      <c r="AA4697" s="112"/>
    </row>
    <row r="4698" spans="3:27" x14ac:dyDescent="0.25">
      <c r="C4698" s="112"/>
      <c r="D4698" s="112"/>
      <c r="E4698" s="113"/>
      <c r="F4698" s="113"/>
      <c r="G4698" s="112"/>
      <c r="H4698" s="112"/>
      <c r="Z4698" s="112"/>
      <c r="AA4698" s="112"/>
    </row>
    <row r="4699" spans="3:27" x14ac:dyDescent="0.25">
      <c r="C4699" s="112"/>
      <c r="D4699" s="112"/>
      <c r="E4699" s="113"/>
      <c r="F4699" s="113"/>
      <c r="G4699" s="112"/>
      <c r="H4699" s="112"/>
      <c r="Z4699" s="112"/>
      <c r="AA4699" s="112"/>
    </row>
    <row r="4700" spans="3:27" x14ac:dyDescent="0.25">
      <c r="C4700" s="112"/>
      <c r="D4700" s="112"/>
      <c r="E4700" s="113"/>
      <c r="F4700" s="113"/>
      <c r="G4700" s="112"/>
      <c r="H4700" s="112"/>
      <c r="Z4700" s="112"/>
      <c r="AA4700" s="112"/>
    </row>
    <row r="4701" spans="3:27" x14ac:dyDescent="0.25">
      <c r="C4701" s="112"/>
      <c r="D4701" s="112"/>
      <c r="E4701" s="113"/>
      <c r="F4701" s="113"/>
      <c r="G4701" s="112"/>
      <c r="H4701" s="112"/>
      <c r="Z4701" s="112"/>
      <c r="AA4701" s="112"/>
    </row>
    <row r="4702" spans="3:27" x14ac:dyDescent="0.25">
      <c r="C4702" s="112"/>
      <c r="D4702" s="112"/>
      <c r="E4702" s="113"/>
      <c r="F4702" s="113"/>
      <c r="G4702" s="112"/>
      <c r="H4702" s="112"/>
      <c r="Z4702" s="112"/>
      <c r="AA4702" s="112"/>
    </row>
    <row r="4703" spans="3:27" x14ac:dyDescent="0.25">
      <c r="C4703" s="112"/>
      <c r="D4703" s="112"/>
      <c r="E4703" s="113"/>
      <c r="F4703" s="113"/>
      <c r="G4703" s="112"/>
      <c r="H4703" s="112"/>
      <c r="Z4703" s="112"/>
      <c r="AA4703" s="112"/>
    </row>
    <row r="4704" spans="3:27" x14ac:dyDescent="0.25">
      <c r="C4704" s="112"/>
      <c r="D4704" s="112"/>
      <c r="E4704" s="113"/>
      <c r="F4704" s="113"/>
      <c r="G4704" s="112"/>
      <c r="H4704" s="112"/>
      <c r="Z4704" s="112"/>
      <c r="AA4704" s="112"/>
    </row>
    <row r="4705" spans="3:27" x14ac:dyDescent="0.25">
      <c r="C4705" s="112"/>
      <c r="D4705" s="112"/>
      <c r="E4705" s="113"/>
      <c r="F4705" s="113"/>
      <c r="G4705" s="112"/>
      <c r="H4705" s="112"/>
      <c r="Z4705" s="112"/>
      <c r="AA4705" s="112"/>
    </row>
    <row r="4706" spans="3:27" x14ac:dyDescent="0.25">
      <c r="C4706" s="112"/>
      <c r="D4706" s="112"/>
      <c r="E4706" s="113"/>
      <c r="F4706" s="113"/>
      <c r="G4706" s="112"/>
      <c r="H4706" s="112"/>
      <c r="Z4706" s="112"/>
      <c r="AA4706" s="112"/>
    </row>
    <row r="4707" spans="3:27" x14ac:dyDescent="0.25">
      <c r="C4707" s="112"/>
      <c r="D4707" s="112"/>
      <c r="E4707" s="113"/>
      <c r="F4707" s="113"/>
      <c r="G4707" s="112"/>
      <c r="H4707" s="112"/>
      <c r="Z4707" s="112"/>
      <c r="AA4707" s="112"/>
    </row>
    <row r="4708" spans="3:27" x14ac:dyDescent="0.25">
      <c r="C4708" s="112"/>
      <c r="D4708" s="112"/>
      <c r="E4708" s="113"/>
      <c r="F4708" s="113"/>
      <c r="G4708" s="112"/>
      <c r="H4708" s="112"/>
      <c r="Z4708" s="112"/>
      <c r="AA4708" s="112"/>
    </row>
    <row r="4709" spans="3:27" x14ac:dyDescent="0.25">
      <c r="C4709" s="112"/>
      <c r="D4709" s="112"/>
      <c r="E4709" s="113"/>
      <c r="F4709" s="113"/>
      <c r="G4709" s="112"/>
      <c r="H4709" s="112"/>
      <c r="Z4709" s="112"/>
      <c r="AA4709" s="112"/>
    </row>
    <row r="4710" spans="3:27" x14ac:dyDescent="0.25">
      <c r="C4710" s="112"/>
      <c r="D4710" s="112"/>
      <c r="E4710" s="113"/>
      <c r="F4710" s="113"/>
      <c r="G4710" s="112"/>
      <c r="H4710" s="112"/>
      <c r="Z4710" s="112"/>
      <c r="AA4710" s="112"/>
    </row>
    <row r="4711" spans="3:27" x14ac:dyDescent="0.25">
      <c r="C4711" s="112"/>
      <c r="D4711" s="112"/>
      <c r="E4711" s="113"/>
      <c r="F4711" s="113"/>
      <c r="G4711" s="112"/>
      <c r="H4711" s="112"/>
      <c r="Z4711" s="112"/>
      <c r="AA4711" s="112"/>
    </row>
    <row r="4712" spans="3:27" x14ac:dyDescent="0.25">
      <c r="C4712" s="112"/>
      <c r="D4712" s="112"/>
      <c r="E4712" s="113"/>
      <c r="F4712" s="113"/>
      <c r="G4712" s="112"/>
      <c r="H4712" s="112"/>
      <c r="Z4712" s="112"/>
      <c r="AA4712" s="112"/>
    </row>
    <row r="4713" spans="3:27" x14ac:dyDescent="0.25">
      <c r="C4713" s="112"/>
      <c r="D4713" s="112"/>
      <c r="E4713" s="113"/>
      <c r="F4713" s="113"/>
      <c r="G4713" s="112"/>
      <c r="H4713" s="112"/>
      <c r="Z4713" s="112"/>
      <c r="AA4713" s="112"/>
    </row>
    <row r="4714" spans="3:27" x14ac:dyDescent="0.25">
      <c r="C4714" s="112"/>
      <c r="D4714" s="112"/>
      <c r="E4714" s="113"/>
      <c r="F4714" s="113"/>
      <c r="G4714" s="112"/>
      <c r="H4714" s="112"/>
      <c r="Z4714" s="112"/>
      <c r="AA4714" s="112"/>
    </row>
    <row r="4715" spans="3:27" x14ac:dyDescent="0.25">
      <c r="C4715" s="112"/>
      <c r="D4715" s="112"/>
      <c r="E4715" s="113"/>
      <c r="F4715" s="113"/>
      <c r="G4715" s="112"/>
      <c r="H4715" s="112"/>
      <c r="Z4715" s="112"/>
      <c r="AA4715" s="112"/>
    </row>
    <row r="4716" spans="3:27" x14ac:dyDescent="0.25">
      <c r="C4716" s="112"/>
      <c r="D4716" s="112"/>
      <c r="E4716" s="113"/>
      <c r="F4716" s="113"/>
      <c r="G4716" s="112"/>
      <c r="H4716" s="112"/>
      <c r="Z4716" s="112"/>
      <c r="AA4716" s="112"/>
    </row>
    <row r="4717" spans="3:27" x14ac:dyDescent="0.25">
      <c r="C4717" s="112"/>
      <c r="D4717" s="112"/>
      <c r="E4717" s="113"/>
      <c r="F4717" s="113"/>
      <c r="G4717" s="112"/>
      <c r="H4717" s="112"/>
      <c r="Z4717" s="112"/>
      <c r="AA4717" s="112"/>
    </row>
    <row r="4718" spans="3:27" x14ac:dyDescent="0.25">
      <c r="C4718" s="112"/>
      <c r="D4718" s="112"/>
      <c r="E4718" s="113"/>
      <c r="F4718" s="113"/>
      <c r="G4718" s="112"/>
      <c r="H4718" s="112"/>
      <c r="Z4718" s="112"/>
      <c r="AA4718" s="112"/>
    </row>
    <row r="4719" spans="3:27" x14ac:dyDescent="0.25">
      <c r="C4719" s="112"/>
      <c r="D4719" s="112"/>
      <c r="E4719" s="113"/>
      <c r="F4719" s="113"/>
      <c r="G4719" s="112"/>
      <c r="H4719" s="112"/>
      <c r="Z4719" s="112"/>
      <c r="AA4719" s="112"/>
    </row>
    <row r="4720" spans="3:27" x14ac:dyDescent="0.25">
      <c r="C4720" s="112"/>
      <c r="D4720" s="112"/>
      <c r="E4720" s="113"/>
      <c r="F4720" s="113"/>
      <c r="G4720" s="112"/>
      <c r="H4720" s="112"/>
      <c r="Z4720" s="112"/>
      <c r="AA4720" s="112"/>
    </row>
    <row r="4721" spans="3:27" x14ac:dyDescent="0.25">
      <c r="C4721" s="112"/>
      <c r="D4721" s="112"/>
      <c r="E4721" s="113"/>
      <c r="F4721" s="113"/>
      <c r="G4721" s="112"/>
      <c r="H4721" s="112"/>
      <c r="Z4721" s="112"/>
      <c r="AA4721" s="112"/>
    </row>
    <row r="4722" spans="3:27" x14ac:dyDescent="0.25">
      <c r="C4722" s="112"/>
      <c r="D4722" s="112"/>
      <c r="E4722" s="113"/>
      <c r="F4722" s="113"/>
      <c r="G4722" s="112"/>
      <c r="H4722" s="112"/>
      <c r="Z4722" s="112"/>
      <c r="AA4722" s="112"/>
    </row>
    <row r="4723" spans="3:27" x14ac:dyDescent="0.25">
      <c r="C4723" s="112"/>
      <c r="D4723" s="112"/>
      <c r="E4723" s="113"/>
      <c r="F4723" s="113"/>
      <c r="G4723" s="112"/>
      <c r="H4723" s="112"/>
      <c r="Z4723" s="112"/>
      <c r="AA4723" s="112"/>
    </row>
    <row r="4724" spans="3:27" x14ac:dyDescent="0.25">
      <c r="C4724" s="112"/>
      <c r="D4724" s="112"/>
      <c r="E4724" s="113"/>
      <c r="F4724" s="113"/>
      <c r="G4724" s="112"/>
      <c r="H4724" s="112"/>
      <c r="Z4724" s="112"/>
      <c r="AA4724" s="112"/>
    </row>
    <row r="4725" spans="3:27" x14ac:dyDescent="0.25">
      <c r="C4725" s="112"/>
      <c r="D4725" s="112"/>
      <c r="E4725" s="113"/>
      <c r="F4725" s="113"/>
      <c r="G4725" s="112"/>
      <c r="H4725" s="112"/>
      <c r="Z4725" s="112"/>
      <c r="AA4725" s="112"/>
    </row>
    <row r="4726" spans="3:27" x14ac:dyDescent="0.25">
      <c r="C4726" s="112"/>
      <c r="D4726" s="112"/>
      <c r="E4726" s="113"/>
      <c r="F4726" s="113"/>
      <c r="G4726" s="112"/>
      <c r="H4726" s="112"/>
      <c r="Z4726" s="112"/>
      <c r="AA4726" s="112"/>
    </row>
    <row r="4727" spans="3:27" x14ac:dyDescent="0.25">
      <c r="C4727" s="112"/>
      <c r="D4727" s="112"/>
      <c r="E4727" s="113"/>
      <c r="F4727" s="113"/>
      <c r="G4727" s="112"/>
      <c r="H4727" s="112"/>
      <c r="Z4727" s="112"/>
      <c r="AA4727" s="112"/>
    </row>
    <row r="4728" spans="3:27" x14ac:dyDescent="0.25">
      <c r="C4728" s="112"/>
      <c r="D4728" s="112"/>
      <c r="E4728" s="113"/>
      <c r="F4728" s="113"/>
      <c r="G4728" s="112"/>
      <c r="H4728" s="112"/>
      <c r="Z4728" s="112"/>
      <c r="AA4728" s="112"/>
    </row>
    <row r="4729" spans="3:27" x14ac:dyDescent="0.25">
      <c r="C4729" s="112"/>
      <c r="D4729" s="112"/>
      <c r="E4729" s="113"/>
      <c r="F4729" s="113"/>
      <c r="G4729" s="112"/>
      <c r="H4729" s="112"/>
      <c r="Z4729" s="112"/>
      <c r="AA4729" s="112"/>
    </row>
    <row r="4730" spans="3:27" x14ac:dyDescent="0.25">
      <c r="C4730" s="112"/>
      <c r="D4730" s="112"/>
      <c r="E4730" s="113"/>
      <c r="F4730" s="113"/>
      <c r="G4730" s="112"/>
      <c r="H4730" s="112"/>
      <c r="Z4730" s="112"/>
      <c r="AA4730" s="112"/>
    </row>
    <row r="4731" spans="3:27" x14ac:dyDescent="0.25">
      <c r="C4731" s="112"/>
      <c r="D4731" s="112"/>
      <c r="E4731" s="113"/>
      <c r="F4731" s="113"/>
      <c r="G4731" s="112"/>
      <c r="H4731" s="112"/>
      <c r="Z4731" s="112"/>
      <c r="AA4731" s="112"/>
    </row>
    <row r="4732" spans="3:27" x14ac:dyDescent="0.25">
      <c r="C4732" s="112"/>
      <c r="D4732" s="112"/>
      <c r="E4732" s="113"/>
      <c r="F4732" s="113"/>
      <c r="G4732" s="112"/>
      <c r="H4732" s="112"/>
      <c r="Z4732" s="112"/>
      <c r="AA4732" s="112"/>
    </row>
    <row r="4733" spans="3:27" x14ac:dyDescent="0.25">
      <c r="C4733" s="112"/>
      <c r="D4733" s="112"/>
      <c r="E4733" s="113"/>
      <c r="F4733" s="113"/>
      <c r="G4733" s="112"/>
      <c r="H4733" s="112"/>
      <c r="Z4733" s="112"/>
      <c r="AA4733" s="112"/>
    </row>
    <row r="4734" spans="3:27" x14ac:dyDescent="0.25">
      <c r="C4734" s="112"/>
      <c r="D4734" s="112"/>
      <c r="E4734" s="113"/>
      <c r="F4734" s="113"/>
      <c r="G4734" s="112"/>
      <c r="H4734" s="112"/>
      <c r="Z4734" s="112"/>
      <c r="AA4734" s="112"/>
    </row>
    <row r="4735" spans="3:27" x14ac:dyDescent="0.25">
      <c r="C4735" s="112"/>
      <c r="D4735" s="112"/>
      <c r="E4735" s="113"/>
      <c r="F4735" s="113"/>
      <c r="G4735" s="112"/>
      <c r="H4735" s="112"/>
      <c r="Z4735" s="112"/>
      <c r="AA4735" s="112"/>
    </row>
    <row r="4736" spans="3:27" x14ac:dyDescent="0.25">
      <c r="C4736" s="112"/>
      <c r="D4736" s="112"/>
      <c r="E4736" s="113"/>
      <c r="F4736" s="113"/>
      <c r="G4736" s="112"/>
      <c r="H4736" s="112"/>
      <c r="Z4736" s="112"/>
      <c r="AA4736" s="112"/>
    </row>
    <row r="4737" spans="3:27" x14ac:dyDescent="0.25">
      <c r="C4737" s="112"/>
      <c r="D4737" s="112"/>
      <c r="E4737" s="113"/>
      <c r="F4737" s="113"/>
      <c r="G4737" s="112"/>
      <c r="H4737" s="112"/>
      <c r="Z4737" s="112"/>
      <c r="AA4737" s="112"/>
    </row>
    <row r="4738" spans="3:27" x14ac:dyDescent="0.25">
      <c r="C4738" s="112"/>
      <c r="D4738" s="112"/>
      <c r="E4738" s="113"/>
      <c r="F4738" s="113"/>
      <c r="G4738" s="112"/>
      <c r="H4738" s="112"/>
      <c r="Z4738" s="112"/>
      <c r="AA4738" s="112"/>
    </row>
    <row r="4739" spans="3:27" x14ac:dyDescent="0.25">
      <c r="C4739" s="112"/>
      <c r="D4739" s="112"/>
      <c r="E4739" s="113"/>
      <c r="F4739" s="113"/>
      <c r="G4739" s="112"/>
      <c r="H4739" s="112"/>
      <c r="Z4739" s="112"/>
      <c r="AA4739" s="112"/>
    </row>
    <row r="4740" spans="3:27" x14ac:dyDescent="0.25">
      <c r="C4740" s="112"/>
      <c r="D4740" s="112"/>
      <c r="E4740" s="113"/>
      <c r="F4740" s="113"/>
      <c r="G4740" s="112"/>
      <c r="H4740" s="112"/>
      <c r="Z4740" s="112"/>
      <c r="AA4740" s="112"/>
    </row>
    <row r="4741" spans="3:27" x14ac:dyDescent="0.25">
      <c r="C4741" s="112"/>
      <c r="D4741" s="112"/>
      <c r="E4741" s="113"/>
      <c r="F4741" s="113"/>
      <c r="G4741" s="112"/>
      <c r="H4741" s="112"/>
      <c r="Z4741" s="112"/>
      <c r="AA4741" s="112"/>
    </row>
    <row r="4742" spans="3:27" x14ac:dyDescent="0.25">
      <c r="C4742" s="112"/>
      <c r="D4742" s="112"/>
      <c r="E4742" s="113"/>
      <c r="F4742" s="113"/>
      <c r="G4742" s="112"/>
      <c r="H4742" s="112"/>
      <c r="Z4742" s="112"/>
      <c r="AA4742" s="112"/>
    </row>
    <row r="4743" spans="3:27" x14ac:dyDescent="0.25">
      <c r="C4743" s="112"/>
      <c r="D4743" s="112"/>
      <c r="E4743" s="113"/>
      <c r="F4743" s="113"/>
      <c r="G4743" s="112"/>
      <c r="H4743" s="112"/>
      <c r="Z4743" s="112"/>
      <c r="AA4743" s="112"/>
    </row>
    <row r="4744" spans="3:27" x14ac:dyDescent="0.25">
      <c r="C4744" s="112"/>
      <c r="D4744" s="112"/>
      <c r="E4744" s="113"/>
      <c r="F4744" s="113"/>
      <c r="G4744" s="112"/>
      <c r="H4744" s="112"/>
      <c r="Z4744" s="112"/>
      <c r="AA4744" s="112"/>
    </row>
    <row r="4745" spans="3:27" x14ac:dyDescent="0.25">
      <c r="C4745" s="112"/>
      <c r="D4745" s="112"/>
      <c r="E4745" s="113"/>
      <c r="F4745" s="113"/>
      <c r="G4745" s="112"/>
      <c r="H4745" s="112"/>
      <c r="Z4745" s="112"/>
      <c r="AA4745" s="112"/>
    </row>
    <row r="4746" spans="3:27" x14ac:dyDescent="0.25">
      <c r="C4746" s="112"/>
      <c r="D4746" s="112"/>
      <c r="E4746" s="113"/>
      <c r="F4746" s="113"/>
      <c r="G4746" s="112"/>
      <c r="H4746" s="112"/>
      <c r="Z4746" s="112"/>
      <c r="AA4746" s="112"/>
    </row>
    <row r="4747" spans="3:27" x14ac:dyDescent="0.25">
      <c r="C4747" s="112"/>
      <c r="D4747" s="112"/>
      <c r="E4747" s="113"/>
      <c r="F4747" s="113"/>
      <c r="G4747" s="112"/>
      <c r="H4747" s="112"/>
      <c r="Z4747" s="112"/>
      <c r="AA4747" s="112"/>
    </row>
    <row r="4748" spans="3:27" x14ac:dyDescent="0.25">
      <c r="C4748" s="112"/>
      <c r="D4748" s="112"/>
      <c r="E4748" s="113"/>
      <c r="F4748" s="113"/>
      <c r="G4748" s="112"/>
      <c r="H4748" s="112"/>
      <c r="Z4748" s="112"/>
      <c r="AA4748" s="112"/>
    </row>
    <row r="4749" spans="3:27" x14ac:dyDescent="0.25">
      <c r="C4749" s="112"/>
      <c r="D4749" s="112"/>
      <c r="E4749" s="113"/>
      <c r="F4749" s="113"/>
      <c r="G4749" s="112"/>
      <c r="H4749" s="112"/>
      <c r="Z4749" s="112"/>
      <c r="AA4749" s="112"/>
    </row>
    <row r="4750" spans="3:27" x14ac:dyDescent="0.25">
      <c r="C4750" s="112"/>
      <c r="D4750" s="112"/>
      <c r="E4750" s="113"/>
      <c r="F4750" s="113"/>
      <c r="G4750" s="112"/>
      <c r="H4750" s="112"/>
      <c r="Z4750" s="112"/>
      <c r="AA4750" s="112"/>
    </row>
    <row r="4751" spans="3:27" x14ac:dyDescent="0.25">
      <c r="C4751" s="112"/>
      <c r="D4751" s="112"/>
      <c r="E4751" s="113"/>
      <c r="F4751" s="113"/>
      <c r="G4751" s="112"/>
      <c r="H4751" s="112"/>
      <c r="Z4751" s="112"/>
      <c r="AA4751" s="112"/>
    </row>
    <row r="4752" spans="3:27" x14ac:dyDescent="0.25">
      <c r="C4752" s="112"/>
      <c r="D4752" s="112"/>
      <c r="E4752" s="113"/>
      <c r="F4752" s="113"/>
      <c r="G4752" s="112"/>
      <c r="H4752" s="112"/>
      <c r="Z4752" s="112"/>
      <c r="AA4752" s="112"/>
    </row>
    <row r="4753" spans="3:27" x14ac:dyDescent="0.25">
      <c r="C4753" s="112"/>
      <c r="D4753" s="112"/>
      <c r="E4753" s="113"/>
      <c r="F4753" s="113"/>
      <c r="G4753" s="112"/>
      <c r="H4753" s="112"/>
      <c r="Z4753" s="112"/>
      <c r="AA4753" s="112"/>
    </row>
    <row r="4754" spans="3:27" x14ac:dyDescent="0.25">
      <c r="C4754" s="112"/>
      <c r="D4754" s="112"/>
      <c r="E4754" s="113"/>
      <c r="F4754" s="113"/>
      <c r="G4754" s="112"/>
      <c r="H4754" s="112"/>
      <c r="Z4754" s="112"/>
      <c r="AA4754" s="112"/>
    </row>
    <row r="4755" spans="3:27" x14ac:dyDescent="0.25">
      <c r="C4755" s="112"/>
      <c r="D4755" s="112"/>
      <c r="E4755" s="113"/>
      <c r="F4755" s="113"/>
      <c r="G4755" s="112"/>
      <c r="H4755" s="112"/>
      <c r="Z4755" s="112"/>
      <c r="AA4755" s="112"/>
    </row>
    <row r="4756" spans="3:27" x14ac:dyDescent="0.25">
      <c r="C4756" s="112"/>
      <c r="D4756" s="112"/>
      <c r="E4756" s="113"/>
      <c r="F4756" s="113"/>
      <c r="G4756" s="112"/>
      <c r="H4756" s="112"/>
      <c r="Z4756" s="112"/>
      <c r="AA4756" s="112"/>
    </row>
    <row r="4757" spans="3:27" x14ac:dyDescent="0.25">
      <c r="C4757" s="112"/>
      <c r="D4757" s="112"/>
      <c r="E4757" s="113"/>
      <c r="F4757" s="113"/>
      <c r="G4757" s="112"/>
      <c r="H4757" s="112"/>
      <c r="Z4757" s="112"/>
      <c r="AA4757" s="112"/>
    </row>
    <row r="4758" spans="3:27" x14ac:dyDescent="0.25">
      <c r="C4758" s="112"/>
      <c r="D4758" s="112"/>
      <c r="E4758" s="113"/>
      <c r="F4758" s="113"/>
      <c r="G4758" s="112"/>
      <c r="H4758" s="112"/>
      <c r="Z4758" s="112"/>
      <c r="AA4758" s="112"/>
    </row>
    <row r="4759" spans="3:27" x14ac:dyDescent="0.25">
      <c r="C4759" s="112"/>
      <c r="D4759" s="112"/>
      <c r="E4759" s="113"/>
      <c r="F4759" s="113"/>
      <c r="G4759" s="112"/>
      <c r="H4759" s="112"/>
      <c r="Z4759" s="112"/>
      <c r="AA4759" s="112"/>
    </row>
    <row r="4760" spans="3:27" x14ac:dyDescent="0.25">
      <c r="C4760" s="112"/>
      <c r="D4760" s="112"/>
      <c r="E4760" s="113"/>
      <c r="F4760" s="113"/>
      <c r="G4760" s="112"/>
      <c r="H4760" s="112"/>
      <c r="Z4760" s="112"/>
      <c r="AA4760" s="112"/>
    </row>
    <row r="4761" spans="3:27" x14ac:dyDescent="0.25">
      <c r="C4761" s="112"/>
      <c r="D4761" s="112"/>
      <c r="E4761" s="113"/>
      <c r="F4761" s="113"/>
      <c r="G4761" s="112"/>
      <c r="H4761" s="112"/>
      <c r="Z4761" s="112"/>
      <c r="AA4761" s="112"/>
    </row>
    <row r="4762" spans="3:27" x14ac:dyDescent="0.25">
      <c r="C4762" s="112"/>
      <c r="D4762" s="112"/>
      <c r="E4762" s="113"/>
      <c r="F4762" s="113"/>
      <c r="G4762" s="112"/>
      <c r="H4762" s="112"/>
      <c r="Z4762" s="112"/>
      <c r="AA4762" s="112"/>
    </row>
    <row r="4763" spans="3:27" x14ac:dyDescent="0.25">
      <c r="C4763" s="112"/>
      <c r="D4763" s="112"/>
      <c r="E4763" s="113"/>
      <c r="F4763" s="113"/>
      <c r="G4763" s="112"/>
      <c r="H4763" s="112"/>
      <c r="Z4763" s="112"/>
      <c r="AA4763" s="112"/>
    </row>
    <row r="4764" spans="3:27" x14ac:dyDescent="0.25">
      <c r="C4764" s="112"/>
      <c r="D4764" s="112"/>
      <c r="E4764" s="113"/>
      <c r="F4764" s="113"/>
      <c r="G4764" s="112"/>
      <c r="H4764" s="112"/>
      <c r="Z4764" s="112"/>
      <c r="AA4764" s="112"/>
    </row>
    <row r="4765" spans="3:27" x14ac:dyDescent="0.25">
      <c r="C4765" s="112"/>
      <c r="D4765" s="112"/>
      <c r="E4765" s="113"/>
      <c r="F4765" s="113"/>
      <c r="G4765" s="112"/>
      <c r="H4765" s="112"/>
      <c r="Z4765" s="112"/>
      <c r="AA4765" s="112"/>
    </row>
    <row r="4766" spans="3:27" x14ac:dyDescent="0.25">
      <c r="C4766" s="112"/>
      <c r="D4766" s="112"/>
      <c r="E4766" s="113"/>
      <c r="F4766" s="113"/>
      <c r="G4766" s="112"/>
      <c r="H4766" s="112"/>
      <c r="Z4766" s="112"/>
      <c r="AA4766" s="112"/>
    </row>
    <row r="4767" spans="3:27" x14ac:dyDescent="0.25">
      <c r="C4767" s="112"/>
      <c r="D4767" s="112"/>
      <c r="E4767" s="113"/>
      <c r="F4767" s="113"/>
      <c r="G4767" s="112"/>
      <c r="H4767" s="112"/>
      <c r="Z4767" s="112"/>
      <c r="AA4767" s="112"/>
    </row>
    <row r="4768" spans="3:27" x14ac:dyDescent="0.25">
      <c r="C4768" s="112"/>
      <c r="D4768" s="112"/>
      <c r="E4768" s="113"/>
      <c r="F4768" s="113"/>
      <c r="G4768" s="112"/>
      <c r="H4768" s="112"/>
      <c r="Z4768" s="112"/>
      <c r="AA4768" s="112"/>
    </row>
    <row r="4769" spans="3:27" x14ac:dyDescent="0.25">
      <c r="C4769" s="112"/>
      <c r="D4769" s="112"/>
      <c r="E4769" s="113"/>
      <c r="F4769" s="113"/>
      <c r="G4769" s="112"/>
      <c r="H4769" s="112"/>
      <c r="Z4769" s="112"/>
      <c r="AA4769" s="112"/>
    </row>
    <row r="4770" spans="3:27" x14ac:dyDescent="0.25">
      <c r="C4770" s="112"/>
      <c r="D4770" s="112"/>
      <c r="E4770" s="113"/>
      <c r="F4770" s="113"/>
      <c r="G4770" s="112"/>
      <c r="H4770" s="112"/>
      <c r="Z4770" s="112"/>
      <c r="AA4770" s="112"/>
    </row>
    <row r="4771" spans="3:27" x14ac:dyDescent="0.25">
      <c r="C4771" s="112"/>
      <c r="D4771" s="112"/>
      <c r="E4771" s="113"/>
      <c r="F4771" s="113"/>
      <c r="G4771" s="112"/>
      <c r="H4771" s="112"/>
      <c r="Z4771" s="112"/>
      <c r="AA4771" s="112"/>
    </row>
    <row r="4772" spans="3:27" x14ac:dyDescent="0.25">
      <c r="C4772" s="112"/>
      <c r="D4772" s="112"/>
      <c r="E4772" s="113"/>
      <c r="F4772" s="113"/>
      <c r="G4772" s="112"/>
      <c r="H4772" s="112"/>
      <c r="Z4772" s="112"/>
      <c r="AA4772" s="112"/>
    </row>
    <row r="4773" spans="3:27" x14ac:dyDescent="0.25">
      <c r="C4773" s="112"/>
      <c r="D4773" s="112"/>
      <c r="E4773" s="113"/>
      <c r="F4773" s="113"/>
      <c r="G4773" s="112"/>
      <c r="H4773" s="112"/>
      <c r="Z4773" s="112"/>
      <c r="AA4773" s="112"/>
    </row>
    <row r="4774" spans="3:27" x14ac:dyDescent="0.25">
      <c r="C4774" s="112"/>
      <c r="D4774" s="112"/>
      <c r="E4774" s="113"/>
      <c r="F4774" s="113"/>
      <c r="G4774" s="112"/>
      <c r="H4774" s="112"/>
      <c r="Z4774" s="112"/>
      <c r="AA4774" s="112"/>
    </row>
    <row r="4775" spans="3:27" x14ac:dyDescent="0.25">
      <c r="C4775" s="112"/>
      <c r="D4775" s="112"/>
      <c r="E4775" s="113"/>
      <c r="F4775" s="113"/>
      <c r="G4775" s="112"/>
      <c r="H4775" s="112"/>
      <c r="Z4775" s="112"/>
      <c r="AA4775" s="112"/>
    </row>
    <row r="4776" spans="3:27" x14ac:dyDescent="0.25">
      <c r="C4776" s="112"/>
      <c r="D4776" s="112"/>
      <c r="E4776" s="113"/>
      <c r="F4776" s="113"/>
      <c r="G4776" s="112"/>
      <c r="H4776" s="112"/>
      <c r="Z4776" s="112"/>
      <c r="AA4776" s="112"/>
    </row>
    <row r="4777" spans="3:27" x14ac:dyDescent="0.25">
      <c r="C4777" s="112"/>
      <c r="D4777" s="112"/>
      <c r="E4777" s="113"/>
      <c r="F4777" s="113"/>
      <c r="G4777" s="112"/>
      <c r="H4777" s="112"/>
      <c r="Z4777" s="112"/>
      <c r="AA4777" s="112"/>
    </row>
    <row r="4778" spans="3:27" x14ac:dyDescent="0.25">
      <c r="C4778" s="112"/>
      <c r="D4778" s="112"/>
      <c r="E4778" s="113"/>
      <c r="F4778" s="113"/>
      <c r="G4778" s="112"/>
      <c r="H4778" s="112"/>
      <c r="Z4778" s="112"/>
      <c r="AA4778" s="112"/>
    </row>
    <row r="4779" spans="3:27" x14ac:dyDescent="0.25">
      <c r="C4779" s="112"/>
      <c r="D4779" s="112"/>
      <c r="E4779" s="113"/>
      <c r="F4779" s="113"/>
      <c r="G4779" s="112"/>
      <c r="H4779" s="112"/>
      <c r="Z4779" s="112"/>
      <c r="AA4779" s="112"/>
    </row>
    <row r="4780" spans="3:27" x14ac:dyDescent="0.25">
      <c r="C4780" s="112"/>
      <c r="D4780" s="112"/>
      <c r="E4780" s="113"/>
      <c r="F4780" s="113"/>
      <c r="G4780" s="112"/>
      <c r="H4780" s="112"/>
      <c r="Z4780" s="112"/>
      <c r="AA4780" s="112"/>
    </row>
    <row r="4781" spans="3:27" x14ac:dyDescent="0.25">
      <c r="C4781" s="112"/>
      <c r="D4781" s="112"/>
      <c r="E4781" s="113"/>
      <c r="F4781" s="113"/>
      <c r="G4781" s="112"/>
      <c r="H4781" s="112"/>
      <c r="Z4781" s="112"/>
      <c r="AA4781" s="112"/>
    </row>
    <row r="4782" spans="3:27" x14ac:dyDescent="0.25">
      <c r="C4782" s="112"/>
      <c r="D4782" s="112"/>
      <c r="E4782" s="113"/>
      <c r="F4782" s="113"/>
      <c r="G4782" s="112"/>
      <c r="H4782" s="112"/>
      <c r="Z4782" s="112"/>
      <c r="AA4782" s="112"/>
    </row>
    <row r="4783" spans="3:27" x14ac:dyDescent="0.25">
      <c r="C4783" s="112"/>
      <c r="D4783" s="112"/>
      <c r="E4783" s="113"/>
      <c r="F4783" s="113"/>
      <c r="G4783" s="112"/>
      <c r="H4783" s="112"/>
      <c r="Z4783" s="112"/>
      <c r="AA4783" s="112"/>
    </row>
    <row r="4784" spans="3:27" x14ac:dyDescent="0.25">
      <c r="C4784" s="112"/>
      <c r="D4784" s="112"/>
      <c r="E4784" s="113"/>
      <c r="F4784" s="113"/>
      <c r="G4784" s="112"/>
      <c r="H4784" s="112"/>
      <c r="Z4784" s="112"/>
      <c r="AA4784" s="112"/>
    </row>
    <row r="4785" spans="3:27" x14ac:dyDescent="0.25">
      <c r="C4785" s="112"/>
      <c r="D4785" s="112"/>
      <c r="E4785" s="113"/>
      <c r="F4785" s="113"/>
      <c r="G4785" s="112"/>
      <c r="H4785" s="112"/>
      <c r="Z4785" s="112"/>
      <c r="AA4785" s="112"/>
    </row>
    <row r="4786" spans="3:27" x14ac:dyDescent="0.25">
      <c r="C4786" s="112"/>
      <c r="D4786" s="112"/>
      <c r="E4786" s="113"/>
      <c r="F4786" s="113"/>
      <c r="G4786" s="112"/>
      <c r="H4786" s="112"/>
      <c r="Z4786" s="112"/>
      <c r="AA4786" s="112"/>
    </row>
    <row r="4787" spans="3:27" x14ac:dyDescent="0.25">
      <c r="C4787" s="112"/>
      <c r="D4787" s="112"/>
      <c r="E4787" s="113"/>
      <c r="F4787" s="113"/>
      <c r="G4787" s="112"/>
      <c r="H4787" s="112"/>
      <c r="Z4787" s="112"/>
      <c r="AA4787" s="112"/>
    </row>
    <row r="4788" spans="3:27" x14ac:dyDescent="0.25">
      <c r="C4788" s="112"/>
      <c r="D4788" s="112"/>
      <c r="E4788" s="113"/>
      <c r="F4788" s="113"/>
      <c r="G4788" s="112"/>
      <c r="H4788" s="112"/>
      <c r="Z4788" s="112"/>
      <c r="AA4788" s="112"/>
    </row>
    <row r="4789" spans="3:27" x14ac:dyDescent="0.25">
      <c r="C4789" s="112"/>
      <c r="D4789" s="112"/>
      <c r="E4789" s="113"/>
      <c r="F4789" s="113"/>
      <c r="G4789" s="112"/>
      <c r="H4789" s="112"/>
      <c r="Z4789" s="112"/>
      <c r="AA4789" s="112"/>
    </row>
    <row r="4790" spans="3:27" x14ac:dyDescent="0.25">
      <c r="C4790" s="112"/>
      <c r="D4790" s="112"/>
      <c r="E4790" s="113"/>
      <c r="F4790" s="113"/>
      <c r="G4790" s="112"/>
      <c r="H4790" s="112"/>
      <c r="Z4790" s="112"/>
      <c r="AA4790" s="112"/>
    </row>
    <row r="4791" spans="3:27" x14ac:dyDescent="0.25">
      <c r="C4791" s="112"/>
      <c r="D4791" s="112"/>
      <c r="E4791" s="113"/>
      <c r="F4791" s="113"/>
      <c r="G4791" s="112"/>
      <c r="H4791" s="112"/>
      <c r="Z4791" s="112"/>
      <c r="AA4791" s="112"/>
    </row>
    <row r="4792" spans="3:27" x14ac:dyDescent="0.25">
      <c r="C4792" s="112"/>
      <c r="D4792" s="112"/>
      <c r="E4792" s="113"/>
      <c r="F4792" s="113"/>
      <c r="G4792" s="112"/>
      <c r="H4792" s="112"/>
      <c r="Z4792" s="112"/>
      <c r="AA4792" s="112"/>
    </row>
    <row r="4793" spans="3:27" x14ac:dyDescent="0.25">
      <c r="C4793" s="112"/>
      <c r="D4793" s="112"/>
      <c r="E4793" s="113"/>
      <c r="F4793" s="113"/>
      <c r="G4793" s="112"/>
      <c r="H4793" s="112"/>
      <c r="Z4793" s="112"/>
      <c r="AA4793" s="112"/>
    </row>
    <row r="4794" spans="3:27" x14ac:dyDescent="0.25">
      <c r="C4794" s="112"/>
      <c r="D4794" s="112"/>
      <c r="E4794" s="113"/>
      <c r="F4794" s="113"/>
      <c r="G4794" s="112"/>
      <c r="H4794" s="112"/>
      <c r="Z4794" s="112"/>
      <c r="AA4794" s="112"/>
    </row>
    <row r="4795" spans="3:27" x14ac:dyDescent="0.25">
      <c r="C4795" s="112"/>
      <c r="D4795" s="112"/>
      <c r="E4795" s="113"/>
      <c r="F4795" s="113"/>
      <c r="G4795" s="112"/>
      <c r="H4795" s="112"/>
      <c r="Z4795" s="112"/>
      <c r="AA4795" s="112"/>
    </row>
    <row r="4796" spans="3:27" x14ac:dyDescent="0.25">
      <c r="C4796" s="112"/>
      <c r="D4796" s="112"/>
      <c r="E4796" s="113"/>
      <c r="F4796" s="113"/>
      <c r="G4796" s="112"/>
      <c r="H4796" s="112"/>
      <c r="Z4796" s="112"/>
      <c r="AA4796" s="112"/>
    </row>
    <row r="4797" spans="3:27" x14ac:dyDescent="0.25">
      <c r="C4797" s="112"/>
      <c r="D4797" s="112"/>
      <c r="E4797" s="113"/>
      <c r="F4797" s="113"/>
      <c r="G4797" s="112"/>
      <c r="H4797" s="112"/>
      <c r="Z4797" s="112"/>
      <c r="AA4797" s="112"/>
    </row>
    <row r="4798" spans="3:27" x14ac:dyDescent="0.25">
      <c r="C4798" s="112"/>
      <c r="D4798" s="112"/>
      <c r="E4798" s="113"/>
      <c r="F4798" s="113"/>
      <c r="G4798" s="112"/>
      <c r="H4798" s="112"/>
      <c r="Z4798" s="112"/>
      <c r="AA4798" s="112"/>
    </row>
    <row r="4799" spans="3:27" x14ac:dyDescent="0.25">
      <c r="C4799" s="112"/>
      <c r="D4799" s="112"/>
      <c r="E4799" s="113"/>
      <c r="F4799" s="113"/>
      <c r="G4799" s="112"/>
      <c r="H4799" s="112"/>
      <c r="Z4799" s="112"/>
      <c r="AA4799" s="112"/>
    </row>
    <row r="4800" spans="3:27" x14ac:dyDescent="0.25">
      <c r="C4800" s="112"/>
      <c r="D4800" s="112"/>
      <c r="E4800" s="113"/>
      <c r="F4800" s="113"/>
      <c r="G4800" s="112"/>
      <c r="H4800" s="112"/>
      <c r="Z4800" s="112"/>
      <c r="AA4800" s="112"/>
    </row>
    <row r="4801" spans="3:27" x14ac:dyDescent="0.25">
      <c r="C4801" s="112"/>
      <c r="D4801" s="112"/>
      <c r="E4801" s="113"/>
      <c r="F4801" s="113"/>
      <c r="G4801" s="112"/>
      <c r="H4801" s="112"/>
      <c r="Z4801" s="112"/>
      <c r="AA4801" s="112"/>
    </row>
    <row r="4802" spans="3:27" x14ac:dyDescent="0.25">
      <c r="C4802" s="112"/>
      <c r="D4802" s="112"/>
      <c r="E4802" s="113"/>
      <c r="F4802" s="113"/>
      <c r="G4802" s="112"/>
      <c r="H4802" s="112"/>
      <c r="Z4802" s="112"/>
      <c r="AA4802" s="112"/>
    </row>
    <row r="4803" spans="3:27" x14ac:dyDescent="0.25">
      <c r="C4803" s="112"/>
      <c r="D4803" s="112"/>
      <c r="E4803" s="113"/>
      <c r="F4803" s="113"/>
      <c r="G4803" s="112"/>
      <c r="H4803" s="112"/>
      <c r="Z4803" s="112"/>
      <c r="AA4803" s="112"/>
    </row>
    <row r="4804" spans="3:27" x14ac:dyDescent="0.25">
      <c r="C4804" s="112"/>
      <c r="D4804" s="112"/>
      <c r="E4804" s="113"/>
      <c r="F4804" s="113"/>
      <c r="G4804" s="112"/>
      <c r="H4804" s="112"/>
      <c r="Z4804" s="112"/>
      <c r="AA4804" s="112"/>
    </row>
    <row r="4805" spans="3:27" x14ac:dyDescent="0.25">
      <c r="C4805" s="112"/>
      <c r="D4805" s="112"/>
      <c r="E4805" s="113"/>
      <c r="F4805" s="113"/>
      <c r="G4805" s="112"/>
      <c r="H4805" s="112"/>
      <c r="Z4805" s="112"/>
      <c r="AA4805" s="112"/>
    </row>
    <row r="4806" spans="3:27" x14ac:dyDescent="0.25">
      <c r="C4806" s="112"/>
      <c r="D4806" s="112"/>
      <c r="E4806" s="113"/>
      <c r="F4806" s="113"/>
      <c r="G4806" s="112"/>
      <c r="H4806" s="112"/>
      <c r="Z4806" s="112"/>
      <c r="AA4806" s="112"/>
    </row>
    <row r="4807" spans="3:27" x14ac:dyDescent="0.25">
      <c r="C4807" s="112"/>
      <c r="D4807" s="112"/>
      <c r="E4807" s="113"/>
      <c r="F4807" s="113"/>
      <c r="G4807" s="112"/>
      <c r="H4807" s="112"/>
      <c r="Z4807" s="112"/>
      <c r="AA4807" s="112"/>
    </row>
    <row r="4808" spans="3:27" x14ac:dyDescent="0.25">
      <c r="C4808" s="112"/>
      <c r="D4808" s="112"/>
      <c r="E4808" s="113"/>
      <c r="F4808" s="113"/>
      <c r="G4808" s="112"/>
      <c r="H4808" s="112"/>
      <c r="Z4808" s="112"/>
      <c r="AA4808" s="112"/>
    </row>
    <row r="4809" spans="3:27" x14ac:dyDescent="0.25">
      <c r="C4809" s="112"/>
      <c r="D4809" s="112"/>
      <c r="E4809" s="113"/>
      <c r="F4809" s="113"/>
      <c r="G4809" s="112"/>
      <c r="H4809" s="112"/>
      <c r="Z4809" s="112"/>
      <c r="AA4809" s="112"/>
    </row>
    <row r="4810" spans="3:27" x14ac:dyDescent="0.25">
      <c r="C4810" s="112"/>
      <c r="D4810" s="112"/>
      <c r="E4810" s="113"/>
      <c r="F4810" s="113"/>
      <c r="G4810" s="112"/>
      <c r="H4810" s="112"/>
      <c r="Z4810" s="112"/>
      <c r="AA4810" s="112"/>
    </row>
    <row r="4811" spans="3:27" x14ac:dyDescent="0.25">
      <c r="C4811" s="112"/>
      <c r="D4811" s="112"/>
      <c r="E4811" s="113"/>
      <c r="F4811" s="113"/>
      <c r="G4811" s="112"/>
      <c r="H4811" s="112"/>
      <c r="Z4811" s="112"/>
      <c r="AA4811" s="112"/>
    </row>
    <row r="4812" spans="3:27" x14ac:dyDescent="0.25">
      <c r="C4812" s="112"/>
      <c r="D4812" s="112"/>
      <c r="E4812" s="113"/>
      <c r="F4812" s="113"/>
      <c r="G4812" s="112"/>
      <c r="H4812" s="112"/>
      <c r="Z4812" s="112"/>
      <c r="AA4812" s="112"/>
    </row>
    <row r="4813" spans="3:27" x14ac:dyDescent="0.25">
      <c r="C4813" s="112"/>
      <c r="D4813" s="112"/>
      <c r="E4813" s="113"/>
      <c r="F4813" s="113"/>
      <c r="G4813" s="112"/>
      <c r="H4813" s="112"/>
      <c r="Z4813" s="112"/>
      <c r="AA4813" s="112"/>
    </row>
    <row r="4814" spans="3:27" x14ac:dyDescent="0.25">
      <c r="C4814" s="112"/>
      <c r="D4814" s="112"/>
      <c r="E4814" s="113"/>
      <c r="F4814" s="113"/>
      <c r="G4814" s="112"/>
      <c r="H4814" s="112"/>
      <c r="Z4814" s="112"/>
      <c r="AA4814" s="112"/>
    </row>
    <row r="4815" spans="3:27" x14ac:dyDescent="0.25">
      <c r="C4815" s="112"/>
      <c r="D4815" s="112"/>
      <c r="E4815" s="113"/>
      <c r="F4815" s="113"/>
      <c r="G4815" s="112"/>
      <c r="H4815" s="112"/>
      <c r="Z4815" s="112"/>
      <c r="AA4815" s="112"/>
    </row>
    <row r="4816" spans="3:27" x14ac:dyDescent="0.25">
      <c r="C4816" s="112"/>
      <c r="D4816" s="112"/>
      <c r="E4816" s="113"/>
      <c r="F4816" s="113"/>
      <c r="G4816" s="112"/>
      <c r="H4816" s="112"/>
      <c r="Z4816" s="112"/>
      <c r="AA4816" s="112"/>
    </row>
    <row r="4817" spans="3:27" x14ac:dyDescent="0.25">
      <c r="C4817" s="112"/>
      <c r="D4817" s="112"/>
      <c r="E4817" s="113"/>
      <c r="F4817" s="113"/>
      <c r="G4817" s="112"/>
      <c r="H4817" s="112"/>
      <c r="Z4817" s="112"/>
      <c r="AA4817" s="112"/>
    </row>
    <row r="4818" spans="3:27" x14ac:dyDescent="0.25">
      <c r="C4818" s="112"/>
      <c r="D4818" s="112"/>
      <c r="E4818" s="113"/>
      <c r="F4818" s="113"/>
      <c r="G4818" s="112"/>
      <c r="H4818" s="112"/>
      <c r="Z4818" s="112"/>
      <c r="AA4818" s="112"/>
    </row>
    <row r="4819" spans="3:27" x14ac:dyDescent="0.25">
      <c r="C4819" s="112"/>
      <c r="D4819" s="112"/>
      <c r="E4819" s="113"/>
      <c r="F4819" s="113"/>
      <c r="G4819" s="112"/>
      <c r="H4819" s="112"/>
      <c r="Z4819" s="112"/>
      <c r="AA4819" s="112"/>
    </row>
    <row r="4820" spans="3:27" x14ac:dyDescent="0.25">
      <c r="C4820" s="112"/>
      <c r="D4820" s="112"/>
      <c r="E4820" s="113"/>
      <c r="F4820" s="113"/>
      <c r="G4820" s="112"/>
      <c r="H4820" s="112"/>
      <c r="Z4820" s="112"/>
      <c r="AA4820" s="112"/>
    </row>
    <row r="4821" spans="3:27" x14ac:dyDescent="0.25">
      <c r="C4821" s="112"/>
      <c r="D4821" s="112"/>
      <c r="E4821" s="113"/>
      <c r="F4821" s="113"/>
      <c r="G4821" s="112"/>
      <c r="H4821" s="112"/>
      <c r="Z4821" s="112"/>
      <c r="AA4821" s="112"/>
    </row>
    <row r="4822" spans="3:27" x14ac:dyDescent="0.25">
      <c r="C4822" s="112"/>
      <c r="D4822" s="112"/>
      <c r="E4822" s="113"/>
      <c r="F4822" s="113"/>
      <c r="G4822" s="112"/>
      <c r="H4822" s="112"/>
      <c r="Z4822" s="112"/>
      <c r="AA4822" s="112"/>
    </row>
    <row r="4823" spans="3:27" x14ac:dyDescent="0.25">
      <c r="C4823" s="112"/>
      <c r="D4823" s="112"/>
      <c r="E4823" s="113"/>
      <c r="F4823" s="113"/>
      <c r="G4823" s="112"/>
      <c r="H4823" s="112"/>
      <c r="Z4823" s="112"/>
      <c r="AA4823" s="112"/>
    </row>
    <row r="4824" spans="3:27" x14ac:dyDescent="0.25">
      <c r="C4824" s="112"/>
      <c r="D4824" s="112"/>
      <c r="E4824" s="113"/>
      <c r="F4824" s="113"/>
      <c r="G4824" s="112"/>
      <c r="H4824" s="112"/>
      <c r="Z4824" s="112"/>
      <c r="AA4824" s="112"/>
    </row>
    <row r="4825" spans="3:27" x14ac:dyDescent="0.25">
      <c r="C4825" s="112"/>
      <c r="D4825" s="112"/>
      <c r="E4825" s="113"/>
      <c r="F4825" s="113"/>
      <c r="G4825" s="112"/>
      <c r="H4825" s="112"/>
      <c r="Z4825" s="112"/>
      <c r="AA4825" s="112"/>
    </row>
    <row r="4826" spans="3:27" x14ac:dyDescent="0.25">
      <c r="C4826" s="112"/>
      <c r="D4826" s="112"/>
      <c r="E4826" s="113"/>
      <c r="F4826" s="113"/>
      <c r="G4826" s="112"/>
      <c r="H4826" s="112"/>
      <c r="Z4826" s="112"/>
      <c r="AA4826" s="112"/>
    </row>
    <row r="4827" spans="3:27" x14ac:dyDescent="0.25">
      <c r="C4827" s="112"/>
      <c r="D4827" s="112"/>
      <c r="E4827" s="113"/>
      <c r="F4827" s="113"/>
      <c r="G4827" s="112"/>
      <c r="H4827" s="112"/>
      <c r="Z4827" s="112"/>
      <c r="AA4827" s="112"/>
    </row>
    <row r="4828" spans="3:27" x14ac:dyDescent="0.25">
      <c r="C4828" s="112"/>
      <c r="D4828" s="112"/>
      <c r="E4828" s="113"/>
      <c r="F4828" s="113"/>
      <c r="G4828" s="112"/>
      <c r="H4828" s="112"/>
      <c r="Z4828" s="112"/>
      <c r="AA4828" s="112"/>
    </row>
    <row r="4829" spans="3:27" x14ac:dyDescent="0.25">
      <c r="C4829" s="112"/>
      <c r="D4829" s="112"/>
      <c r="E4829" s="113"/>
      <c r="F4829" s="113"/>
      <c r="G4829" s="112"/>
      <c r="H4829" s="112"/>
      <c r="Z4829" s="112"/>
      <c r="AA4829" s="112"/>
    </row>
    <row r="4830" spans="3:27" x14ac:dyDescent="0.25">
      <c r="C4830" s="112"/>
      <c r="D4830" s="112"/>
      <c r="E4830" s="113"/>
      <c r="F4830" s="113"/>
      <c r="G4830" s="112"/>
      <c r="H4830" s="112"/>
      <c r="Z4830" s="112"/>
      <c r="AA4830" s="112"/>
    </row>
    <row r="4831" spans="3:27" x14ac:dyDescent="0.25">
      <c r="C4831" s="112"/>
      <c r="D4831" s="112"/>
      <c r="E4831" s="113"/>
      <c r="F4831" s="113"/>
      <c r="G4831" s="112"/>
      <c r="H4831" s="112"/>
      <c r="Z4831" s="112"/>
      <c r="AA4831" s="112"/>
    </row>
    <row r="4832" spans="3:27" x14ac:dyDescent="0.25">
      <c r="C4832" s="112"/>
      <c r="D4832" s="112"/>
      <c r="E4832" s="113"/>
      <c r="F4832" s="113"/>
      <c r="G4832" s="112"/>
      <c r="H4832" s="112"/>
      <c r="Z4832" s="112"/>
      <c r="AA4832" s="112"/>
    </row>
    <row r="4833" spans="3:27" x14ac:dyDescent="0.25">
      <c r="C4833" s="112"/>
      <c r="D4833" s="112"/>
      <c r="E4833" s="113"/>
      <c r="F4833" s="113"/>
      <c r="G4833" s="112"/>
      <c r="H4833" s="112"/>
      <c r="Z4833" s="112"/>
      <c r="AA4833" s="112"/>
    </row>
    <row r="4834" spans="3:27" x14ac:dyDescent="0.25">
      <c r="C4834" s="112"/>
      <c r="D4834" s="112"/>
      <c r="E4834" s="113"/>
      <c r="F4834" s="113"/>
      <c r="G4834" s="112"/>
      <c r="H4834" s="112"/>
      <c r="Z4834" s="112"/>
      <c r="AA4834" s="112"/>
    </row>
    <row r="4835" spans="3:27" x14ac:dyDescent="0.25">
      <c r="C4835" s="112"/>
      <c r="D4835" s="112"/>
      <c r="E4835" s="113"/>
      <c r="F4835" s="113"/>
      <c r="G4835" s="112"/>
      <c r="H4835" s="112"/>
      <c r="Z4835" s="112"/>
      <c r="AA4835" s="112"/>
    </row>
    <row r="4836" spans="3:27" x14ac:dyDescent="0.25">
      <c r="C4836" s="112"/>
      <c r="D4836" s="112"/>
      <c r="E4836" s="113"/>
      <c r="F4836" s="113"/>
      <c r="G4836" s="112"/>
      <c r="H4836" s="112"/>
      <c r="Z4836" s="112"/>
      <c r="AA4836" s="112"/>
    </row>
    <row r="4837" spans="3:27" x14ac:dyDescent="0.25">
      <c r="C4837" s="112"/>
      <c r="D4837" s="112"/>
      <c r="E4837" s="113"/>
      <c r="F4837" s="113"/>
      <c r="G4837" s="112"/>
      <c r="H4837" s="112"/>
      <c r="Z4837" s="112"/>
      <c r="AA4837" s="112"/>
    </row>
    <row r="4838" spans="3:27" x14ac:dyDescent="0.25">
      <c r="C4838" s="112"/>
      <c r="D4838" s="112"/>
      <c r="E4838" s="113"/>
      <c r="F4838" s="113"/>
      <c r="G4838" s="112"/>
      <c r="H4838" s="112"/>
      <c r="Z4838" s="112"/>
      <c r="AA4838" s="112"/>
    </row>
    <row r="4839" spans="3:27" x14ac:dyDescent="0.25">
      <c r="C4839" s="112"/>
      <c r="D4839" s="112"/>
      <c r="E4839" s="113"/>
      <c r="F4839" s="113"/>
      <c r="G4839" s="112"/>
      <c r="H4839" s="112"/>
      <c r="Z4839" s="112"/>
      <c r="AA4839" s="112"/>
    </row>
    <row r="4840" spans="3:27" x14ac:dyDescent="0.25">
      <c r="C4840" s="112"/>
      <c r="D4840" s="112"/>
      <c r="E4840" s="113"/>
      <c r="F4840" s="113"/>
      <c r="G4840" s="112"/>
      <c r="H4840" s="112"/>
      <c r="Z4840" s="112"/>
      <c r="AA4840" s="112"/>
    </row>
    <row r="4841" spans="3:27" x14ac:dyDescent="0.25">
      <c r="C4841" s="112"/>
      <c r="D4841" s="112"/>
      <c r="E4841" s="113"/>
      <c r="F4841" s="113"/>
      <c r="G4841" s="112"/>
      <c r="H4841" s="112"/>
      <c r="Z4841" s="112"/>
      <c r="AA4841" s="112"/>
    </row>
    <row r="4842" spans="3:27" x14ac:dyDescent="0.25">
      <c r="C4842" s="112"/>
      <c r="D4842" s="112"/>
      <c r="E4842" s="113"/>
      <c r="F4842" s="113"/>
      <c r="G4842" s="112"/>
      <c r="H4842" s="112"/>
      <c r="Z4842" s="112"/>
      <c r="AA4842" s="112"/>
    </row>
    <row r="4843" spans="3:27" x14ac:dyDescent="0.25">
      <c r="C4843" s="112"/>
      <c r="D4843" s="112"/>
      <c r="E4843" s="113"/>
      <c r="F4843" s="113"/>
      <c r="G4843" s="112"/>
      <c r="H4843" s="112"/>
      <c r="Z4843" s="112"/>
      <c r="AA4843" s="112"/>
    </row>
    <row r="4844" spans="3:27" x14ac:dyDescent="0.25">
      <c r="C4844" s="112"/>
      <c r="D4844" s="112"/>
      <c r="E4844" s="113"/>
      <c r="F4844" s="113"/>
      <c r="G4844" s="112"/>
      <c r="H4844" s="112"/>
      <c r="Z4844" s="112"/>
      <c r="AA4844" s="112"/>
    </row>
    <row r="4845" spans="3:27" x14ac:dyDescent="0.25">
      <c r="C4845" s="112"/>
      <c r="D4845" s="112"/>
      <c r="E4845" s="113"/>
      <c r="F4845" s="113"/>
      <c r="G4845" s="112"/>
      <c r="H4845" s="112"/>
      <c r="Z4845" s="112"/>
      <c r="AA4845" s="112"/>
    </row>
    <row r="4846" spans="3:27" x14ac:dyDescent="0.25">
      <c r="C4846" s="112"/>
      <c r="D4846" s="112"/>
      <c r="E4846" s="113"/>
      <c r="F4846" s="113"/>
      <c r="G4846" s="112"/>
      <c r="H4846" s="112"/>
      <c r="Z4846" s="112"/>
      <c r="AA4846" s="112"/>
    </row>
    <row r="4847" spans="3:27" x14ac:dyDescent="0.25">
      <c r="C4847" s="112"/>
      <c r="D4847" s="112"/>
      <c r="E4847" s="113"/>
      <c r="F4847" s="113"/>
      <c r="G4847" s="112"/>
      <c r="H4847" s="112"/>
      <c r="Z4847" s="112"/>
      <c r="AA4847" s="112"/>
    </row>
    <row r="4848" spans="3:27" x14ac:dyDescent="0.25">
      <c r="C4848" s="112"/>
      <c r="D4848" s="112"/>
      <c r="E4848" s="113"/>
      <c r="F4848" s="113"/>
      <c r="G4848" s="112"/>
      <c r="H4848" s="112"/>
      <c r="Z4848" s="112"/>
      <c r="AA4848" s="112"/>
    </row>
    <row r="4849" spans="3:27" x14ac:dyDescent="0.25">
      <c r="C4849" s="112"/>
      <c r="D4849" s="112"/>
      <c r="E4849" s="113"/>
      <c r="F4849" s="113"/>
      <c r="G4849" s="112"/>
      <c r="H4849" s="112"/>
      <c r="Z4849" s="112"/>
      <c r="AA4849" s="112"/>
    </row>
    <row r="4850" spans="3:27" x14ac:dyDescent="0.25">
      <c r="C4850" s="112"/>
      <c r="D4850" s="112"/>
      <c r="E4850" s="113"/>
      <c r="F4850" s="113"/>
      <c r="G4850" s="112"/>
      <c r="H4850" s="112"/>
      <c r="Z4850" s="112"/>
      <c r="AA4850" s="112"/>
    </row>
    <row r="4851" spans="3:27" x14ac:dyDescent="0.25">
      <c r="C4851" s="112"/>
      <c r="D4851" s="112"/>
      <c r="E4851" s="113"/>
      <c r="F4851" s="113"/>
      <c r="G4851" s="112"/>
      <c r="H4851" s="112"/>
      <c r="Z4851" s="112"/>
      <c r="AA4851" s="112"/>
    </row>
    <row r="4852" spans="3:27" x14ac:dyDescent="0.25">
      <c r="C4852" s="112"/>
      <c r="D4852" s="112"/>
      <c r="E4852" s="113"/>
      <c r="F4852" s="113"/>
      <c r="G4852" s="112"/>
      <c r="H4852" s="112"/>
      <c r="Z4852" s="112"/>
      <c r="AA4852" s="112"/>
    </row>
    <row r="4853" spans="3:27" x14ac:dyDescent="0.25">
      <c r="C4853" s="112"/>
      <c r="D4853" s="112"/>
      <c r="E4853" s="113"/>
      <c r="F4853" s="113"/>
      <c r="G4853" s="112"/>
      <c r="H4853" s="112"/>
      <c r="Z4853" s="112"/>
      <c r="AA4853" s="112"/>
    </row>
    <row r="4854" spans="3:27" x14ac:dyDescent="0.25">
      <c r="C4854" s="112"/>
      <c r="D4854" s="112"/>
      <c r="E4854" s="113"/>
      <c r="F4854" s="113"/>
      <c r="G4854" s="112"/>
      <c r="H4854" s="112"/>
      <c r="Z4854" s="112"/>
      <c r="AA4854" s="112"/>
    </row>
    <row r="4855" spans="3:27" x14ac:dyDescent="0.25">
      <c r="C4855" s="112"/>
      <c r="D4855" s="112"/>
      <c r="E4855" s="113"/>
      <c r="F4855" s="113"/>
      <c r="G4855" s="112"/>
      <c r="H4855" s="112"/>
      <c r="Z4855" s="112"/>
      <c r="AA4855" s="112"/>
    </row>
    <row r="4856" spans="3:27" x14ac:dyDescent="0.25">
      <c r="C4856" s="112"/>
      <c r="D4856" s="112"/>
      <c r="E4856" s="113"/>
      <c r="F4856" s="113"/>
      <c r="G4856" s="112"/>
      <c r="H4856" s="112"/>
      <c r="Z4856" s="112"/>
      <c r="AA4856" s="112"/>
    </row>
    <row r="4857" spans="3:27" x14ac:dyDescent="0.25">
      <c r="C4857" s="112"/>
      <c r="D4857" s="112"/>
      <c r="E4857" s="113"/>
      <c r="F4857" s="113"/>
      <c r="G4857" s="112"/>
      <c r="H4857" s="112"/>
      <c r="Z4857" s="112"/>
      <c r="AA4857" s="112"/>
    </row>
    <row r="4858" spans="3:27" x14ac:dyDescent="0.25">
      <c r="C4858" s="112"/>
      <c r="D4858" s="112"/>
      <c r="E4858" s="113"/>
      <c r="F4858" s="113"/>
      <c r="G4858" s="112"/>
      <c r="H4858" s="112"/>
      <c r="Z4858" s="112"/>
      <c r="AA4858" s="112"/>
    </row>
    <row r="4859" spans="3:27" x14ac:dyDescent="0.25">
      <c r="C4859" s="112"/>
      <c r="D4859" s="112"/>
      <c r="E4859" s="113"/>
      <c r="F4859" s="113"/>
      <c r="G4859" s="112"/>
      <c r="H4859" s="112"/>
      <c r="Z4859" s="112"/>
      <c r="AA4859" s="112"/>
    </row>
    <row r="4860" spans="3:27" x14ac:dyDescent="0.25">
      <c r="C4860" s="112"/>
      <c r="D4860" s="112"/>
      <c r="E4860" s="113"/>
      <c r="F4860" s="113"/>
      <c r="G4860" s="112"/>
      <c r="H4860" s="112"/>
      <c r="Z4860" s="112"/>
      <c r="AA4860" s="112"/>
    </row>
    <row r="4861" spans="3:27" x14ac:dyDescent="0.25">
      <c r="C4861" s="112"/>
      <c r="D4861" s="112"/>
      <c r="E4861" s="113"/>
      <c r="F4861" s="113"/>
      <c r="G4861" s="112"/>
      <c r="H4861" s="112"/>
      <c r="Z4861" s="112"/>
      <c r="AA4861" s="112"/>
    </row>
    <row r="4862" spans="3:27" x14ac:dyDescent="0.25">
      <c r="C4862" s="112"/>
      <c r="D4862" s="112"/>
      <c r="E4862" s="113"/>
      <c r="F4862" s="113"/>
      <c r="G4862" s="112"/>
      <c r="H4862" s="112"/>
      <c r="Z4862" s="112"/>
      <c r="AA4862" s="112"/>
    </row>
    <row r="4863" spans="3:27" x14ac:dyDescent="0.25">
      <c r="C4863" s="112"/>
      <c r="D4863" s="112"/>
      <c r="E4863" s="113"/>
      <c r="F4863" s="113"/>
      <c r="G4863" s="112"/>
      <c r="H4863" s="112"/>
      <c r="Z4863" s="112"/>
      <c r="AA4863" s="112"/>
    </row>
    <row r="4864" spans="3:27" x14ac:dyDescent="0.25">
      <c r="C4864" s="112"/>
      <c r="D4864" s="112"/>
      <c r="E4864" s="113"/>
      <c r="F4864" s="113"/>
      <c r="G4864" s="112"/>
      <c r="H4864" s="112"/>
      <c r="Z4864" s="112"/>
      <c r="AA4864" s="112"/>
    </row>
    <row r="4865" spans="3:27" x14ac:dyDescent="0.25">
      <c r="C4865" s="112"/>
      <c r="D4865" s="112"/>
      <c r="E4865" s="113"/>
      <c r="F4865" s="113"/>
      <c r="G4865" s="112"/>
      <c r="H4865" s="112"/>
      <c r="Z4865" s="112"/>
      <c r="AA4865" s="112"/>
    </row>
    <row r="4866" spans="3:27" x14ac:dyDescent="0.25">
      <c r="C4866" s="112"/>
      <c r="D4866" s="112"/>
      <c r="E4866" s="113"/>
      <c r="F4866" s="113"/>
      <c r="G4866" s="112"/>
      <c r="H4866" s="112"/>
      <c r="Z4866" s="112"/>
      <c r="AA4866" s="112"/>
    </row>
    <row r="4867" spans="3:27" x14ac:dyDescent="0.25">
      <c r="C4867" s="112"/>
      <c r="D4867" s="112"/>
      <c r="E4867" s="113"/>
      <c r="F4867" s="113"/>
      <c r="G4867" s="112"/>
      <c r="H4867" s="112"/>
      <c r="Z4867" s="112"/>
      <c r="AA4867" s="112"/>
    </row>
    <row r="4868" spans="3:27" x14ac:dyDescent="0.25">
      <c r="C4868" s="112"/>
      <c r="D4868" s="112"/>
      <c r="E4868" s="113"/>
      <c r="F4868" s="113"/>
      <c r="G4868" s="112"/>
      <c r="H4868" s="112"/>
      <c r="Z4868" s="112"/>
      <c r="AA4868" s="112"/>
    </row>
    <row r="4869" spans="3:27" x14ac:dyDescent="0.25">
      <c r="C4869" s="112"/>
      <c r="D4869" s="112"/>
      <c r="E4869" s="113"/>
      <c r="F4869" s="113"/>
      <c r="G4869" s="112"/>
      <c r="H4869" s="112"/>
      <c r="Z4869" s="112"/>
      <c r="AA4869" s="112"/>
    </row>
    <row r="4870" spans="3:27" x14ac:dyDescent="0.25">
      <c r="C4870" s="112"/>
      <c r="D4870" s="112"/>
      <c r="E4870" s="113"/>
      <c r="F4870" s="113"/>
      <c r="G4870" s="112"/>
      <c r="H4870" s="112"/>
      <c r="Z4870" s="112"/>
      <c r="AA4870" s="112"/>
    </row>
    <row r="4871" spans="3:27" x14ac:dyDescent="0.25">
      <c r="C4871" s="112"/>
      <c r="D4871" s="112"/>
      <c r="E4871" s="113"/>
      <c r="F4871" s="113"/>
      <c r="G4871" s="112"/>
      <c r="H4871" s="112"/>
      <c r="Z4871" s="112"/>
      <c r="AA4871" s="112"/>
    </row>
    <row r="4872" spans="3:27" x14ac:dyDescent="0.25">
      <c r="C4872" s="112"/>
      <c r="D4872" s="112"/>
      <c r="E4872" s="113"/>
      <c r="F4872" s="113"/>
      <c r="G4872" s="112"/>
      <c r="H4872" s="112"/>
      <c r="Z4872" s="112"/>
      <c r="AA4872" s="112"/>
    </row>
    <row r="4873" spans="3:27" x14ac:dyDescent="0.25">
      <c r="C4873" s="112"/>
      <c r="D4873" s="112"/>
      <c r="E4873" s="113"/>
      <c r="F4873" s="113"/>
      <c r="G4873" s="112"/>
      <c r="H4873" s="112"/>
      <c r="Z4873" s="112"/>
      <c r="AA4873" s="112"/>
    </row>
    <row r="4874" spans="3:27" x14ac:dyDescent="0.25">
      <c r="C4874" s="112"/>
      <c r="D4874" s="112"/>
      <c r="E4874" s="113"/>
      <c r="F4874" s="113"/>
      <c r="G4874" s="112"/>
      <c r="H4874" s="112"/>
      <c r="Z4874" s="112"/>
      <c r="AA4874" s="112"/>
    </row>
    <row r="4875" spans="3:27" x14ac:dyDescent="0.25">
      <c r="C4875" s="112"/>
      <c r="D4875" s="112"/>
      <c r="E4875" s="113"/>
      <c r="F4875" s="113"/>
      <c r="G4875" s="112"/>
      <c r="H4875" s="112"/>
      <c r="Z4875" s="112"/>
      <c r="AA4875" s="112"/>
    </row>
    <row r="4876" spans="3:27" x14ac:dyDescent="0.25">
      <c r="C4876" s="112"/>
      <c r="D4876" s="112"/>
      <c r="E4876" s="113"/>
      <c r="F4876" s="113"/>
      <c r="G4876" s="112"/>
      <c r="H4876" s="112"/>
      <c r="Z4876" s="112"/>
      <c r="AA4876" s="112"/>
    </row>
    <row r="4877" spans="3:27" x14ac:dyDescent="0.25">
      <c r="C4877" s="112"/>
      <c r="D4877" s="112"/>
      <c r="E4877" s="113"/>
      <c r="F4877" s="113"/>
      <c r="G4877" s="112"/>
      <c r="H4877" s="112"/>
      <c r="Z4877" s="112"/>
      <c r="AA4877" s="112"/>
    </row>
    <row r="4878" spans="3:27" x14ac:dyDescent="0.25">
      <c r="C4878" s="112"/>
      <c r="D4878" s="112"/>
      <c r="E4878" s="113"/>
      <c r="F4878" s="113"/>
      <c r="G4878" s="112"/>
      <c r="H4878" s="112"/>
      <c r="Z4878" s="112"/>
      <c r="AA4878" s="112"/>
    </row>
    <row r="4879" spans="3:27" x14ac:dyDescent="0.25">
      <c r="C4879" s="112"/>
      <c r="D4879" s="112"/>
      <c r="E4879" s="113"/>
      <c r="F4879" s="113"/>
      <c r="G4879" s="112"/>
      <c r="H4879" s="112"/>
      <c r="Z4879" s="112"/>
      <c r="AA4879" s="112"/>
    </row>
    <row r="4880" spans="3:27" x14ac:dyDescent="0.25">
      <c r="C4880" s="112"/>
      <c r="D4880" s="112"/>
      <c r="E4880" s="113"/>
      <c r="F4880" s="113"/>
      <c r="G4880" s="112"/>
      <c r="H4880" s="112"/>
      <c r="Z4880" s="112"/>
      <c r="AA4880" s="112"/>
    </row>
    <row r="4881" spans="3:27" x14ac:dyDescent="0.25">
      <c r="C4881" s="112"/>
      <c r="D4881" s="112"/>
      <c r="E4881" s="113"/>
      <c r="F4881" s="113"/>
      <c r="G4881" s="112"/>
      <c r="H4881" s="112"/>
      <c r="Z4881" s="112"/>
      <c r="AA4881" s="112"/>
    </row>
    <row r="4882" spans="3:27" x14ac:dyDescent="0.25">
      <c r="C4882" s="112"/>
      <c r="D4882" s="112"/>
      <c r="E4882" s="113"/>
      <c r="F4882" s="113"/>
      <c r="G4882" s="112"/>
      <c r="H4882" s="112"/>
      <c r="Z4882" s="112"/>
      <c r="AA4882" s="112"/>
    </row>
    <row r="4883" spans="3:27" x14ac:dyDescent="0.25">
      <c r="C4883" s="112"/>
      <c r="D4883" s="112"/>
      <c r="E4883" s="113"/>
      <c r="F4883" s="113"/>
      <c r="G4883" s="112"/>
      <c r="H4883" s="112"/>
      <c r="Z4883" s="112"/>
      <c r="AA4883" s="112"/>
    </row>
    <row r="4884" spans="3:27" x14ac:dyDescent="0.25">
      <c r="C4884" s="112"/>
      <c r="D4884" s="112"/>
      <c r="E4884" s="113"/>
      <c r="F4884" s="113"/>
      <c r="G4884" s="112"/>
      <c r="H4884" s="112"/>
      <c r="Z4884" s="112"/>
      <c r="AA4884" s="112"/>
    </row>
    <row r="4885" spans="3:27" x14ac:dyDescent="0.25">
      <c r="C4885" s="112"/>
      <c r="D4885" s="112"/>
      <c r="E4885" s="113"/>
      <c r="F4885" s="113"/>
      <c r="G4885" s="112"/>
      <c r="H4885" s="112"/>
      <c r="Z4885" s="112"/>
      <c r="AA4885" s="112"/>
    </row>
    <row r="4886" spans="3:27" x14ac:dyDescent="0.25">
      <c r="C4886" s="112"/>
      <c r="D4886" s="112"/>
      <c r="E4886" s="113"/>
      <c r="F4886" s="113"/>
      <c r="G4886" s="112"/>
      <c r="H4886" s="112"/>
      <c r="Z4886" s="112"/>
      <c r="AA4886" s="112"/>
    </row>
    <row r="4887" spans="3:27" x14ac:dyDescent="0.25">
      <c r="C4887" s="112"/>
      <c r="D4887" s="112"/>
      <c r="E4887" s="113"/>
      <c r="F4887" s="113"/>
      <c r="G4887" s="112"/>
      <c r="H4887" s="112"/>
      <c r="Z4887" s="112"/>
      <c r="AA4887" s="112"/>
    </row>
    <row r="4888" spans="3:27" x14ac:dyDescent="0.25">
      <c r="C4888" s="112"/>
      <c r="D4888" s="112"/>
      <c r="E4888" s="113"/>
      <c r="F4888" s="113"/>
      <c r="G4888" s="112"/>
      <c r="H4888" s="112"/>
      <c r="Z4888" s="112"/>
      <c r="AA4888" s="112"/>
    </row>
    <row r="4889" spans="3:27" x14ac:dyDescent="0.25">
      <c r="C4889" s="112"/>
      <c r="D4889" s="112"/>
      <c r="E4889" s="113"/>
      <c r="F4889" s="113"/>
      <c r="G4889" s="112"/>
      <c r="H4889" s="112"/>
      <c r="Z4889" s="112"/>
      <c r="AA4889" s="112"/>
    </row>
    <row r="4890" spans="3:27" x14ac:dyDescent="0.25">
      <c r="C4890" s="112"/>
      <c r="D4890" s="112"/>
      <c r="E4890" s="113"/>
      <c r="F4890" s="113"/>
      <c r="G4890" s="112"/>
      <c r="H4890" s="112"/>
      <c r="Z4890" s="112"/>
      <c r="AA4890" s="112"/>
    </row>
    <row r="4891" spans="3:27" x14ac:dyDescent="0.25">
      <c r="C4891" s="112"/>
      <c r="D4891" s="112"/>
      <c r="E4891" s="113"/>
      <c r="F4891" s="113"/>
      <c r="G4891" s="112"/>
      <c r="H4891" s="112"/>
      <c r="Z4891" s="112"/>
      <c r="AA4891" s="112"/>
    </row>
    <row r="4892" spans="3:27" x14ac:dyDescent="0.25">
      <c r="C4892" s="112"/>
      <c r="D4892" s="112"/>
      <c r="E4892" s="113"/>
      <c r="F4892" s="113"/>
      <c r="G4892" s="112"/>
      <c r="H4892" s="112"/>
      <c r="Z4892" s="112"/>
      <c r="AA4892" s="112"/>
    </row>
    <row r="4893" spans="3:27" x14ac:dyDescent="0.25">
      <c r="C4893" s="112"/>
      <c r="D4893" s="112"/>
      <c r="E4893" s="113"/>
      <c r="F4893" s="113"/>
      <c r="G4893" s="112"/>
      <c r="H4893" s="112"/>
      <c r="Z4893" s="112"/>
      <c r="AA4893" s="112"/>
    </row>
    <row r="4894" spans="3:27" x14ac:dyDescent="0.25">
      <c r="C4894" s="112"/>
      <c r="D4894" s="112"/>
      <c r="E4894" s="113"/>
      <c r="F4894" s="113"/>
      <c r="G4894" s="112"/>
      <c r="H4894" s="112"/>
      <c r="Z4894" s="112"/>
      <c r="AA4894" s="112"/>
    </row>
    <row r="4895" spans="3:27" x14ac:dyDescent="0.25">
      <c r="C4895" s="112"/>
      <c r="D4895" s="112"/>
      <c r="E4895" s="113"/>
      <c r="F4895" s="113"/>
      <c r="G4895" s="112"/>
      <c r="H4895" s="112"/>
      <c r="Z4895" s="112"/>
      <c r="AA4895" s="112"/>
    </row>
    <row r="4896" spans="3:27" x14ac:dyDescent="0.25">
      <c r="C4896" s="112"/>
      <c r="D4896" s="112"/>
      <c r="E4896" s="113"/>
      <c r="F4896" s="113"/>
      <c r="G4896" s="112"/>
      <c r="H4896" s="112"/>
      <c r="Z4896" s="112"/>
      <c r="AA4896" s="112"/>
    </row>
    <row r="4897" spans="3:27" x14ac:dyDescent="0.25">
      <c r="C4897" s="112"/>
      <c r="D4897" s="112"/>
      <c r="E4897" s="113"/>
      <c r="F4897" s="113"/>
      <c r="G4897" s="112"/>
      <c r="H4897" s="112"/>
      <c r="Z4897" s="112"/>
      <c r="AA4897" s="112"/>
    </row>
    <row r="4898" spans="3:27" x14ac:dyDescent="0.25">
      <c r="C4898" s="112"/>
      <c r="D4898" s="112"/>
      <c r="E4898" s="113"/>
      <c r="F4898" s="113"/>
      <c r="G4898" s="112"/>
      <c r="H4898" s="112"/>
      <c r="Z4898" s="112"/>
      <c r="AA4898" s="112"/>
    </row>
    <row r="4899" spans="3:27" x14ac:dyDescent="0.25">
      <c r="C4899" s="112"/>
      <c r="D4899" s="112"/>
      <c r="E4899" s="113"/>
      <c r="F4899" s="113"/>
      <c r="G4899" s="112"/>
      <c r="H4899" s="112"/>
      <c r="Z4899" s="112"/>
      <c r="AA4899" s="112"/>
    </row>
    <row r="4900" spans="3:27" x14ac:dyDescent="0.25">
      <c r="C4900" s="112"/>
      <c r="D4900" s="112"/>
      <c r="E4900" s="113"/>
      <c r="F4900" s="113"/>
      <c r="G4900" s="112"/>
      <c r="H4900" s="112"/>
      <c r="Z4900" s="112"/>
      <c r="AA4900" s="112"/>
    </row>
    <row r="4901" spans="3:27" x14ac:dyDescent="0.25">
      <c r="C4901" s="112"/>
      <c r="D4901" s="112"/>
      <c r="E4901" s="113"/>
      <c r="F4901" s="113"/>
      <c r="G4901" s="112"/>
      <c r="H4901" s="112"/>
      <c r="Z4901" s="112"/>
      <c r="AA4901" s="112"/>
    </row>
    <row r="4902" spans="3:27" x14ac:dyDescent="0.25">
      <c r="C4902" s="112"/>
      <c r="D4902" s="112"/>
      <c r="E4902" s="113"/>
      <c r="F4902" s="113"/>
      <c r="G4902" s="112"/>
      <c r="H4902" s="112"/>
      <c r="Z4902" s="112"/>
      <c r="AA4902" s="112"/>
    </row>
    <row r="4903" spans="3:27" x14ac:dyDescent="0.25">
      <c r="C4903" s="112"/>
      <c r="D4903" s="112"/>
      <c r="E4903" s="113"/>
      <c r="F4903" s="113"/>
      <c r="G4903" s="112"/>
      <c r="H4903" s="112"/>
      <c r="Z4903" s="112"/>
      <c r="AA4903" s="112"/>
    </row>
    <row r="4904" spans="3:27" x14ac:dyDescent="0.25">
      <c r="C4904" s="112"/>
      <c r="D4904" s="112"/>
      <c r="E4904" s="113"/>
      <c r="F4904" s="113"/>
      <c r="G4904" s="112"/>
      <c r="H4904" s="112"/>
      <c r="Z4904" s="112"/>
      <c r="AA4904" s="112"/>
    </row>
    <row r="4905" spans="3:27" x14ac:dyDescent="0.25">
      <c r="C4905" s="112"/>
      <c r="D4905" s="112"/>
      <c r="E4905" s="113"/>
      <c r="F4905" s="113"/>
      <c r="G4905" s="112"/>
      <c r="H4905" s="112"/>
      <c r="Z4905" s="112"/>
      <c r="AA4905" s="112"/>
    </row>
    <row r="4906" spans="3:27" x14ac:dyDescent="0.25">
      <c r="C4906" s="112"/>
      <c r="D4906" s="112"/>
      <c r="E4906" s="113"/>
      <c r="F4906" s="113"/>
      <c r="G4906" s="112"/>
      <c r="H4906" s="112"/>
      <c r="Z4906" s="112"/>
      <c r="AA4906" s="112"/>
    </row>
    <row r="4907" spans="3:27" x14ac:dyDescent="0.25">
      <c r="C4907" s="112"/>
      <c r="D4907" s="112"/>
      <c r="E4907" s="113"/>
      <c r="F4907" s="113"/>
      <c r="G4907" s="112"/>
      <c r="H4907" s="112"/>
      <c r="Z4907" s="112"/>
      <c r="AA4907" s="112"/>
    </row>
    <row r="4908" spans="3:27" x14ac:dyDescent="0.25">
      <c r="C4908" s="112"/>
      <c r="D4908" s="112"/>
      <c r="E4908" s="113"/>
      <c r="F4908" s="113"/>
      <c r="G4908" s="112"/>
      <c r="H4908" s="112"/>
      <c r="Z4908" s="112"/>
      <c r="AA4908" s="112"/>
    </row>
    <row r="4909" spans="3:27" x14ac:dyDescent="0.25">
      <c r="C4909" s="112"/>
      <c r="D4909" s="112"/>
      <c r="E4909" s="113"/>
      <c r="F4909" s="113"/>
      <c r="G4909" s="112"/>
      <c r="H4909" s="112"/>
      <c r="Z4909" s="112"/>
      <c r="AA4909" s="112"/>
    </row>
    <row r="4910" spans="3:27" x14ac:dyDescent="0.25">
      <c r="C4910" s="112"/>
      <c r="D4910" s="112"/>
      <c r="E4910" s="113"/>
      <c r="F4910" s="113"/>
      <c r="G4910" s="112"/>
      <c r="H4910" s="112"/>
      <c r="Z4910" s="112"/>
      <c r="AA4910" s="112"/>
    </row>
    <row r="4911" spans="3:27" x14ac:dyDescent="0.25">
      <c r="C4911" s="112"/>
      <c r="D4911" s="112"/>
      <c r="E4911" s="113"/>
      <c r="F4911" s="113"/>
      <c r="G4911" s="112"/>
      <c r="H4911" s="112"/>
      <c r="Z4911" s="112"/>
      <c r="AA4911" s="112"/>
    </row>
    <row r="4912" spans="3:27" x14ac:dyDescent="0.25">
      <c r="C4912" s="112"/>
      <c r="D4912" s="112"/>
      <c r="E4912" s="113"/>
      <c r="F4912" s="113"/>
      <c r="G4912" s="112"/>
      <c r="H4912" s="112"/>
      <c r="Z4912" s="112"/>
      <c r="AA4912" s="112"/>
    </row>
    <row r="4913" spans="3:27" x14ac:dyDescent="0.25">
      <c r="C4913" s="112"/>
      <c r="D4913" s="112"/>
      <c r="E4913" s="113"/>
      <c r="F4913" s="113"/>
      <c r="G4913" s="112"/>
      <c r="H4913" s="112"/>
      <c r="Z4913" s="112"/>
      <c r="AA4913" s="112"/>
    </row>
    <row r="4914" spans="3:27" x14ac:dyDescent="0.25">
      <c r="C4914" s="112"/>
      <c r="D4914" s="112"/>
      <c r="E4914" s="113"/>
      <c r="F4914" s="113"/>
      <c r="G4914" s="112"/>
      <c r="H4914" s="112"/>
      <c r="Z4914" s="112"/>
      <c r="AA4914" s="112"/>
    </row>
    <row r="4915" spans="3:27" x14ac:dyDescent="0.25">
      <c r="C4915" s="112"/>
      <c r="D4915" s="112"/>
      <c r="E4915" s="113"/>
      <c r="F4915" s="113"/>
      <c r="G4915" s="112"/>
      <c r="H4915" s="112"/>
      <c r="Z4915" s="112"/>
      <c r="AA4915" s="112"/>
    </row>
    <row r="4916" spans="3:27" x14ac:dyDescent="0.25">
      <c r="C4916" s="112"/>
      <c r="D4916" s="112"/>
      <c r="E4916" s="113"/>
      <c r="F4916" s="113"/>
      <c r="G4916" s="112"/>
      <c r="H4916" s="112"/>
      <c r="Z4916" s="112"/>
      <c r="AA4916" s="112"/>
    </row>
    <row r="4917" spans="3:27" x14ac:dyDescent="0.25">
      <c r="C4917" s="112"/>
      <c r="D4917" s="112"/>
      <c r="E4917" s="113"/>
      <c r="F4917" s="113"/>
      <c r="G4917" s="112"/>
      <c r="H4917" s="112"/>
      <c r="Z4917" s="112"/>
      <c r="AA4917" s="112"/>
    </row>
    <row r="4918" spans="3:27" x14ac:dyDescent="0.25">
      <c r="C4918" s="112"/>
      <c r="D4918" s="112"/>
      <c r="E4918" s="113"/>
      <c r="F4918" s="113"/>
      <c r="G4918" s="112"/>
      <c r="H4918" s="112"/>
      <c r="Z4918" s="112"/>
      <c r="AA4918" s="112"/>
    </row>
    <row r="4919" spans="3:27" x14ac:dyDescent="0.25">
      <c r="C4919" s="112"/>
      <c r="D4919" s="112"/>
      <c r="E4919" s="113"/>
      <c r="F4919" s="113"/>
      <c r="G4919" s="112"/>
      <c r="H4919" s="112"/>
      <c r="Z4919" s="112"/>
      <c r="AA4919" s="112"/>
    </row>
    <row r="4920" spans="3:27" x14ac:dyDescent="0.25">
      <c r="C4920" s="112"/>
      <c r="D4920" s="112"/>
      <c r="E4920" s="113"/>
      <c r="F4920" s="113"/>
      <c r="G4920" s="112"/>
      <c r="H4920" s="112"/>
      <c r="Z4920" s="112"/>
      <c r="AA4920" s="112"/>
    </row>
    <row r="4921" spans="3:27" x14ac:dyDescent="0.25">
      <c r="C4921" s="112"/>
      <c r="D4921" s="112"/>
      <c r="E4921" s="113"/>
      <c r="F4921" s="113"/>
      <c r="G4921" s="112"/>
      <c r="H4921" s="112"/>
      <c r="Z4921" s="112"/>
      <c r="AA4921" s="112"/>
    </row>
    <row r="4922" spans="3:27" x14ac:dyDescent="0.25">
      <c r="C4922" s="112"/>
      <c r="D4922" s="112"/>
      <c r="E4922" s="113"/>
      <c r="F4922" s="113"/>
      <c r="G4922" s="112"/>
      <c r="H4922" s="112"/>
      <c r="Z4922" s="112"/>
      <c r="AA4922" s="112"/>
    </row>
    <row r="4923" spans="3:27" x14ac:dyDescent="0.25">
      <c r="C4923" s="112"/>
      <c r="D4923" s="112"/>
      <c r="E4923" s="113"/>
      <c r="F4923" s="113"/>
      <c r="G4923" s="112"/>
      <c r="H4923" s="112"/>
      <c r="Z4923" s="112"/>
      <c r="AA4923" s="112"/>
    </row>
    <row r="4924" spans="3:27" x14ac:dyDescent="0.25">
      <c r="C4924" s="112"/>
      <c r="D4924" s="112"/>
      <c r="E4924" s="113"/>
      <c r="F4924" s="113"/>
      <c r="G4924" s="112"/>
      <c r="H4924" s="112"/>
      <c r="Z4924" s="112"/>
      <c r="AA4924" s="112"/>
    </row>
    <row r="4925" spans="3:27" x14ac:dyDescent="0.25">
      <c r="C4925" s="112"/>
      <c r="D4925" s="112"/>
      <c r="E4925" s="113"/>
      <c r="F4925" s="113"/>
      <c r="G4925" s="112"/>
      <c r="H4925" s="112"/>
      <c r="Z4925" s="112"/>
      <c r="AA4925" s="112"/>
    </row>
    <row r="4926" spans="3:27" x14ac:dyDescent="0.25">
      <c r="C4926" s="112"/>
      <c r="D4926" s="112"/>
      <c r="E4926" s="113"/>
      <c r="F4926" s="113"/>
      <c r="G4926" s="112"/>
      <c r="H4926" s="112"/>
      <c r="Z4926" s="112"/>
      <c r="AA4926" s="112"/>
    </row>
    <row r="4927" spans="3:27" x14ac:dyDescent="0.25">
      <c r="C4927" s="112"/>
      <c r="D4927" s="112"/>
      <c r="E4927" s="113"/>
      <c r="F4927" s="113"/>
      <c r="G4927" s="112"/>
      <c r="H4927" s="112"/>
      <c r="Z4927" s="112"/>
      <c r="AA4927" s="112"/>
    </row>
    <row r="4928" spans="3:27" x14ac:dyDescent="0.25">
      <c r="C4928" s="112"/>
      <c r="D4928" s="112"/>
      <c r="E4928" s="113"/>
      <c r="F4928" s="113"/>
      <c r="G4928" s="112"/>
      <c r="H4928" s="112"/>
      <c r="Z4928" s="112"/>
      <c r="AA4928" s="112"/>
    </row>
    <row r="4929" spans="3:27" x14ac:dyDescent="0.25">
      <c r="C4929" s="112"/>
      <c r="D4929" s="112"/>
      <c r="E4929" s="113"/>
      <c r="F4929" s="113"/>
      <c r="G4929" s="112"/>
      <c r="H4929" s="112"/>
      <c r="Z4929" s="112"/>
      <c r="AA4929" s="112"/>
    </row>
    <row r="4930" spans="3:27" x14ac:dyDescent="0.25">
      <c r="C4930" s="112"/>
      <c r="D4930" s="112"/>
      <c r="E4930" s="113"/>
      <c r="F4930" s="113"/>
      <c r="G4930" s="112"/>
      <c r="H4930" s="112"/>
      <c r="Z4930" s="112"/>
      <c r="AA4930" s="112"/>
    </row>
    <row r="4931" spans="3:27" x14ac:dyDescent="0.25">
      <c r="C4931" s="112"/>
      <c r="D4931" s="112"/>
      <c r="E4931" s="113"/>
      <c r="F4931" s="113"/>
      <c r="G4931" s="112"/>
      <c r="H4931" s="112"/>
      <c r="Z4931" s="112"/>
      <c r="AA4931" s="112"/>
    </row>
    <row r="4932" spans="3:27" x14ac:dyDescent="0.25">
      <c r="C4932" s="112"/>
      <c r="D4932" s="112"/>
      <c r="E4932" s="113"/>
      <c r="F4932" s="113"/>
      <c r="G4932" s="112"/>
      <c r="H4932" s="112"/>
      <c r="Z4932" s="112"/>
      <c r="AA4932" s="112"/>
    </row>
    <row r="4933" spans="3:27" x14ac:dyDescent="0.25">
      <c r="C4933" s="112"/>
      <c r="D4933" s="112"/>
      <c r="E4933" s="113"/>
      <c r="F4933" s="113"/>
      <c r="G4933" s="112"/>
      <c r="H4933" s="112"/>
      <c r="Z4933" s="112"/>
      <c r="AA4933" s="112"/>
    </row>
    <row r="4934" spans="3:27" x14ac:dyDescent="0.25">
      <c r="C4934" s="112"/>
      <c r="D4934" s="112"/>
      <c r="E4934" s="113"/>
      <c r="F4934" s="113"/>
      <c r="G4934" s="112"/>
      <c r="H4934" s="112"/>
      <c r="Z4934" s="112"/>
      <c r="AA4934" s="112"/>
    </row>
    <row r="4935" spans="3:27" x14ac:dyDescent="0.25">
      <c r="C4935" s="112"/>
      <c r="D4935" s="112"/>
      <c r="E4935" s="113"/>
      <c r="F4935" s="113"/>
      <c r="G4935" s="112"/>
      <c r="H4935" s="112"/>
      <c r="Z4935" s="112"/>
      <c r="AA4935" s="112"/>
    </row>
    <row r="4936" spans="3:27" x14ac:dyDescent="0.25">
      <c r="C4936" s="112"/>
      <c r="D4936" s="112"/>
      <c r="E4936" s="113"/>
      <c r="F4936" s="113"/>
      <c r="G4936" s="112"/>
      <c r="H4936" s="112"/>
      <c r="Z4936" s="112"/>
      <c r="AA4936" s="112"/>
    </row>
    <row r="4937" spans="3:27" x14ac:dyDescent="0.25">
      <c r="C4937" s="112"/>
      <c r="D4937" s="112"/>
      <c r="E4937" s="113"/>
      <c r="F4937" s="113"/>
      <c r="G4937" s="112"/>
      <c r="H4937" s="112"/>
      <c r="Z4937" s="112"/>
      <c r="AA4937" s="112"/>
    </row>
    <row r="4938" spans="3:27" x14ac:dyDescent="0.25">
      <c r="C4938" s="112"/>
      <c r="D4938" s="112"/>
      <c r="E4938" s="113"/>
      <c r="F4938" s="113"/>
      <c r="G4938" s="112"/>
      <c r="H4938" s="112"/>
      <c r="Z4938" s="112"/>
      <c r="AA4938" s="112"/>
    </row>
    <row r="4939" spans="3:27" x14ac:dyDescent="0.25">
      <c r="C4939" s="112"/>
      <c r="D4939" s="112"/>
      <c r="E4939" s="113"/>
      <c r="F4939" s="113"/>
      <c r="G4939" s="112"/>
      <c r="H4939" s="112"/>
      <c r="Z4939" s="112"/>
      <c r="AA4939" s="112"/>
    </row>
    <row r="4940" spans="3:27" x14ac:dyDescent="0.25">
      <c r="C4940" s="112"/>
      <c r="D4940" s="112"/>
      <c r="E4940" s="113"/>
      <c r="F4940" s="113"/>
      <c r="G4940" s="112"/>
      <c r="H4940" s="112"/>
      <c r="Z4940" s="112"/>
      <c r="AA4940" s="112"/>
    </row>
    <row r="4941" spans="3:27" x14ac:dyDescent="0.25">
      <c r="C4941" s="112"/>
      <c r="D4941" s="112"/>
      <c r="E4941" s="113"/>
      <c r="F4941" s="113"/>
      <c r="G4941" s="112"/>
      <c r="H4941" s="112"/>
      <c r="Z4941" s="112"/>
      <c r="AA4941" s="112"/>
    </row>
    <row r="4942" spans="3:27" x14ac:dyDescent="0.25">
      <c r="C4942" s="112"/>
      <c r="D4942" s="112"/>
      <c r="E4942" s="113"/>
      <c r="F4942" s="113"/>
      <c r="G4942" s="112"/>
      <c r="H4942" s="112"/>
      <c r="Z4942" s="112"/>
      <c r="AA4942" s="112"/>
    </row>
    <row r="4943" spans="3:27" x14ac:dyDescent="0.25">
      <c r="C4943" s="112"/>
      <c r="D4943" s="112"/>
      <c r="E4943" s="113"/>
      <c r="F4943" s="113"/>
      <c r="G4943" s="112"/>
      <c r="H4943" s="112"/>
      <c r="Z4943" s="112"/>
      <c r="AA4943" s="112"/>
    </row>
    <row r="4944" spans="3:27" x14ac:dyDescent="0.25">
      <c r="C4944" s="112"/>
      <c r="D4944" s="112"/>
      <c r="E4944" s="113"/>
      <c r="F4944" s="113"/>
      <c r="G4944" s="112"/>
      <c r="H4944" s="112"/>
      <c r="Z4944" s="112"/>
      <c r="AA4944" s="112"/>
    </row>
    <row r="4945" spans="3:27" x14ac:dyDescent="0.25">
      <c r="C4945" s="112"/>
      <c r="D4945" s="112"/>
      <c r="E4945" s="113"/>
      <c r="F4945" s="113"/>
      <c r="G4945" s="112"/>
      <c r="H4945" s="112"/>
      <c r="Z4945" s="112"/>
      <c r="AA4945" s="112"/>
    </row>
    <row r="4946" spans="3:27" x14ac:dyDescent="0.25">
      <c r="C4946" s="112"/>
      <c r="D4946" s="112"/>
      <c r="E4946" s="113"/>
      <c r="F4946" s="113"/>
      <c r="G4946" s="112"/>
      <c r="H4946" s="112"/>
      <c r="Z4946" s="112"/>
      <c r="AA4946" s="112"/>
    </row>
    <row r="4947" spans="3:27" x14ac:dyDescent="0.25">
      <c r="C4947" s="112"/>
      <c r="D4947" s="112"/>
      <c r="E4947" s="113"/>
      <c r="F4947" s="113"/>
      <c r="G4947" s="112"/>
      <c r="H4947" s="112"/>
      <c r="Z4947" s="112"/>
      <c r="AA4947" s="112"/>
    </row>
    <row r="4948" spans="3:27" x14ac:dyDescent="0.25">
      <c r="C4948" s="112"/>
      <c r="D4948" s="112"/>
      <c r="E4948" s="113"/>
      <c r="F4948" s="113"/>
      <c r="G4948" s="112"/>
      <c r="H4948" s="112"/>
      <c r="Z4948" s="112"/>
      <c r="AA4948" s="112"/>
    </row>
    <row r="4949" spans="3:27" x14ac:dyDescent="0.25">
      <c r="C4949" s="112"/>
      <c r="D4949" s="112"/>
      <c r="E4949" s="113"/>
      <c r="F4949" s="113"/>
      <c r="G4949" s="112"/>
      <c r="H4949" s="112"/>
      <c r="Z4949" s="112"/>
      <c r="AA4949" s="112"/>
    </row>
    <row r="4950" spans="3:27" x14ac:dyDescent="0.25">
      <c r="C4950" s="112"/>
      <c r="D4950" s="112"/>
      <c r="E4950" s="113"/>
      <c r="F4950" s="113"/>
      <c r="G4950" s="112"/>
      <c r="H4950" s="112"/>
      <c r="Z4950" s="112"/>
      <c r="AA4950" s="112"/>
    </row>
    <row r="4951" spans="3:27" x14ac:dyDescent="0.25">
      <c r="C4951" s="112"/>
      <c r="D4951" s="112"/>
      <c r="E4951" s="113"/>
      <c r="F4951" s="113"/>
      <c r="G4951" s="112"/>
      <c r="H4951" s="112"/>
      <c r="Z4951" s="112"/>
      <c r="AA4951" s="112"/>
    </row>
    <row r="4952" spans="3:27" x14ac:dyDescent="0.25">
      <c r="C4952" s="112"/>
      <c r="D4952" s="112"/>
      <c r="E4952" s="113"/>
      <c r="F4952" s="113"/>
      <c r="G4952" s="112"/>
      <c r="H4952" s="112"/>
      <c r="Z4952" s="112"/>
      <c r="AA4952" s="112"/>
    </row>
    <row r="4953" spans="3:27" x14ac:dyDescent="0.25">
      <c r="C4953" s="112"/>
      <c r="D4953" s="112"/>
      <c r="E4953" s="113"/>
      <c r="F4953" s="113"/>
      <c r="G4953" s="112"/>
      <c r="H4953" s="112"/>
      <c r="Z4953" s="112"/>
      <c r="AA4953" s="112"/>
    </row>
    <row r="4954" spans="3:27" x14ac:dyDescent="0.25">
      <c r="C4954" s="112"/>
      <c r="D4954" s="112"/>
      <c r="E4954" s="113"/>
      <c r="F4954" s="113"/>
      <c r="G4954" s="112"/>
      <c r="H4954" s="112"/>
      <c r="Z4954" s="112"/>
      <c r="AA4954" s="112"/>
    </row>
    <row r="4955" spans="3:27" x14ac:dyDescent="0.25">
      <c r="C4955" s="112"/>
      <c r="D4955" s="112"/>
      <c r="E4955" s="113"/>
      <c r="F4955" s="113"/>
      <c r="G4955" s="112"/>
      <c r="H4955" s="112"/>
      <c r="Z4955" s="112"/>
      <c r="AA4955" s="112"/>
    </row>
    <row r="4956" spans="3:27" x14ac:dyDescent="0.25">
      <c r="C4956" s="112"/>
      <c r="D4956" s="112"/>
      <c r="E4956" s="113"/>
      <c r="F4956" s="113"/>
      <c r="G4956" s="112"/>
      <c r="H4956" s="112"/>
      <c r="Z4956" s="112"/>
      <c r="AA4956" s="112"/>
    </row>
    <row r="4957" spans="3:27" x14ac:dyDescent="0.25">
      <c r="C4957" s="112"/>
      <c r="D4957" s="112"/>
      <c r="E4957" s="113"/>
      <c r="F4957" s="113"/>
      <c r="G4957" s="112"/>
      <c r="H4957" s="112"/>
      <c r="Z4957" s="112"/>
      <c r="AA4957" s="112"/>
    </row>
    <row r="4958" spans="3:27" x14ac:dyDescent="0.25">
      <c r="C4958" s="112"/>
      <c r="D4958" s="112"/>
      <c r="E4958" s="113"/>
      <c r="F4958" s="113"/>
      <c r="G4958" s="112"/>
      <c r="H4958" s="112"/>
      <c r="Z4958" s="112"/>
      <c r="AA4958" s="112"/>
    </row>
    <row r="4959" spans="3:27" x14ac:dyDescent="0.25">
      <c r="C4959" s="112"/>
      <c r="D4959" s="112"/>
      <c r="E4959" s="113"/>
      <c r="F4959" s="113"/>
      <c r="G4959" s="112"/>
      <c r="H4959" s="112"/>
      <c r="Z4959" s="112"/>
      <c r="AA4959" s="112"/>
    </row>
    <row r="4960" spans="3:27" x14ac:dyDescent="0.25">
      <c r="C4960" s="112"/>
      <c r="D4960" s="112"/>
      <c r="E4960" s="113"/>
      <c r="F4960" s="113"/>
      <c r="G4960" s="112"/>
      <c r="H4960" s="112"/>
      <c r="Z4960" s="112"/>
      <c r="AA4960" s="112"/>
    </row>
    <row r="4961" spans="3:27" x14ac:dyDescent="0.25">
      <c r="C4961" s="112"/>
      <c r="D4961" s="112"/>
      <c r="E4961" s="113"/>
      <c r="F4961" s="113"/>
      <c r="G4961" s="112"/>
      <c r="H4961" s="112"/>
      <c r="Z4961" s="112"/>
      <c r="AA4961" s="112"/>
    </row>
    <row r="4962" spans="3:27" x14ac:dyDescent="0.25">
      <c r="C4962" s="112"/>
      <c r="D4962" s="112"/>
      <c r="E4962" s="113"/>
      <c r="F4962" s="113"/>
      <c r="G4962" s="112"/>
      <c r="H4962" s="112"/>
      <c r="Z4962" s="112"/>
      <c r="AA4962" s="112"/>
    </row>
    <row r="4963" spans="3:27" x14ac:dyDescent="0.25">
      <c r="C4963" s="112"/>
      <c r="D4963" s="112"/>
      <c r="E4963" s="113"/>
      <c r="F4963" s="113"/>
      <c r="G4963" s="112"/>
      <c r="H4963" s="112"/>
      <c r="Z4963" s="112"/>
      <c r="AA4963" s="112"/>
    </row>
    <row r="4964" spans="3:27" x14ac:dyDescent="0.25">
      <c r="C4964" s="112"/>
      <c r="D4964" s="112"/>
      <c r="E4964" s="113"/>
      <c r="F4964" s="113"/>
      <c r="G4964" s="112"/>
      <c r="H4964" s="112"/>
      <c r="Z4964" s="112"/>
      <c r="AA4964" s="112"/>
    </row>
    <row r="4965" spans="3:27" x14ac:dyDescent="0.25">
      <c r="C4965" s="112"/>
      <c r="D4965" s="112"/>
      <c r="E4965" s="113"/>
      <c r="F4965" s="113"/>
      <c r="G4965" s="112"/>
      <c r="H4965" s="112"/>
      <c r="Z4965" s="112"/>
      <c r="AA4965" s="112"/>
    </row>
    <row r="4966" spans="3:27" x14ac:dyDescent="0.25">
      <c r="C4966" s="112"/>
      <c r="D4966" s="112"/>
      <c r="E4966" s="113"/>
      <c r="F4966" s="113"/>
      <c r="G4966" s="112"/>
      <c r="H4966" s="112"/>
      <c r="Z4966" s="112"/>
      <c r="AA4966" s="112"/>
    </row>
    <row r="4967" spans="3:27" x14ac:dyDescent="0.25">
      <c r="C4967" s="112"/>
      <c r="D4967" s="112"/>
      <c r="E4967" s="113"/>
      <c r="F4967" s="113"/>
      <c r="G4967" s="112"/>
      <c r="H4967" s="112"/>
      <c r="Z4967" s="112"/>
      <c r="AA4967" s="112"/>
    </row>
    <row r="4968" spans="3:27" x14ac:dyDescent="0.25">
      <c r="C4968" s="112"/>
      <c r="D4968" s="112"/>
      <c r="E4968" s="113"/>
      <c r="F4968" s="113"/>
      <c r="G4968" s="112"/>
      <c r="H4968" s="112"/>
      <c r="Z4968" s="112"/>
      <c r="AA4968" s="112"/>
    </row>
    <row r="4969" spans="3:27" x14ac:dyDescent="0.25">
      <c r="C4969" s="112"/>
      <c r="D4969" s="112"/>
      <c r="E4969" s="113"/>
      <c r="F4969" s="113"/>
      <c r="G4969" s="112"/>
      <c r="H4969" s="112"/>
      <c r="Z4969" s="112"/>
      <c r="AA4969" s="112"/>
    </row>
    <row r="4970" spans="3:27" x14ac:dyDescent="0.25">
      <c r="C4970" s="112"/>
      <c r="D4970" s="112"/>
      <c r="E4970" s="113"/>
      <c r="F4970" s="113"/>
      <c r="G4970" s="112"/>
      <c r="H4970" s="112"/>
      <c r="Z4970" s="112"/>
      <c r="AA4970" s="112"/>
    </row>
    <row r="4971" spans="3:27" x14ac:dyDescent="0.25">
      <c r="C4971" s="112"/>
      <c r="D4971" s="112"/>
      <c r="E4971" s="113"/>
      <c r="F4971" s="113"/>
      <c r="G4971" s="112"/>
      <c r="H4971" s="112"/>
      <c r="Z4971" s="112"/>
      <c r="AA4971" s="112"/>
    </row>
    <row r="4972" spans="3:27" x14ac:dyDescent="0.25">
      <c r="C4972" s="112"/>
      <c r="D4972" s="112"/>
      <c r="E4972" s="113"/>
      <c r="F4972" s="113"/>
      <c r="G4972" s="112"/>
      <c r="H4972" s="112"/>
      <c r="Z4972" s="112"/>
      <c r="AA4972" s="112"/>
    </row>
    <row r="4973" spans="3:27" x14ac:dyDescent="0.25">
      <c r="C4973" s="112"/>
      <c r="D4973" s="112"/>
      <c r="E4973" s="113"/>
      <c r="F4973" s="113"/>
      <c r="G4973" s="112"/>
      <c r="H4973" s="112"/>
      <c r="Z4973" s="112"/>
      <c r="AA4973" s="112"/>
    </row>
    <row r="4974" spans="3:27" x14ac:dyDescent="0.25">
      <c r="C4974" s="112"/>
      <c r="D4974" s="112"/>
      <c r="E4974" s="113"/>
      <c r="F4974" s="113"/>
      <c r="G4974" s="112"/>
      <c r="H4974" s="112"/>
      <c r="Z4974" s="112"/>
      <c r="AA4974" s="112"/>
    </row>
    <row r="4975" spans="3:27" x14ac:dyDescent="0.25">
      <c r="C4975" s="112"/>
      <c r="D4975" s="112"/>
      <c r="E4975" s="113"/>
      <c r="F4975" s="113"/>
      <c r="G4975" s="112"/>
      <c r="H4975" s="112"/>
      <c r="Z4975" s="112"/>
      <c r="AA4975" s="112"/>
    </row>
    <row r="4976" spans="3:27" x14ac:dyDescent="0.25">
      <c r="C4976" s="112"/>
      <c r="D4976" s="112"/>
      <c r="E4976" s="113"/>
      <c r="F4976" s="113"/>
      <c r="G4976" s="112"/>
      <c r="H4976" s="112"/>
      <c r="Z4976" s="112"/>
      <c r="AA4976" s="112"/>
    </row>
    <row r="4977" spans="3:27" x14ac:dyDescent="0.25">
      <c r="C4977" s="112"/>
      <c r="D4977" s="112"/>
      <c r="E4977" s="113"/>
      <c r="F4977" s="113"/>
      <c r="G4977" s="112"/>
      <c r="H4977" s="112"/>
      <c r="Z4977" s="112"/>
      <c r="AA4977" s="112"/>
    </row>
    <row r="4978" spans="3:27" x14ac:dyDescent="0.25">
      <c r="C4978" s="112"/>
      <c r="D4978" s="112"/>
      <c r="E4978" s="113"/>
      <c r="F4978" s="113"/>
      <c r="G4978" s="112"/>
      <c r="H4978" s="112"/>
      <c r="Z4978" s="112"/>
      <c r="AA4978" s="112"/>
    </row>
    <row r="4979" spans="3:27" x14ac:dyDescent="0.25">
      <c r="C4979" s="112"/>
      <c r="D4979" s="112"/>
      <c r="E4979" s="113"/>
      <c r="F4979" s="113"/>
      <c r="G4979" s="112"/>
      <c r="H4979" s="112"/>
      <c r="Z4979" s="112"/>
      <c r="AA4979" s="112"/>
    </row>
    <row r="4980" spans="3:27" x14ac:dyDescent="0.25">
      <c r="C4980" s="112"/>
      <c r="D4980" s="112"/>
      <c r="E4980" s="113"/>
      <c r="F4980" s="113"/>
      <c r="G4980" s="112"/>
      <c r="H4980" s="112"/>
      <c r="Z4980" s="112"/>
      <c r="AA4980" s="112"/>
    </row>
    <row r="4981" spans="3:27" x14ac:dyDescent="0.25">
      <c r="C4981" s="112"/>
      <c r="D4981" s="112"/>
      <c r="E4981" s="113"/>
      <c r="F4981" s="113"/>
      <c r="G4981" s="112"/>
      <c r="H4981" s="112"/>
      <c r="Z4981" s="112"/>
      <c r="AA4981" s="112"/>
    </row>
    <row r="4982" spans="3:27" x14ac:dyDescent="0.25">
      <c r="C4982" s="112"/>
      <c r="D4982" s="112"/>
      <c r="E4982" s="113"/>
      <c r="F4982" s="113"/>
      <c r="G4982" s="112"/>
      <c r="H4982" s="112"/>
      <c r="Z4982" s="112"/>
      <c r="AA4982" s="112"/>
    </row>
    <row r="4983" spans="3:27" x14ac:dyDescent="0.25">
      <c r="C4983" s="112"/>
      <c r="D4983" s="112"/>
      <c r="E4983" s="113"/>
      <c r="F4983" s="113"/>
      <c r="G4983" s="112"/>
      <c r="H4983" s="112"/>
      <c r="Z4983" s="112"/>
      <c r="AA4983" s="112"/>
    </row>
    <row r="4984" spans="3:27" x14ac:dyDescent="0.25">
      <c r="C4984" s="112"/>
      <c r="D4984" s="112"/>
      <c r="E4984" s="113"/>
      <c r="F4984" s="113"/>
      <c r="G4984" s="112"/>
      <c r="H4984" s="112"/>
      <c r="Z4984" s="112"/>
      <c r="AA4984" s="112"/>
    </row>
    <row r="4985" spans="3:27" x14ac:dyDescent="0.25">
      <c r="C4985" s="112"/>
      <c r="D4985" s="112"/>
      <c r="E4985" s="113"/>
      <c r="F4985" s="113"/>
      <c r="G4985" s="112"/>
      <c r="H4985" s="112"/>
      <c r="Z4985" s="112"/>
      <c r="AA4985" s="112"/>
    </row>
    <row r="4986" spans="3:27" x14ac:dyDescent="0.25">
      <c r="C4986" s="112"/>
      <c r="D4986" s="112"/>
      <c r="E4986" s="113"/>
      <c r="F4986" s="113"/>
      <c r="G4986" s="112"/>
      <c r="H4986" s="112"/>
      <c r="Z4986" s="112"/>
      <c r="AA4986" s="112"/>
    </row>
    <row r="4987" spans="3:27" x14ac:dyDescent="0.25">
      <c r="C4987" s="112"/>
      <c r="D4987" s="112"/>
      <c r="E4987" s="113"/>
      <c r="F4987" s="113"/>
      <c r="G4987" s="112"/>
      <c r="H4987" s="112"/>
      <c r="Z4987" s="112"/>
      <c r="AA4987" s="112"/>
    </row>
    <row r="4988" spans="3:27" x14ac:dyDescent="0.25">
      <c r="C4988" s="112"/>
      <c r="D4988" s="112"/>
      <c r="E4988" s="113"/>
      <c r="F4988" s="113"/>
      <c r="G4988" s="112"/>
      <c r="H4988" s="112"/>
      <c r="Z4988" s="112"/>
      <c r="AA4988" s="112"/>
    </row>
    <row r="4989" spans="3:27" x14ac:dyDescent="0.25">
      <c r="C4989" s="112"/>
      <c r="D4989" s="112"/>
      <c r="E4989" s="113"/>
      <c r="F4989" s="113"/>
      <c r="G4989" s="112"/>
      <c r="H4989" s="112"/>
      <c r="Z4989" s="112"/>
      <c r="AA4989" s="112"/>
    </row>
    <row r="4990" spans="3:27" x14ac:dyDescent="0.25">
      <c r="C4990" s="112"/>
      <c r="D4990" s="112"/>
      <c r="E4990" s="113"/>
      <c r="F4990" s="113"/>
      <c r="G4990" s="112"/>
      <c r="H4990" s="112"/>
      <c r="Z4990" s="112"/>
      <c r="AA4990" s="112"/>
    </row>
    <row r="4991" spans="3:27" x14ac:dyDescent="0.25">
      <c r="C4991" s="112"/>
      <c r="D4991" s="112"/>
      <c r="E4991" s="113"/>
      <c r="F4991" s="113"/>
      <c r="G4991" s="112"/>
      <c r="H4991" s="112"/>
      <c r="Z4991" s="112"/>
      <c r="AA4991" s="112"/>
    </row>
    <row r="4992" spans="3:27" x14ac:dyDescent="0.25">
      <c r="C4992" s="112"/>
      <c r="D4992" s="112"/>
      <c r="E4992" s="113"/>
      <c r="F4992" s="113"/>
      <c r="G4992" s="112"/>
      <c r="H4992" s="112"/>
      <c r="Z4992" s="112"/>
      <c r="AA4992" s="112"/>
    </row>
    <row r="4993" spans="3:27" x14ac:dyDescent="0.25">
      <c r="C4993" s="112"/>
      <c r="D4993" s="112"/>
      <c r="E4993" s="113"/>
      <c r="F4993" s="113"/>
      <c r="G4993" s="112"/>
      <c r="H4993" s="112"/>
      <c r="Z4993" s="112"/>
      <c r="AA4993" s="112"/>
    </row>
    <row r="4994" spans="3:27" x14ac:dyDescent="0.25">
      <c r="C4994" s="112"/>
      <c r="D4994" s="112"/>
      <c r="E4994" s="113"/>
      <c r="F4994" s="113"/>
      <c r="G4994" s="112"/>
      <c r="H4994" s="112"/>
      <c r="Z4994" s="112"/>
      <c r="AA4994" s="112"/>
    </row>
    <row r="4995" spans="3:27" x14ac:dyDescent="0.25">
      <c r="C4995" s="112"/>
      <c r="D4995" s="112"/>
      <c r="E4995" s="113"/>
      <c r="F4995" s="113"/>
      <c r="G4995" s="112"/>
      <c r="H4995" s="112"/>
      <c r="Z4995" s="112"/>
      <c r="AA4995" s="112"/>
    </row>
    <row r="4996" spans="3:27" x14ac:dyDescent="0.25">
      <c r="C4996" s="112"/>
      <c r="D4996" s="112"/>
      <c r="E4996" s="113"/>
      <c r="F4996" s="113"/>
      <c r="G4996" s="112"/>
      <c r="H4996" s="112"/>
      <c r="Z4996" s="112"/>
      <c r="AA4996" s="112"/>
    </row>
    <row r="4997" spans="3:27" x14ac:dyDescent="0.25">
      <c r="C4997" s="112"/>
      <c r="D4997" s="112"/>
      <c r="E4997" s="113"/>
      <c r="F4997" s="113"/>
      <c r="G4997" s="112"/>
      <c r="H4997" s="112"/>
      <c r="Z4997" s="112"/>
      <c r="AA4997" s="112"/>
    </row>
    <row r="4998" spans="3:27" x14ac:dyDescent="0.25">
      <c r="C4998" s="112"/>
      <c r="D4998" s="112"/>
      <c r="E4998" s="113"/>
      <c r="F4998" s="113"/>
      <c r="G4998" s="112"/>
      <c r="H4998" s="112"/>
      <c r="Z4998" s="112"/>
      <c r="AA4998" s="112"/>
    </row>
    <row r="4999" spans="3:27" x14ac:dyDescent="0.25">
      <c r="C4999" s="112"/>
      <c r="D4999" s="112"/>
      <c r="E4999" s="113"/>
      <c r="F4999" s="113"/>
      <c r="G4999" s="112"/>
      <c r="H4999" s="112"/>
      <c r="Z4999" s="112"/>
      <c r="AA4999" s="112"/>
    </row>
    <row r="5000" spans="3:27" x14ac:dyDescent="0.25">
      <c r="C5000" s="112"/>
      <c r="D5000" s="112"/>
      <c r="E5000" s="113"/>
      <c r="F5000" s="113"/>
      <c r="G5000" s="112"/>
      <c r="H5000" s="112"/>
      <c r="Z5000" s="112"/>
      <c r="AA5000" s="112"/>
    </row>
    <row r="5001" spans="3:27" x14ac:dyDescent="0.25">
      <c r="C5001" s="112"/>
      <c r="D5001" s="112"/>
      <c r="E5001" s="113"/>
      <c r="F5001" s="113"/>
      <c r="G5001" s="112"/>
      <c r="H5001" s="112"/>
      <c r="Z5001" s="112"/>
      <c r="AA5001" s="112"/>
    </row>
    <row r="5002" spans="3:27" x14ac:dyDescent="0.25">
      <c r="C5002" s="112"/>
      <c r="D5002" s="112"/>
      <c r="E5002" s="113"/>
      <c r="F5002" s="113"/>
      <c r="G5002" s="112"/>
      <c r="H5002" s="112"/>
      <c r="Z5002" s="112"/>
      <c r="AA5002" s="112"/>
    </row>
    <row r="5003" spans="3:27" x14ac:dyDescent="0.25">
      <c r="C5003" s="112"/>
      <c r="D5003" s="112"/>
      <c r="E5003" s="113"/>
      <c r="F5003" s="113"/>
      <c r="G5003" s="112"/>
      <c r="H5003" s="112"/>
      <c r="Z5003" s="112"/>
      <c r="AA5003" s="112"/>
    </row>
    <row r="5004" spans="3:27" x14ac:dyDescent="0.25">
      <c r="C5004" s="112"/>
      <c r="D5004" s="112"/>
      <c r="E5004" s="113"/>
      <c r="F5004" s="113"/>
      <c r="G5004" s="112"/>
      <c r="H5004" s="112"/>
      <c r="Z5004" s="112"/>
      <c r="AA5004" s="112"/>
    </row>
    <row r="5005" spans="3:27" x14ac:dyDescent="0.25">
      <c r="C5005" s="112"/>
      <c r="D5005" s="112"/>
      <c r="E5005" s="113"/>
      <c r="F5005" s="113"/>
      <c r="G5005" s="112"/>
      <c r="H5005" s="112"/>
      <c r="Z5005" s="112"/>
      <c r="AA5005" s="112"/>
    </row>
    <row r="5006" spans="3:27" x14ac:dyDescent="0.25">
      <c r="C5006" s="112"/>
      <c r="D5006" s="112"/>
      <c r="E5006" s="113"/>
      <c r="F5006" s="113"/>
      <c r="G5006" s="112"/>
      <c r="H5006" s="112"/>
      <c r="Z5006" s="112"/>
      <c r="AA5006" s="112"/>
    </row>
  </sheetData>
  <pageMargins left="0.4" right="0.4" top="0.5" bottom="0.5" header="0.3" footer="0.3"/>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Checks">
    <tabColor rgb="FF2E75B6"/>
    <pageSetUpPr fitToPage="1"/>
  </sheetPr>
  <dimension ref="B1:AB10"/>
  <sheetViews>
    <sheetView showGridLines="0" zoomScaleNormal="100" workbookViewId="0">
      <pane xSplit="3" ySplit="5" topLeftCell="D8" activePane="bottomRight" state="frozen"/>
      <selection pane="topRight" activeCell="D3" sqref="D3"/>
      <selection pane="bottomLeft" activeCell="C7" sqref="C7"/>
      <selection pane="bottomRight" activeCell="C5" sqref="C5"/>
    </sheetView>
  </sheetViews>
  <sheetFormatPr defaultRowHeight="15" x14ac:dyDescent="0.25"/>
  <cols>
    <col min="1" max="2" width="4" customWidth="1"/>
    <col min="3" max="4" width="15.625" style="6" customWidth="1"/>
    <col min="5" max="5" width="6.75" style="125" customWidth="1"/>
    <col min="6" max="6" width="30.625" style="6" customWidth="1"/>
    <col min="7" max="7" width="110.75" style="6" customWidth="1"/>
  </cols>
  <sheetData>
    <row r="1" spans="2:28" ht="24" customHeight="1" x14ac:dyDescent="0.25">
      <c r="B1" s="24" t="s">
        <v>0</v>
      </c>
      <c r="C1" s="25"/>
      <c r="D1" s="26"/>
      <c r="E1" s="63"/>
      <c r="F1" s="63"/>
      <c r="G1" s="63"/>
      <c r="H1" s="63"/>
      <c r="I1" s="63"/>
      <c r="J1" s="63"/>
      <c r="K1" s="63"/>
      <c r="L1" s="63"/>
      <c r="M1" s="26"/>
      <c r="N1" s="26"/>
      <c r="O1" s="26"/>
      <c r="P1" s="26"/>
      <c r="Q1" s="63"/>
      <c r="R1" s="63"/>
      <c r="S1" s="63"/>
      <c r="T1" s="63"/>
      <c r="U1" s="63"/>
      <c r="V1" s="63"/>
      <c r="W1" s="63"/>
      <c r="X1" s="63"/>
      <c r="Y1" s="63"/>
      <c r="Z1" s="63"/>
      <c r="AA1" s="63"/>
      <c r="AB1" s="63"/>
    </row>
    <row r="2" spans="2:28" ht="26.1" customHeight="1" x14ac:dyDescent="0.25">
      <c r="B2" s="28" t="s">
        <v>59</v>
      </c>
      <c r="C2" s="29"/>
      <c r="D2" s="30"/>
      <c r="E2" s="65"/>
      <c r="F2" s="65"/>
      <c r="G2" s="65"/>
      <c r="H2" s="65"/>
      <c r="I2" s="65"/>
      <c r="J2" s="65"/>
      <c r="K2" s="65"/>
      <c r="L2" s="65"/>
      <c r="M2" s="30"/>
      <c r="N2" s="30"/>
      <c r="O2" s="30"/>
      <c r="P2" s="30"/>
      <c r="Q2" s="65"/>
      <c r="R2" s="65"/>
      <c r="S2" s="65"/>
      <c r="T2" s="65"/>
      <c r="U2" s="65"/>
      <c r="V2" s="65"/>
      <c r="W2" s="65"/>
      <c r="X2" s="65"/>
      <c r="Y2" s="65"/>
      <c r="Z2" s="65"/>
      <c r="AA2" s="65"/>
      <c r="AB2" s="65"/>
    </row>
    <row r="3" spans="2:28" ht="30" customHeight="1" x14ac:dyDescent="0.25">
      <c r="C3" s="2" t="s">
        <v>490</v>
      </c>
      <c r="E3" s="9"/>
    </row>
    <row r="4" spans="2:28" x14ac:dyDescent="0.25">
      <c r="E4" s="9"/>
    </row>
    <row r="5" spans="2:28" ht="42" customHeight="1" x14ac:dyDescent="0.25">
      <c r="C5" s="127" t="s">
        <v>491</v>
      </c>
      <c r="D5" s="127" t="s">
        <v>492</v>
      </c>
      <c r="E5" s="128" t="s">
        <v>493</v>
      </c>
      <c r="F5" s="127" t="s">
        <v>96</v>
      </c>
      <c r="G5" s="127" t="s">
        <v>494</v>
      </c>
    </row>
    <row r="6" spans="2:28" x14ac:dyDescent="0.25">
      <c r="C6" s="4"/>
      <c r="D6" s="6"/>
      <c r="E6" s="125"/>
      <c r="F6" s="6"/>
      <c r="G6" s="6"/>
    </row>
    <row r="7" spans="2:28" x14ac:dyDescent="0.25">
      <c r="C7" s="4"/>
      <c r="D7" s="6"/>
      <c r="E7" s="125"/>
      <c r="F7" s="6"/>
      <c r="G7" s="6"/>
    </row>
    <row r="8" spans="2:28" x14ac:dyDescent="0.25">
      <c r="C8" s="4"/>
      <c r="D8" s="6"/>
      <c r="E8" s="125"/>
      <c r="F8" s="6"/>
      <c r="G8" s="6"/>
    </row>
    <row r="9" spans="2:28" x14ac:dyDescent="0.25">
      <c r="C9" s="4"/>
      <c r="D9" s="6"/>
      <c r="F9" s="6"/>
      <c r="G9" s="6"/>
    </row>
    <row r="10" spans="2:28" x14ac:dyDescent="0.25">
      <c r="C10" s="4"/>
      <c r="D10" s="6"/>
      <c r="F10" s="6"/>
      <c r="G10" s="6"/>
    </row>
  </sheetData>
  <pageMargins left="0.4" right="0.4" top="0.5" bottom="0.5" header="0.3" footer="0.3"/>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BankNettingSets">
    <tabColor rgb="FFBF9000"/>
    <pageSetUpPr fitToPage="1"/>
  </sheetPr>
  <dimension ref="B1:P208"/>
  <sheetViews>
    <sheetView showGridLines="0" zoomScaleNormal="100" workbookViewId="0">
      <pane ySplit="8" topLeftCell="A9" activePane="bottomLeft" state="frozen"/>
      <selection pane="bottomLeft" activeCell="D8" sqref="D8"/>
    </sheetView>
  </sheetViews>
  <sheetFormatPr defaultRowHeight="15" x14ac:dyDescent="0.25"/>
  <cols>
    <col min="1" max="2" width="4" customWidth="1"/>
    <col min="3" max="3" width="20.625" style="34" customWidth="1"/>
    <col min="4" max="4" width="12.625" style="34" customWidth="1"/>
    <col min="5" max="14" width="15.625" style="34" customWidth="1"/>
    <col min="15" max="15" width="11.625" style="34" customWidth="1"/>
    <col min="16" max="16" width="40.625" style="34" customWidth="1"/>
  </cols>
  <sheetData>
    <row r="1" spans="2:16" ht="24" customHeight="1" x14ac:dyDescent="0.25">
      <c r="B1" s="24" t="s">
        <v>0</v>
      </c>
      <c r="C1" s="25"/>
      <c r="D1" s="26"/>
      <c r="E1" s="26"/>
      <c r="F1" s="26"/>
      <c r="G1" s="26"/>
      <c r="H1" s="26"/>
      <c r="I1" s="26"/>
      <c r="J1" s="26"/>
      <c r="K1" s="26"/>
      <c r="L1" s="26"/>
      <c r="M1" s="26"/>
      <c r="N1" s="26"/>
      <c r="O1" s="26"/>
      <c r="P1" s="26"/>
    </row>
    <row r="2" spans="2:16" ht="26.1" customHeight="1" x14ac:dyDescent="0.25">
      <c r="B2" s="28" t="s">
        <v>873</v>
      </c>
      <c r="C2" s="29"/>
      <c r="D2" s="30"/>
      <c r="E2" s="30"/>
      <c r="F2" s="30"/>
      <c r="G2" s="30"/>
      <c r="H2" s="30"/>
      <c r="I2" s="30"/>
      <c r="J2" s="30"/>
      <c r="K2" s="30"/>
      <c r="L2" s="30"/>
      <c r="M2" s="30"/>
      <c r="N2" s="30"/>
      <c r="O2" s="30"/>
      <c r="P2" s="30"/>
    </row>
    <row r="3" spans="2:16" ht="30" customHeight="1" x14ac:dyDescent="0.25">
      <c r="C3" s="40" t="s">
        <v>874</v>
      </c>
    </row>
    <row r="4" spans="2:16" ht="20.100000000000001" customHeight="1" x14ac:dyDescent="0.25">
      <c r="C4" s="34" t="s">
        <v>875</v>
      </c>
      <c r="D4" s="58">
        <v>1</v>
      </c>
      <c r="E4" s="2" t="s">
        <v>876</v>
      </c>
    </row>
    <row r="5" spans="2:16" ht="20.100000000000001" customHeight="1" x14ac:dyDescent="0.25">
      <c r="C5" s="34" t="s">
        <v>877</v>
      </c>
      <c r="D5" s="60">
        <v>1</v>
      </c>
      <c r="E5" s="2" t="s">
        <v>878</v>
      </c>
    </row>
    <row r="6" spans="2:16" ht="20.100000000000001" customHeight="1" x14ac:dyDescent="0.25">
      <c r="C6" s="34" t="s">
        <v>879</v>
      </c>
      <c r="D6" s="101">
        <v>1E-4</v>
      </c>
      <c r="E6" s="2" t="s">
        <v>918</v>
      </c>
    </row>
    <row r="8" spans="2:16" s="34" customFormat="1" ht="50.1" customHeight="1" x14ac:dyDescent="0.25">
      <c r="C8" s="68" t="s">
        <v>233</v>
      </c>
      <c r="D8" s="52" t="s">
        <v>881</v>
      </c>
      <c r="E8" s="52" t="s">
        <v>28</v>
      </c>
      <c r="F8" s="52" t="s">
        <v>29</v>
      </c>
      <c r="G8" s="52" t="s">
        <v>30</v>
      </c>
      <c r="H8" s="52" t="s">
        <v>441</v>
      </c>
      <c r="I8" s="52" t="s">
        <v>435</v>
      </c>
      <c r="J8" s="52" t="s">
        <v>436</v>
      </c>
      <c r="K8" s="52" t="s">
        <v>437</v>
      </c>
      <c r="L8" s="52" t="s">
        <v>438</v>
      </c>
      <c r="M8" s="52" t="s">
        <v>439</v>
      </c>
      <c r="N8" s="52" t="s">
        <v>440</v>
      </c>
      <c r="O8" s="52" t="s">
        <v>442</v>
      </c>
      <c r="P8" s="52" t="s">
        <v>287</v>
      </c>
    </row>
    <row r="9" spans="2:16" ht="20.100000000000001" customHeight="1" x14ac:dyDescent="0.25">
      <c r="C9" s="57" t="s">
        <v>904</v>
      </c>
      <c r="D9" s="41" t="s">
        <v>904</v>
      </c>
      <c r="E9" s="60"/>
      <c r="F9" s="60"/>
      <c r="G9" s="60"/>
      <c r="H9" s="60"/>
      <c r="I9" s="60"/>
      <c r="J9" s="60"/>
      <c r="K9" s="60"/>
      <c r="L9" s="60"/>
      <c r="M9" s="60"/>
      <c r="N9" s="60"/>
      <c r="O9" s="71"/>
      <c r="P9" s="44"/>
    </row>
    <row r="10" spans="2:16" ht="20.100000000000001" customHeight="1" x14ac:dyDescent="0.25">
      <c r="C10" s="57" t="s">
        <v>904</v>
      </c>
      <c r="D10" s="41" t="s">
        <v>904</v>
      </c>
      <c r="E10" s="60"/>
      <c r="F10" s="60"/>
      <c r="G10" s="60"/>
      <c r="H10" s="60"/>
      <c r="I10" s="60"/>
      <c r="J10" s="60"/>
      <c r="K10" s="60"/>
      <c r="L10" s="60"/>
      <c r="M10" s="60"/>
      <c r="N10" s="60"/>
      <c r="O10" s="71"/>
      <c r="P10" s="44"/>
    </row>
    <row r="11" spans="2:16" ht="20.100000000000001" customHeight="1" x14ac:dyDescent="0.25">
      <c r="C11" s="57" t="s">
        <v>904</v>
      </c>
      <c r="D11" s="41" t="s">
        <v>904</v>
      </c>
      <c r="E11" s="60"/>
      <c r="F11" s="60"/>
      <c r="G11" s="60"/>
      <c r="H11" s="60"/>
      <c r="I11" s="60"/>
      <c r="J11" s="60"/>
      <c r="K11" s="60"/>
      <c r="L11" s="60"/>
      <c r="M11" s="60"/>
      <c r="N11" s="60"/>
      <c r="O11" s="71"/>
      <c r="P11" s="44"/>
    </row>
    <row r="12" spans="2:16" ht="20.100000000000001" customHeight="1" x14ac:dyDescent="0.25">
      <c r="C12" s="57" t="s">
        <v>904</v>
      </c>
      <c r="D12" s="41" t="s">
        <v>904</v>
      </c>
      <c r="E12" s="60"/>
      <c r="F12" s="60"/>
      <c r="G12" s="60"/>
      <c r="H12" s="60"/>
      <c r="I12" s="60"/>
      <c r="J12" s="60"/>
      <c r="K12" s="60"/>
      <c r="L12" s="60"/>
      <c r="M12" s="60"/>
      <c r="N12" s="60"/>
      <c r="O12" s="71"/>
      <c r="P12" s="44"/>
    </row>
    <row r="13" spans="2:16" ht="20.100000000000001" customHeight="1" x14ac:dyDescent="0.25">
      <c r="C13" s="57" t="s">
        <v>904</v>
      </c>
      <c r="D13" s="41" t="s">
        <v>904</v>
      </c>
      <c r="E13" s="60"/>
      <c r="F13" s="60"/>
      <c r="G13" s="60"/>
      <c r="H13" s="60"/>
      <c r="I13" s="60"/>
      <c r="J13" s="60"/>
      <c r="K13" s="60"/>
      <c r="L13" s="60"/>
      <c r="M13" s="60"/>
      <c r="N13" s="60"/>
      <c r="O13" s="71"/>
      <c r="P13" s="44"/>
    </row>
    <row r="14" spans="2:16" ht="20.100000000000001" customHeight="1" x14ac:dyDescent="0.25">
      <c r="C14" s="57" t="s">
        <v>904</v>
      </c>
      <c r="D14" s="41" t="s">
        <v>904</v>
      </c>
      <c r="E14" s="60"/>
      <c r="F14" s="60"/>
      <c r="G14" s="60"/>
      <c r="H14" s="60"/>
      <c r="I14" s="60"/>
      <c r="J14" s="60"/>
      <c r="K14" s="60"/>
      <c r="L14" s="60"/>
      <c r="M14" s="60"/>
      <c r="N14" s="60"/>
      <c r="O14" s="71"/>
      <c r="P14" s="44"/>
    </row>
    <row r="15" spans="2:16" ht="20.100000000000001" customHeight="1" x14ac:dyDescent="0.25">
      <c r="C15" s="57" t="s">
        <v>904</v>
      </c>
      <c r="D15" s="41" t="s">
        <v>904</v>
      </c>
      <c r="E15" s="60"/>
      <c r="F15" s="60"/>
      <c r="G15" s="60"/>
      <c r="H15" s="60"/>
      <c r="I15" s="60"/>
      <c r="J15" s="60"/>
      <c r="K15" s="60"/>
      <c r="L15" s="60"/>
      <c r="M15" s="60"/>
      <c r="N15" s="60"/>
      <c r="O15" s="71"/>
      <c r="P15" s="44"/>
    </row>
    <row r="16" spans="2:16" ht="20.100000000000001" customHeight="1" x14ac:dyDescent="0.25">
      <c r="C16" s="57" t="s">
        <v>904</v>
      </c>
      <c r="D16" s="41" t="s">
        <v>904</v>
      </c>
      <c r="E16" s="60"/>
      <c r="F16" s="60"/>
      <c r="G16" s="60"/>
      <c r="H16" s="60"/>
      <c r="I16" s="60"/>
      <c r="J16" s="60"/>
      <c r="K16" s="60"/>
      <c r="L16" s="60"/>
      <c r="M16" s="60"/>
      <c r="N16" s="60"/>
      <c r="O16" s="71"/>
      <c r="P16" s="44"/>
    </row>
    <row r="17" spans="3:16" ht="20.100000000000001" customHeight="1" x14ac:dyDescent="0.25">
      <c r="C17" s="57" t="s">
        <v>904</v>
      </c>
      <c r="D17" s="41" t="s">
        <v>904</v>
      </c>
      <c r="E17" s="60"/>
      <c r="F17" s="60"/>
      <c r="G17" s="60"/>
      <c r="H17" s="60"/>
      <c r="I17" s="60"/>
      <c r="J17" s="60"/>
      <c r="K17" s="60"/>
      <c r="L17" s="60"/>
      <c r="M17" s="60"/>
      <c r="N17" s="60"/>
      <c r="O17" s="71"/>
      <c r="P17" s="44"/>
    </row>
    <row r="18" spans="3:16" ht="20.100000000000001" customHeight="1" x14ac:dyDescent="0.25">
      <c r="C18" s="57" t="s">
        <v>904</v>
      </c>
      <c r="D18" s="41" t="s">
        <v>904</v>
      </c>
      <c r="E18" s="60"/>
      <c r="F18" s="60"/>
      <c r="G18" s="60"/>
      <c r="H18" s="60"/>
      <c r="I18" s="60"/>
      <c r="J18" s="60"/>
      <c r="K18" s="60"/>
      <c r="L18" s="60"/>
      <c r="M18" s="60"/>
      <c r="N18" s="60"/>
      <c r="O18" s="71"/>
      <c r="P18" s="44"/>
    </row>
    <row r="19" spans="3:16" ht="20.100000000000001" customHeight="1" x14ac:dyDescent="0.25">
      <c r="C19" s="57" t="s">
        <v>904</v>
      </c>
      <c r="D19" s="41" t="s">
        <v>904</v>
      </c>
      <c r="E19" s="60"/>
      <c r="F19" s="60"/>
      <c r="G19" s="60"/>
      <c r="H19" s="60"/>
      <c r="I19" s="60"/>
      <c r="J19" s="60"/>
      <c r="K19" s="60"/>
      <c r="L19" s="60"/>
      <c r="M19" s="60"/>
      <c r="N19" s="60"/>
      <c r="O19" s="71"/>
      <c r="P19" s="44"/>
    </row>
    <row r="20" spans="3:16" ht="20.100000000000001" customHeight="1" x14ac:dyDescent="0.25">
      <c r="C20" s="57" t="s">
        <v>904</v>
      </c>
      <c r="D20" s="41" t="s">
        <v>904</v>
      </c>
      <c r="E20" s="60"/>
      <c r="F20" s="60"/>
      <c r="G20" s="60"/>
      <c r="H20" s="60"/>
      <c r="I20" s="60"/>
      <c r="J20" s="60"/>
      <c r="K20" s="60"/>
      <c r="L20" s="60"/>
      <c r="M20" s="60"/>
      <c r="N20" s="60"/>
      <c r="O20" s="71"/>
      <c r="P20" s="44"/>
    </row>
    <row r="21" spans="3:16" ht="20.100000000000001" customHeight="1" x14ac:dyDescent="0.25">
      <c r="C21" s="57" t="s">
        <v>904</v>
      </c>
      <c r="D21" s="41" t="s">
        <v>904</v>
      </c>
      <c r="E21" s="60"/>
      <c r="F21" s="60"/>
      <c r="G21" s="60"/>
      <c r="H21" s="60"/>
      <c r="I21" s="60"/>
      <c r="J21" s="60"/>
      <c r="K21" s="60"/>
      <c r="L21" s="60"/>
      <c r="M21" s="60"/>
      <c r="N21" s="60"/>
      <c r="O21" s="71"/>
      <c r="P21" s="44"/>
    </row>
    <row r="22" spans="3:16" ht="20.100000000000001" customHeight="1" x14ac:dyDescent="0.25">
      <c r="C22" s="57" t="s">
        <v>904</v>
      </c>
      <c r="D22" s="41" t="s">
        <v>904</v>
      </c>
      <c r="E22" s="60"/>
      <c r="F22" s="60"/>
      <c r="G22" s="60"/>
      <c r="H22" s="60"/>
      <c r="I22" s="60"/>
      <c r="J22" s="60"/>
      <c r="K22" s="60"/>
      <c r="L22" s="60"/>
      <c r="M22" s="60"/>
      <c r="N22" s="60"/>
      <c r="O22" s="71"/>
      <c r="P22" s="44"/>
    </row>
    <row r="23" spans="3:16" ht="20.100000000000001" customHeight="1" x14ac:dyDescent="0.25">
      <c r="C23" s="57" t="s">
        <v>904</v>
      </c>
      <c r="D23" s="41" t="s">
        <v>904</v>
      </c>
      <c r="E23" s="60"/>
      <c r="F23" s="60"/>
      <c r="G23" s="60"/>
      <c r="H23" s="60"/>
      <c r="I23" s="60"/>
      <c r="J23" s="60"/>
      <c r="K23" s="60"/>
      <c r="L23" s="60"/>
      <c r="M23" s="60"/>
      <c r="N23" s="60"/>
      <c r="O23" s="71"/>
      <c r="P23" s="44"/>
    </row>
    <row r="24" spans="3:16" ht="20.100000000000001" customHeight="1" x14ac:dyDescent="0.25">
      <c r="C24" s="57" t="s">
        <v>904</v>
      </c>
      <c r="D24" s="41" t="s">
        <v>904</v>
      </c>
      <c r="E24" s="60"/>
      <c r="F24" s="60"/>
      <c r="G24" s="60"/>
      <c r="H24" s="60"/>
      <c r="I24" s="60"/>
      <c r="J24" s="60"/>
      <c r="K24" s="60"/>
      <c r="L24" s="60"/>
      <c r="M24" s="60"/>
      <c r="N24" s="60"/>
      <c r="O24" s="71"/>
      <c r="P24" s="44"/>
    </row>
    <row r="25" spans="3:16" ht="20.100000000000001" customHeight="1" x14ac:dyDescent="0.25">
      <c r="C25" s="57" t="s">
        <v>904</v>
      </c>
      <c r="D25" s="41" t="s">
        <v>904</v>
      </c>
      <c r="E25" s="60"/>
      <c r="F25" s="60"/>
      <c r="G25" s="60"/>
      <c r="H25" s="60"/>
      <c r="I25" s="60"/>
      <c r="J25" s="60"/>
      <c r="K25" s="60"/>
      <c r="L25" s="60"/>
      <c r="M25" s="60"/>
      <c r="N25" s="60"/>
      <c r="O25" s="71"/>
      <c r="P25" s="44"/>
    </row>
    <row r="26" spans="3:16" ht="20.100000000000001" customHeight="1" x14ac:dyDescent="0.25">
      <c r="C26" s="57" t="s">
        <v>904</v>
      </c>
      <c r="D26" s="41" t="s">
        <v>904</v>
      </c>
      <c r="E26" s="60"/>
      <c r="F26" s="60"/>
      <c r="G26" s="60"/>
      <c r="H26" s="60"/>
      <c r="I26" s="60"/>
      <c r="J26" s="60"/>
      <c r="K26" s="60"/>
      <c r="L26" s="60"/>
      <c r="M26" s="60"/>
      <c r="N26" s="60"/>
      <c r="O26" s="71"/>
      <c r="P26" s="44"/>
    </row>
    <row r="27" spans="3:16" ht="20.100000000000001" customHeight="1" x14ac:dyDescent="0.25">
      <c r="C27" s="57" t="s">
        <v>904</v>
      </c>
      <c r="D27" s="41" t="s">
        <v>904</v>
      </c>
      <c r="E27" s="60"/>
      <c r="F27" s="60"/>
      <c r="G27" s="60"/>
      <c r="H27" s="60"/>
      <c r="I27" s="60"/>
      <c r="J27" s="60"/>
      <c r="K27" s="60"/>
      <c r="L27" s="60"/>
      <c r="M27" s="60"/>
      <c r="N27" s="60"/>
      <c r="O27" s="71"/>
      <c r="P27" s="44"/>
    </row>
    <row r="28" spans="3:16" ht="20.100000000000001" customHeight="1" x14ac:dyDescent="0.25">
      <c r="C28" s="57" t="s">
        <v>904</v>
      </c>
      <c r="D28" s="41" t="s">
        <v>904</v>
      </c>
      <c r="E28" s="60"/>
      <c r="F28" s="60"/>
      <c r="G28" s="60"/>
      <c r="H28" s="60"/>
      <c r="I28" s="60"/>
      <c r="J28" s="60"/>
      <c r="K28" s="60"/>
      <c r="L28" s="60"/>
      <c r="M28" s="60"/>
      <c r="N28" s="60"/>
      <c r="O28" s="71"/>
      <c r="P28" s="44"/>
    </row>
    <row r="29" spans="3:16" ht="20.100000000000001" customHeight="1" x14ac:dyDescent="0.25">
      <c r="C29" s="57" t="s">
        <v>904</v>
      </c>
      <c r="D29" s="41" t="s">
        <v>904</v>
      </c>
      <c r="E29" s="60"/>
      <c r="F29" s="60"/>
      <c r="G29" s="60"/>
      <c r="H29" s="60"/>
      <c r="I29" s="60"/>
      <c r="J29" s="60"/>
      <c r="K29" s="60"/>
      <c r="L29" s="60"/>
      <c r="M29" s="60"/>
      <c r="N29" s="60"/>
      <c r="O29" s="71"/>
      <c r="P29" s="44"/>
    </row>
    <row r="30" spans="3:16" ht="20.100000000000001" customHeight="1" x14ac:dyDescent="0.25">
      <c r="C30" s="57" t="s">
        <v>904</v>
      </c>
      <c r="D30" s="41" t="s">
        <v>904</v>
      </c>
      <c r="E30" s="60"/>
      <c r="F30" s="60"/>
      <c r="G30" s="60"/>
      <c r="H30" s="60"/>
      <c r="I30" s="60"/>
      <c r="J30" s="60"/>
      <c r="K30" s="60"/>
      <c r="L30" s="60"/>
      <c r="M30" s="60"/>
      <c r="N30" s="60"/>
      <c r="O30" s="71"/>
      <c r="P30" s="44"/>
    </row>
    <row r="31" spans="3:16" ht="20.100000000000001" customHeight="1" x14ac:dyDescent="0.25">
      <c r="C31" s="57" t="s">
        <v>904</v>
      </c>
      <c r="D31" s="41" t="s">
        <v>904</v>
      </c>
      <c r="E31" s="60"/>
      <c r="F31" s="60"/>
      <c r="G31" s="60"/>
      <c r="H31" s="60"/>
      <c r="I31" s="60"/>
      <c r="J31" s="60"/>
      <c r="K31" s="60"/>
      <c r="L31" s="60"/>
      <c r="M31" s="60"/>
      <c r="N31" s="60"/>
      <c r="O31" s="71"/>
      <c r="P31" s="44"/>
    </row>
    <row r="32" spans="3:16" ht="20.100000000000001" customHeight="1" x14ac:dyDescent="0.25">
      <c r="C32" s="57" t="s">
        <v>904</v>
      </c>
      <c r="D32" s="41" t="s">
        <v>904</v>
      </c>
      <c r="E32" s="60"/>
      <c r="F32" s="60"/>
      <c r="G32" s="60"/>
      <c r="H32" s="60"/>
      <c r="I32" s="60"/>
      <c r="J32" s="60"/>
      <c r="K32" s="60"/>
      <c r="L32" s="60"/>
      <c r="M32" s="60"/>
      <c r="N32" s="60"/>
      <c r="O32" s="71"/>
      <c r="P32" s="44"/>
    </row>
    <row r="33" spans="3:16" ht="20.100000000000001" customHeight="1" x14ac:dyDescent="0.25">
      <c r="C33" s="57" t="s">
        <v>904</v>
      </c>
      <c r="D33" s="41" t="s">
        <v>904</v>
      </c>
      <c r="E33" s="60"/>
      <c r="F33" s="60"/>
      <c r="G33" s="60"/>
      <c r="H33" s="60"/>
      <c r="I33" s="60"/>
      <c r="J33" s="60"/>
      <c r="K33" s="60"/>
      <c r="L33" s="60"/>
      <c r="M33" s="60"/>
      <c r="N33" s="60"/>
      <c r="O33" s="71"/>
      <c r="P33" s="44"/>
    </row>
    <row r="34" spans="3:16" ht="20.100000000000001" customHeight="1" x14ac:dyDescent="0.25">
      <c r="C34" s="57" t="s">
        <v>904</v>
      </c>
      <c r="D34" s="41" t="s">
        <v>904</v>
      </c>
      <c r="E34" s="60"/>
      <c r="F34" s="60"/>
      <c r="G34" s="60"/>
      <c r="H34" s="60"/>
      <c r="I34" s="60"/>
      <c r="J34" s="60"/>
      <c r="K34" s="60"/>
      <c r="L34" s="60"/>
      <c r="M34" s="60"/>
      <c r="N34" s="60"/>
      <c r="O34" s="71"/>
      <c r="P34" s="44"/>
    </row>
    <row r="35" spans="3:16" ht="20.100000000000001" customHeight="1" x14ac:dyDescent="0.25">
      <c r="C35" s="57" t="s">
        <v>904</v>
      </c>
      <c r="D35" s="41" t="s">
        <v>904</v>
      </c>
      <c r="E35" s="60"/>
      <c r="F35" s="60"/>
      <c r="G35" s="60"/>
      <c r="H35" s="60"/>
      <c r="I35" s="60"/>
      <c r="J35" s="60"/>
      <c r="K35" s="60"/>
      <c r="L35" s="60"/>
      <c r="M35" s="60"/>
      <c r="N35" s="60"/>
      <c r="O35" s="71"/>
      <c r="P35" s="44"/>
    </row>
    <row r="36" spans="3:16" ht="20.100000000000001" customHeight="1" x14ac:dyDescent="0.25">
      <c r="C36" s="57" t="s">
        <v>904</v>
      </c>
      <c r="D36" s="41" t="s">
        <v>904</v>
      </c>
      <c r="E36" s="60"/>
      <c r="F36" s="60"/>
      <c r="G36" s="60"/>
      <c r="H36" s="60"/>
      <c r="I36" s="60"/>
      <c r="J36" s="60"/>
      <c r="K36" s="60"/>
      <c r="L36" s="60"/>
      <c r="M36" s="60"/>
      <c r="N36" s="60"/>
      <c r="O36" s="71"/>
      <c r="P36" s="44"/>
    </row>
    <row r="37" spans="3:16" ht="20.100000000000001" customHeight="1" x14ac:dyDescent="0.25">
      <c r="C37" s="57" t="s">
        <v>904</v>
      </c>
      <c r="D37" s="41" t="s">
        <v>904</v>
      </c>
      <c r="E37" s="60"/>
      <c r="F37" s="60"/>
      <c r="G37" s="60"/>
      <c r="H37" s="60"/>
      <c r="I37" s="60"/>
      <c r="J37" s="60"/>
      <c r="K37" s="60"/>
      <c r="L37" s="60"/>
      <c r="M37" s="60"/>
      <c r="N37" s="60"/>
      <c r="O37" s="71"/>
      <c r="P37" s="44"/>
    </row>
    <row r="38" spans="3:16" ht="20.100000000000001" customHeight="1" x14ac:dyDescent="0.25">
      <c r="C38" s="57" t="s">
        <v>904</v>
      </c>
      <c r="D38" s="41" t="s">
        <v>904</v>
      </c>
      <c r="E38" s="60"/>
      <c r="F38" s="60"/>
      <c r="G38" s="60"/>
      <c r="H38" s="60"/>
      <c r="I38" s="60"/>
      <c r="J38" s="60"/>
      <c r="K38" s="60"/>
      <c r="L38" s="60"/>
      <c r="M38" s="60"/>
      <c r="N38" s="60"/>
      <c r="O38" s="71"/>
      <c r="P38" s="44"/>
    </row>
    <row r="39" spans="3:16" ht="20.100000000000001" customHeight="1" x14ac:dyDescent="0.25">
      <c r="C39" s="57" t="s">
        <v>904</v>
      </c>
      <c r="D39" s="41" t="s">
        <v>904</v>
      </c>
      <c r="E39" s="60"/>
      <c r="F39" s="60"/>
      <c r="G39" s="60"/>
      <c r="H39" s="60"/>
      <c r="I39" s="60"/>
      <c r="J39" s="60"/>
      <c r="K39" s="60"/>
      <c r="L39" s="60"/>
      <c r="M39" s="60"/>
      <c r="N39" s="60"/>
      <c r="O39" s="71"/>
      <c r="P39" s="44"/>
    </row>
    <row r="40" spans="3:16" ht="20.100000000000001" customHeight="1" x14ac:dyDescent="0.25">
      <c r="C40" s="57" t="s">
        <v>904</v>
      </c>
      <c r="D40" s="41" t="s">
        <v>904</v>
      </c>
      <c r="E40" s="60"/>
      <c r="F40" s="60"/>
      <c r="G40" s="60"/>
      <c r="H40" s="60"/>
      <c r="I40" s="60"/>
      <c r="J40" s="60"/>
      <c r="K40" s="60"/>
      <c r="L40" s="60"/>
      <c r="M40" s="60"/>
      <c r="N40" s="60"/>
      <c r="O40" s="71"/>
      <c r="P40" s="44"/>
    </row>
    <row r="41" spans="3:16" ht="20.100000000000001" customHeight="1" x14ac:dyDescent="0.25">
      <c r="C41" s="57" t="s">
        <v>904</v>
      </c>
      <c r="D41" s="41" t="s">
        <v>904</v>
      </c>
      <c r="E41" s="60"/>
      <c r="F41" s="60"/>
      <c r="G41" s="60"/>
      <c r="H41" s="60"/>
      <c r="I41" s="60"/>
      <c r="J41" s="60"/>
      <c r="K41" s="60"/>
      <c r="L41" s="60"/>
      <c r="M41" s="60"/>
      <c r="N41" s="60"/>
      <c r="O41" s="71"/>
      <c r="P41" s="44"/>
    </row>
    <row r="42" spans="3:16" ht="20.100000000000001" customHeight="1" x14ac:dyDescent="0.25">
      <c r="C42" s="57" t="s">
        <v>904</v>
      </c>
      <c r="D42" s="41" t="s">
        <v>904</v>
      </c>
      <c r="E42" s="60"/>
      <c r="F42" s="60"/>
      <c r="G42" s="60"/>
      <c r="H42" s="60"/>
      <c r="I42" s="60"/>
      <c r="J42" s="60"/>
      <c r="K42" s="60"/>
      <c r="L42" s="60"/>
      <c r="M42" s="60"/>
      <c r="N42" s="60"/>
      <c r="O42" s="71"/>
      <c r="P42" s="44"/>
    </row>
    <row r="43" spans="3:16" ht="20.100000000000001" customHeight="1" x14ac:dyDescent="0.25">
      <c r="C43" s="57" t="s">
        <v>904</v>
      </c>
      <c r="D43" s="41" t="s">
        <v>904</v>
      </c>
      <c r="E43" s="60"/>
      <c r="F43" s="60"/>
      <c r="G43" s="60"/>
      <c r="H43" s="60"/>
      <c r="I43" s="60"/>
      <c r="J43" s="60"/>
      <c r="K43" s="60"/>
      <c r="L43" s="60"/>
      <c r="M43" s="60"/>
      <c r="N43" s="60"/>
      <c r="O43" s="71"/>
      <c r="P43" s="44"/>
    </row>
    <row r="44" spans="3:16" ht="20.100000000000001" customHeight="1" x14ac:dyDescent="0.25">
      <c r="C44" s="57" t="s">
        <v>904</v>
      </c>
      <c r="D44" s="41" t="s">
        <v>904</v>
      </c>
      <c r="E44" s="60"/>
      <c r="F44" s="60"/>
      <c r="G44" s="60"/>
      <c r="H44" s="60"/>
      <c r="I44" s="60"/>
      <c r="J44" s="60"/>
      <c r="K44" s="60"/>
      <c r="L44" s="60"/>
      <c r="M44" s="60"/>
      <c r="N44" s="60"/>
      <c r="O44" s="71"/>
      <c r="P44" s="44"/>
    </row>
    <row r="45" spans="3:16" ht="20.100000000000001" customHeight="1" x14ac:dyDescent="0.25">
      <c r="C45" s="57" t="s">
        <v>904</v>
      </c>
      <c r="D45" s="41" t="s">
        <v>904</v>
      </c>
      <c r="E45" s="60"/>
      <c r="F45" s="60"/>
      <c r="G45" s="60"/>
      <c r="H45" s="60"/>
      <c r="I45" s="60"/>
      <c r="J45" s="60"/>
      <c r="K45" s="60"/>
      <c r="L45" s="60"/>
      <c r="M45" s="60"/>
      <c r="N45" s="60"/>
      <c r="O45" s="71"/>
      <c r="P45" s="44"/>
    </row>
    <row r="46" spans="3:16" ht="20.100000000000001" customHeight="1" x14ac:dyDescent="0.25">
      <c r="C46" s="57" t="s">
        <v>904</v>
      </c>
      <c r="D46" s="41" t="s">
        <v>904</v>
      </c>
      <c r="E46" s="60"/>
      <c r="F46" s="60"/>
      <c r="G46" s="60"/>
      <c r="H46" s="60"/>
      <c r="I46" s="60"/>
      <c r="J46" s="60"/>
      <c r="K46" s="60"/>
      <c r="L46" s="60"/>
      <c r="M46" s="60"/>
      <c r="N46" s="60"/>
      <c r="O46" s="71"/>
      <c r="P46" s="44"/>
    </row>
    <row r="47" spans="3:16" ht="20.100000000000001" customHeight="1" x14ac:dyDescent="0.25">
      <c r="C47" s="57" t="s">
        <v>904</v>
      </c>
      <c r="D47" s="41" t="s">
        <v>904</v>
      </c>
      <c r="E47" s="60"/>
      <c r="F47" s="60"/>
      <c r="G47" s="60"/>
      <c r="H47" s="60"/>
      <c r="I47" s="60"/>
      <c r="J47" s="60"/>
      <c r="K47" s="60"/>
      <c r="L47" s="60"/>
      <c r="M47" s="60"/>
      <c r="N47" s="60"/>
      <c r="O47" s="71"/>
      <c r="P47" s="44"/>
    </row>
    <row r="48" spans="3:16" ht="20.100000000000001" customHeight="1" x14ac:dyDescent="0.25">
      <c r="C48" s="57" t="s">
        <v>904</v>
      </c>
      <c r="D48" s="41" t="s">
        <v>904</v>
      </c>
      <c r="E48" s="60"/>
      <c r="F48" s="60"/>
      <c r="G48" s="60"/>
      <c r="H48" s="60"/>
      <c r="I48" s="60"/>
      <c r="J48" s="60"/>
      <c r="K48" s="60"/>
      <c r="L48" s="60"/>
      <c r="M48" s="60"/>
      <c r="N48" s="60"/>
      <c r="O48" s="71"/>
      <c r="P48" s="44"/>
    </row>
    <row r="49" spans="3:16" ht="20.100000000000001" customHeight="1" x14ac:dyDescent="0.25">
      <c r="C49" s="57" t="s">
        <v>904</v>
      </c>
      <c r="D49" s="41" t="s">
        <v>904</v>
      </c>
      <c r="E49" s="60"/>
      <c r="F49" s="60"/>
      <c r="G49" s="60"/>
      <c r="H49" s="60"/>
      <c r="I49" s="60"/>
      <c r="J49" s="60"/>
      <c r="K49" s="60"/>
      <c r="L49" s="60"/>
      <c r="M49" s="60"/>
      <c r="N49" s="60"/>
      <c r="O49" s="71"/>
      <c r="P49" s="44"/>
    </row>
    <row r="50" spans="3:16" ht="20.100000000000001" customHeight="1" x14ac:dyDescent="0.25">
      <c r="C50" s="57" t="s">
        <v>904</v>
      </c>
      <c r="D50" s="41" t="s">
        <v>904</v>
      </c>
      <c r="E50" s="60"/>
      <c r="F50" s="60"/>
      <c r="G50" s="60"/>
      <c r="H50" s="60"/>
      <c r="I50" s="60"/>
      <c r="J50" s="60"/>
      <c r="K50" s="60"/>
      <c r="L50" s="60"/>
      <c r="M50" s="60"/>
      <c r="N50" s="60"/>
      <c r="O50" s="71"/>
      <c r="P50" s="44"/>
    </row>
    <row r="51" spans="3:16" ht="20.100000000000001" customHeight="1" x14ac:dyDescent="0.25">
      <c r="C51" s="57" t="s">
        <v>904</v>
      </c>
      <c r="D51" s="41" t="s">
        <v>904</v>
      </c>
      <c r="E51" s="60"/>
      <c r="F51" s="60"/>
      <c r="G51" s="60"/>
      <c r="H51" s="60"/>
      <c r="I51" s="60"/>
      <c r="J51" s="60"/>
      <c r="K51" s="60"/>
      <c r="L51" s="60"/>
      <c r="M51" s="60"/>
      <c r="N51" s="60"/>
      <c r="O51" s="71"/>
      <c r="P51" s="44"/>
    </row>
    <row r="52" spans="3:16" ht="20.100000000000001" customHeight="1" x14ac:dyDescent="0.25">
      <c r="C52" s="57" t="s">
        <v>904</v>
      </c>
      <c r="D52" s="41" t="s">
        <v>904</v>
      </c>
      <c r="E52" s="60"/>
      <c r="F52" s="60"/>
      <c r="G52" s="60"/>
      <c r="H52" s="60"/>
      <c r="I52" s="60"/>
      <c r="J52" s="60"/>
      <c r="K52" s="60"/>
      <c r="L52" s="60"/>
      <c r="M52" s="60"/>
      <c r="N52" s="60"/>
      <c r="O52" s="71"/>
      <c r="P52" s="44"/>
    </row>
    <row r="53" spans="3:16" ht="20.100000000000001" customHeight="1" x14ac:dyDescent="0.25">
      <c r="C53" s="57" t="s">
        <v>904</v>
      </c>
      <c r="D53" s="41" t="s">
        <v>904</v>
      </c>
      <c r="E53" s="60"/>
      <c r="F53" s="60"/>
      <c r="G53" s="60"/>
      <c r="H53" s="60"/>
      <c r="I53" s="60"/>
      <c r="J53" s="60"/>
      <c r="K53" s="60"/>
      <c r="L53" s="60"/>
      <c r="M53" s="60"/>
      <c r="N53" s="60"/>
      <c r="O53" s="71"/>
      <c r="P53" s="44"/>
    </row>
    <row r="54" spans="3:16" ht="20.100000000000001" customHeight="1" x14ac:dyDescent="0.25">
      <c r="C54" s="57" t="s">
        <v>904</v>
      </c>
      <c r="D54" s="41" t="s">
        <v>904</v>
      </c>
      <c r="E54" s="60"/>
      <c r="F54" s="60"/>
      <c r="G54" s="60"/>
      <c r="H54" s="60"/>
      <c r="I54" s="60"/>
      <c r="J54" s="60"/>
      <c r="K54" s="60"/>
      <c r="L54" s="60"/>
      <c r="M54" s="60"/>
      <c r="N54" s="60"/>
      <c r="O54" s="71"/>
      <c r="P54" s="44"/>
    </row>
    <row r="55" spans="3:16" ht="20.100000000000001" customHeight="1" x14ac:dyDescent="0.25">
      <c r="C55" s="57" t="s">
        <v>904</v>
      </c>
      <c r="D55" s="41" t="s">
        <v>904</v>
      </c>
      <c r="E55" s="60"/>
      <c r="F55" s="60"/>
      <c r="G55" s="60"/>
      <c r="H55" s="60"/>
      <c r="I55" s="60"/>
      <c r="J55" s="60"/>
      <c r="K55" s="60"/>
      <c r="L55" s="60"/>
      <c r="M55" s="60"/>
      <c r="N55" s="60"/>
      <c r="O55" s="71"/>
      <c r="P55" s="44"/>
    </row>
    <row r="56" spans="3:16" ht="20.100000000000001" customHeight="1" x14ac:dyDescent="0.25">
      <c r="C56" s="57" t="s">
        <v>904</v>
      </c>
      <c r="D56" s="41" t="s">
        <v>904</v>
      </c>
      <c r="E56" s="60"/>
      <c r="F56" s="60"/>
      <c r="G56" s="60"/>
      <c r="H56" s="60"/>
      <c r="I56" s="60"/>
      <c r="J56" s="60"/>
      <c r="K56" s="60"/>
      <c r="L56" s="60"/>
      <c r="M56" s="60"/>
      <c r="N56" s="60"/>
      <c r="O56" s="71"/>
      <c r="P56" s="44"/>
    </row>
    <row r="57" spans="3:16" ht="20.100000000000001" customHeight="1" x14ac:dyDescent="0.25">
      <c r="C57" s="57" t="s">
        <v>904</v>
      </c>
      <c r="D57" s="41" t="s">
        <v>904</v>
      </c>
      <c r="E57" s="60"/>
      <c r="F57" s="60"/>
      <c r="G57" s="60"/>
      <c r="H57" s="60"/>
      <c r="I57" s="60"/>
      <c r="J57" s="60"/>
      <c r="K57" s="60"/>
      <c r="L57" s="60"/>
      <c r="M57" s="60"/>
      <c r="N57" s="60"/>
      <c r="O57" s="71"/>
      <c r="P57" s="44"/>
    </row>
    <row r="58" spans="3:16" ht="20.100000000000001" customHeight="1" x14ac:dyDescent="0.25">
      <c r="C58" s="57" t="s">
        <v>904</v>
      </c>
      <c r="D58" s="41" t="s">
        <v>904</v>
      </c>
      <c r="E58" s="60"/>
      <c r="F58" s="60"/>
      <c r="G58" s="60"/>
      <c r="H58" s="60"/>
      <c r="I58" s="60"/>
      <c r="J58" s="60"/>
      <c r="K58" s="60"/>
      <c r="L58" s="60"/>
      <c r="M58" s="60"/>
      <c r="N58" s="60"/>
      <c r="O58" s="71"/>
      <c r="P58" s="44"/>
    </row>
    <row r="59" spans="3:16" ht="20.100000000000001" customHeight="1" x14ac:dyDescent="0.25">
      <c r="C59" s="57"/>
      <c r="D59" s="41"/>
      <c r="E59" s="60"/>
      <c r="F59" s="60"/>
      <c r="G59" s="60"/>
      <c r="H59" s="60"/>
      <c r="I59" s="60"/>
      <c r="J59" s="60"/>
      <c r="K59" s="60"/>
      <c r="L59" s="60"/>
      <c r="M59" s="60"/>
      <c r="N59" s="60"/>
      <c r="O59" s="71"/>
      <c r="P59" s="44"/>
    </row>
    <row r="60" spans="3:16" ht="20.100000000000001" customHeight="1" x14ac:dyDescent="0.25">
      <c r="C60" s="57"/>
      <c r="D60" s="41"/>
      <c r="E60" s="60"/>
      <c r="F60" s="60"/>
      <c r="G60" s="60"/>
      <c r="H60" s="60"/>
      <c r="I60" s="60"/>
      <c r="J60" s="60"/>
      <c r="K60" s="60"/>
      <c r="L60" s="60"/>
      <c r="M60" s="60"/>
      <c r="N60" s="60"/>
      <c r="O60" s="71"/>
      <c r="P60" s="44"/>
    </row>
    <row r="61" spans="3:16" ht="20.100000000000001" customHeight="1" x14ac:dyDescent="0.25">
      <c r="C61" s="57"/>
      <c r="D61" s="41"/>
      <c r="E61" s="60"/>
      <c r="F61" s="60"/>
      <c r="G61" s="60"/>
      <c r="H61" s="60"/>
      <c r="I61" s="60"/>
      <c r="J61" s="60"/>
      <c r="K61" s="60"/>
      <c r="L61" s="60"/>
      <c r="M61" s="60"/>
      <c r="N61" s="60"/>
      <c r="O61" s="71"/>
      <c r="P61" s="44"/>
    </row>
    <row r="62" spans="3:16" ht="20.100000000000001" customHeight="1" x14ac:dyDescent="0.25">
      <c r="C62" s="57"/>
      <c r="D62" s="41"/>
      <c r="E62" s="60"/>
      <c r="F62" s="60"/>
      <c r="G62" s="60"/>
      <c r="H62" s="60"/>
      <c r="I62" s="60"/>
      <c r="J62" s="60"/>
      <c r="K62" s="60"/>
      <c r="L62" s="60"/>
      <c r="M62" s="60"/>
      <c r="N62" s="60"/>
      <c r="O62" s="71"/>
      <c r="P62" s="44"/>
    </row>
    <row r="63" spans="3:16" ht="20.100000000000001" customHeight="1" x14ac:dyDescent="0.25">
      <c r="C63" s="57"/>
      <c r="D63" s="41"/>
      <c r="E63" s="60"/>
      <c r="F63" s="60"/>
      <c r="G63" s="60"/>
      <c r="H63" s="60"/>
      <c r="I63" s="60"/>
      <c r="J63" s="60"/>
      <c r="K63" s="60"/>
      <c r="L63" s="60"/>
      <c r="M63" s="60"/>
      <c r="N63" s="60"/>
      <c r="O63" s="71"/>
      <c r="P63" s="44"/>
    </row>
    <row r="64" spans="3:16" ht="20.100000000000001" customHeight="1" x14ac:dyDescent="0.25">
      <c r="C64" s="57"/>
      <c r="D64" s="41"/>
      <c r="E64" s="60"/>
      <c r="F64" s="60"/>
      <c r="G64" s="60"/>
      <c r="H64" s="60"/>
      <c r="I64" s="60"/>
      <c r="J64" s="60"/>
      <c r="K64" s="60"/>
      <c r="L64" s="60"/>
      <c r="M64" s="60"/>
      <c r="N64" s="60"/>
      <c r="O64" s="71"/>
      <c r="P64" s="44"/>
    </row>
    <row r="65" spans="3:16" ht="20.100000000000001" customHeight="1" x14ac:dyDescent="0.25">
      <c r="C65" s="57"/>
      <c r="D65" s="41"/>
      <c r="E65" s="60"/>
      <c r="F65" s="60"/>
      <c r="G65" s="60"/>
      <c r="H65" s="60"/>
      <c r="I65" s="60"/>
      <c r="J65" s="60"/>
      <c r="K65" s="60"/>
      <c r="L65" s="60"/>
      <c r="M65" s="60"/>
      <c r="N65" s="60"/>
      <c r="O65" s="71"/>
      <c r="P65" s="44"/>
    </row>
    <row r="66" spans="3:16" ht="20.100000000000001" customHeight="1" x14ac:dyDescent="0.25">
      <c r="C66" s="57"/>
      <c r="D66" s="41"/>
      <c r="E66" s="60"/>
      <c r="F66" s="60"/>
      <c r="G66" s="60"/>
      <c r="H66" s="60"/>
      <c r="I66" s="60"/>
      <c r="J66" s="60"/>
      <c r="K66" s="60"/>
      <c r="L66" s="60"/>
      <c r="M66" s="60"/>
      <c r="N66" s="60"/>
      <c r="O66" s="71"/>
      <c r="P66" s="44"/>
    </row>
    <row r="67" spans="3:16" ht="20.100000000000001" customHeight="1" x14ac:dyDescent="0.25">
      <c r="C67" s="57"/>
      <c r="D67" s="41"/>
      <c r="E67" s="60"/>
      <c r="F67" s="60"/>
      <c r="G67" s="60"/>
      <c r="H67" s="60"/>
      <c r="I67" s="60"/>
      <c r="J67" s="60"/>
      <c r="K67" s="60"/>
      <c r="L67" s="60"/>
      <c r="M67" s="60"/>
      <c r="N67" s="60"/>
      <c r="O67" s="71"/>
      <c r="P67" s="44"/>
    </row>
    <row r="68" spans="3:16" ht="20.100000000000001" customHeight="1" x14ac:dyDescent="0.25">
      <c r="C68" s="57"/>
      <c r="D68" s="41"/>
      <c r="E68" s="60"/>
      <c r="F68" s="60"/>
      <c r="G68" s="60"/>
      <c r="H68" s="60"/>
      <c r="I68" s="60"/>
      <c r="J68" s="60"/>
      <c r="K68" s="60"/>
      <c r="L68" s="60"/>
      <c r="M68" s="60"/>
      <c r="N68" s="60"/>
      <c r="O68" s="71"/>
      <c r="P68" s="44"/>
    </row>
    <row r="69" spans="3:16" ht="20.100000000000001" customHeight="1" x14ac:dyDescent="0.25">
      <c r="C69" s="57"/>
      <c r="D69" s="41"/>
      <c r="E69" s="60"/>
      <c r="F69" s="60"/>
      <c r="G69" s="60"/>
      <c r="H69" s="60"/>
      <c r="I69" s="60"/>
      <c r="J69" s="60"/>
      <c r="K69" s="60"/>
      <c r="L69" s="60"/>
      <c r="M69" s="60"/>
      <c r="N69" s="60"/>
      <c r="O69" s="71"/>
      <c r="P69" s="44"/>
    </row>
    <row r="70" spans="3:16" ht="20.100000000000001" customHeight="1" x14ac:dyDescent="0.25">
      <c r="C70" s="57"/>
      <c r="D70" s="41"/>
      <c r="E70" s="60"/>
      <c r="F70" s="60"/>
      <c r="G70" s="60"/>
      <c r="H70" s="60"/>
      <c r="I70" s="60"/>
      <c r="J70" s="60"/>
      <c r="K70" s="60"/>
      <c r="L70" s="60"/>
      <c r="M70" s="60"/>
      <c r="N70" s="60"/>
      <c r="O70" s="71"/>
      <c r="P70" s="44"/>
    </row>
    <row r="71" spans="3:16" ht="20.100000000000001" customHeight="1" x14ac:dyDescent="0.25">
      <c r="C71" s="57"/>
      <c r="D71" s="41"/>
      <c r="E71" s="60"/>
      <c r="F71" s="60"/>
      <c r="G71" s="60"/>
      <c r="H71" s="60"/>
      <c r="I71" s="60"/>
      <c r="J71" s="60"/>
      <c r="K71" s="60"/>
      <c r="L71" s="60"/>
      <c r="M71" s="60"/>
      <c r="N71" s="60"/>
      <c r="O71" s="71"/>
      <c r="P71" s="44"/>
    </row>
    <row r="72" spans="3:16" ht="20.100000000000001" customHeight="1" x14ac:dyDescent="0.25">
      <c r="C72" s="57"/>
      <c r="D72" s="41"/>
      <c r="E72" s="60"/>
      <c r="F72" s="60"/>
      <c r="G72" s="60"/>
      <c r="H72" s="60"/>
      <c r="I72" s="60"/>
      <c r="J72" s="60"/>
      <c r="K72" s="60"/>
      <c r="L72" s="60"/>
      <c r="M72" s="60"/>
      <c r="N72" s="60"/>
      <c r="O72" s="71"/>
      <c r="P72" s="44"/>
    </row>
    <row r="73" spans="3:16" ht="20.100000000000001" customHeight="1" x14ac:dyDescent="0.25">
      <c r="C73" s="57"/>
      <c r="D73" s="41"/>
      <c r="E73" s="60"/>
      <c r="F73" s="60"/>
      <c r="G73" s="60"/>
      <c r="H73" s="60"/>
      <c r="I73" s="60"/>
      <c r="J73" s="60"/>
      <c r="K73" s="60"/>
      <c r="L73" s="60"/>
      <c r="M73" s="60"/>
      <c r="N73" s="60"/>
      <c r="O73" s="71"/>
      <c r="P73" s="44"/>
    </row>
    <row r="74" spans="3:16" ht="20.100000000000001" customHeight="1" x14ac:dyDescent="0.25">
      <c r="C74" s="57"/>
      <c r="D74" s="41"/>
      <c r="E74" s="60"/>
      <c r="F74" s="60"/>
      <c r="G74" s="60"/>
      <c r="H74" s="60"/>
      <c r="I74" s="60"/>
      <c r="J74" s="60"/>
      <c r="K74" s="60"/>
      <c r="L74" s="60"/>
      <c r="M74" s="60"/>
      <c r="N74" s="60"/>
      <c r="O74" s="71"/>
      <c r="P74" s="44"/>
    </row>
    <row r="75" spans="3:16" ht="20.100000000000001" customHeight="1" x14ac:dyDescent="0.25">
      <c r="C75" s="57"/>
      <c r="D75" s="41"/>
      <c r="E75" s="60"/>
      <c r="F75" s="60"/>
      <c r="G75" s="60"/>
      <c r="H75" s="60"/>
      <c r="I75" s="60"/>
      <c r="J75" s="60"/>
      <c r="K75" s="60"/>
      <c r="L75" s="60"/>
      <c r="M75" s="60"/>
      <c r="N75" s="60"/>
      <c r="O75" s="71"/>
      <c r="P75" s="44"/>
    </row>
    <row r="76" spans="3:16" ht="20.100000000000001" customHeight="1" x14ac:dyDescent="0.25">
      <c r="C76" s="57"/>
      <c r="D76" s="41"/>
      <c r="E76" s="60"/>
      <c r="F76" s="60"/>
      <c r="G76" s="60"/>
      <c r="H76" s="60"/>
      <c r="I76" s="60"/>
      <c r="J76" s="60"/>
      <c r="K76" s="60"/>
      <c r="L76" s="60"/>
      <c r="M76" s="60"/>
      <c r="N76" s="60"/>
      <c r="O76" s="71"/>
      <c r="P76" s="44"/>
    </row>
    <row r="77" spans="3:16" ht="20.100000000000001" customHeight="1" x14ac:dyDescent="0.25">
      <c r="C77" s="57"/>
      <c r="D77" s="41"/>
      <c r="E77" s="60"/>
      <c r="F77" s="60"/>
      <c r="G77" s="60"/>
      <c r="H77" s="60"/>
      <c r="I77" s="60"/>
      <c r="J77" s="60"/>
      <c r="K77" s="60"/>
      <c r="L77" s="60"/>
      <c r="M77" s="60"/>
      <c r="N77" s="60"/>
      <c r="O77" s="71"/>
      <c r="P77" s="44"/>
    </row>
    <row r="78" spans="3:16" ht="20.100000000000001" customHeight="1" x14ac:dyDescent="0.25">
      <c r="C78" s="57"/>
      <c r="D78" s="41"/>
      <c r="E78" s="60"/>
      <c r="F78" s="60"/>
      <c r="G78" s="60"/>
      <c r="H78" s="60"/>
      <c r="I78" s="60"/>
      <c r="J78" s="60"/>
      <c r="K78" s="60"/>
      <c r="L78" s="60"/>
      <c r="M78" s="60"/>
      <c r="N78" s="60"/>
      <c r="O78" s="71"/>
      <c r="P78" s="44"/>
    </row>
    <row r="79" spans="3:16" ht="20.100000000000001" customHeight="1" x14ac:dyDescent="0.25">
      <c r="C79" s="57"/>
      <c r="D79" s="41"/>
      <c r="E79" s="60"/>
      <c r="F79" s="60"/>
      <c r="G79" s="60"/>
      <c r="H79" s="60"/>
      <c r="I79" s="60"/>
      <c r="J79" s="60"/>
      <c r="K79" s="60"/>
      <c r="L79" s="60"/>
      <c r="M79" s="60"/>
      <c r="N79" s="60"/>
      <c r="O79" s="71"/>
      <c r="P79" s="44"/>
    </row>
    <row r="80" spans="3:16" ht="20.100000000000001" customHeight="1" x14ac:dyDescent="0.25">
      <c r="C80" s="57"/>
      <c r="D80" s="41"/>
      <c r="E80" s="60"/>
      <c r="F80" s="60"/>
      <c r="G80" s="60"/>
      <c r="H80" s="60"/>
      <c r="I80" s="60"/>
      <c r="J80" s="60"/>
      <c r="K80" s="60"/>
      <c r="L80" s="60"/>
      <c r="M80" s="60"/>
      <c r="N80" s="60"/>
      <c r="O80" s="71"/>
      <c r="P80" s="44"/>
    </row>
    <row r="81" spans="3:16" ht="20.100000000000001" customHeight="1" x14ac:dyDescent="0.25">
      <c r="C81" s="57"/>
      <c r="D81" s="41"/>
      <c r="E81" s="60"/>
      <c r="F81" s="60"/>
      <c r="G81" s="60"/>
      <c r="H81" s="60"/>
      <c r="I81" s="60"/>
      <c r="J81" s="60"/>
      <c r="K81" s="60"/>
      <c r="L81" s="60"/>
      <c r="M81" s="60"/>
      <c r="N81" s="60"/>
      <c r="O81" s="71"/>
      <c r="P81" s="44"/>
    </row>
    <row r="82" spans="3:16" ht="20.100000000000001" customHeight="1" x14ac:dyDescent="0.25">
      <c r="C82" s="57"/>
      <c r="D82" s="41"/>
      <c r="E82" s="60"/>
      <c r="F82" s="60"/>
      <c r="G82" s="60"/>
      <c r="H82" s="60"/>
      <c r="I82" s="60"/>
      <c r="J82" s="60"/>
      <c r="K82" s="60"/>
      <c r="L82" s="60"/>
      <c r="M82" s="60"/>
      <c r="N82" s="60"/>
      <c r="O82" s="71"/>
      <c r="P82" s="44"/>
    </row>
    <row r="83" spans="3:16" ht="20.100000000000001" customHeight="1" x14ac:dyDescent="0.25">
      <c r="C83" s="57"/>
      <c r="D83" s="41"/>
      <c r="E83" s="60"/>
      <c r="F83" s="60"/>
      <c r="G83" s="60"/>
      <c r="H83" s="60"/>
      <c r="I83" s="60"/>
      <c r="J83" s="60"/>
      <c r="K83" s="60"/>
      <c r="L83" s="60"/>
      <c r="M83" s="60"/>
      <c r="N83" s="60"/>
      <c r="O83" s="71"/>
      <c r="P83" s="44"/>
    </row>
    <row r="84" spans="3:16" ht="20.100000000000001" customHeight="1" x14ac:dyDescent="0.25">
      <c r="C84" s="57"/>
      <c r="D84" s="41"/>
      <c r="E84" s="60"/>
      <c r="F84" s="60"/>
      <c r="G84" s="60"/>
      <c r="H84" s="60"/>
      <c r="I84" s="60"/>
      <c r="J84" s="60"/>
      <c r="K84" s="60"/>
      <c r="L84" s="60"/>
      <c r="M84" s="60"/>
      <c r="N84" s="60"/>
      <c r="O84" s="71"/>
      <c r="P84" s="44"/>
    </row>
    <row r="85" spans="3:16" ht="20.100000000000001" customHeight="1" x14ac:dyDescent="0.25">
      <c r="C85" s="57"/>
      <c r="D85" s="41"/>
      <c r="E85" s="60"/>
      <c r="F85" s="60"/>
      <c r="G85" s="60"/>
      <c r="H85" s="60"/>
      <c r="I85" s="60"/>
      <c r="J85" s="60"/>
      <c r="K85" s="60"/>
      <c r="L85" s="60"/>
      <c r="M85" s="60"/>
      <c r="N85" s="60"/>
      <c r="O85" s="71"/>
      <c r="P85" s="44"/>
    </row>
    <row r="86" spans="3:16" ht="20.100000000000001" customHeight="1" x14ac:dyDescent="0.25">
      <c r="C86" s="57"/>
      <c r="D86" s="41"/>
      <c r="E86" s="60"/>
      <c r="F86" s="60"/>
      <c r="G86" s="60"/>
      <c r="H86" s="60"/>
      <c r="I86" s="60"/>
      <c r="J86" s="60"/>
      <c r="K86" s="60"/>
      <c r="L86" s="60"/>
      <c r="M86" s="60"/>
      <c r="N86" s="60"/>
      <c r="O86" s="71"/>
      <c r="P86" s="44"/>
    </row>
    <row r="87" spans="3:16" ht="20.100000000000001" customHeight="1" x14ac:dyDescent="0.25">
      <c r="C87" s="57"/>
      <c r="D87" s="41"/>
      <c r="E87" s="60"/>
      <c r="F87" s="60"/>
      <c r="G87" s="60"/>
      <c r="H87" s="60"/>
      <c r="I87" s="60"/>
      <c r="J87" s="60"/>
      <c r="K87" s="60"/>
      <c r="L87" s="60"/>
      <c r="M87" s="60"/>
      <c r="N87" s="60"/>
      <c r="O87" s="71"/>
      <c r="P87" s="44"/>
    </row>
    <row r="88" spans="3:16" ht="20.100000000000001" customHeight="1" x14ac:dyDescent="0.25">
      <c r="C88" s="57"/>
      <c r="D88" s="41"/>
      <c r="E88" s="60"/>
      <c r="F88" s="60"/>
      <c r="G88" s="60"/>
      <c r="H88" s="60"/>
      <c r="I88" s="60"/>
      <c r="J88" s="60"/>
      <c r="K88" s="60"/>
      <c r="L88" s="60"/>
      <c r="M88" s="60"/>
      <c r="N88" s="60"/>
      <c r="O88" s="71"/>
      <c r="P88" s="44"/>
    </row>
    <row r="89" spans="3:16" ht="20.100000000000001" customHeight="1" x14ac:dyDescent="0.25">
      <c r="C89" s="57"/>
      <c r="D89" s="41"/>
      <c r="E89" s="60"/>
      <c r="F89" s="60"/>
      <c r="G89" s="60"/>
      <c r="H89" s="60"/>
      <c r="I89" s="60"/>
      <c r="J89" s="60"/>
      <c r="K89" s="60"/>
      <c r="L89" s="60"/>
      <c r="M89" s="60"/>
      <c r="N89" s="60"/>
      <c r="O89" s="71"/>
      <c r="P89" s="44"/>
    </row>
    <row r="90" spans="3:16" ht="20.100000000000001" customHeight="1" x14ac:dyDescent="0.25">
      <c r="C90" s="57"/>
      <c r="D90" s="41"/>
      <c r="E90" s="60"/>
      <c r="F90" s="60"/>
      <c r="G90" s="60"/>
      <c r="H90" s="60"/>
      <c r="I90" s="60"/>
      <c r="J90" s="60"/>
      <c r="K90" s="60"/>
      <c r="L90" s="60"/>
      <c r="M90" s="60"/>
      <c r="N90" s="60"/>
      <c r="O90" s="71"/>
      <c r="P90" s="44"/>
    </row>
    <row r="91" spans="3:16" ht="20.100000000000001" customHeight="1" x14ac:dyDescent="0.25">
      <c r="C91" s="57"/>
      <c r="D91" s="41"/>
      <c r="E91" s="60"/>
      <c r="F91" s="60"/>
      <c r="G91" s="60"/>
      <c r="H91" s="60"/>
      <c r="I91" s="60"/>
      <c r="J91" s="60"/>
      <c r="K91" s="60"/>
      <c r="L91" s="60"/>
      <c r="M91" s="60"/>
      <c r="N91" s="60"/>
      <c r="O91" s="71"/>
      <c r="P91" s="44"/>
    </row>
    <row r="92" spans="3:16" ht="20.100000000000001" customHeight="1" x14ac:dyDescent="0.25">
      <c r="C92" s="57"/>
      <c r="D92" s="41"/>
      <c r="E92" s="60"/>
      <c r="F92" s="60"/>
      <c r="G92" s="60"/>
      <c r="H92" s="60"/>
      <c r="I92" s="60"/>
      <c r="J92" s="60"/>
      <c r="K92" s="60"/>
      <c r="L92" s="60"/>
      <c r="M92" s="60"/>
      <c r="N92" s="60"/>
      <c r="O92" s="71"/>
      <c r="P92" s="44"/>
    </row>
    <row r="93" spans="3:16" ht="20.100000000000001" customHeight="1" x14ac:dyDescent="0.25">
      <c r="C93" s="57"/>
      <c r="D93" s="41"/>
      <c r="E93" s="60"/>
      <c r="F93" s="60"/>
      <c r="G93" s="60"/>
      <c r="H93" s="60"/>
      <c r="I93" s="60"/>
      <c r="J93" s="60"/>
      <c r="K93" s="60"/>
      <c r="L93" s="60"/>
      <c r="M93" s="60"/>
      <c r="N93" s="60"/>
      <c r="O93" s="71"/>
      <c r="P93" s="44"/>
    </row>
    <row r="94" spans="3:16" ht="20.100000000000001" customHeight="1" x14ac:dyDescent="0.25">
      <c r="C94" s="57"/>
      <c r="D94" s="41"/>
      <c r="E94" s="60"/>
      <c r="F94" s="60"/>
      <c r="G94" s="60"/>
      <c r="H94" s="60"/>
      <c r="I94" s="60"/>
      <c r="J94" s="60"/>
      <c r="K94" s="60"/>
      <c r="L94" s="60"/>
      <c r="M94" s="60"/>
      <c r="N94" s="60"/>
      <c r="O94" s="71"/>
      <c r="P94" s="44"/>
    </row>
    <row r="95" spans="3:16" ht="20.100000000000001" customHeight="1" x14ac:dyDescent="0.25">
      <c r="C95" s="57"/>
      <c r="D95" s="41"/>
      <c r="E95" s="60"/>
      <c r="F95" s="60"/>
      <c r="G95" s="60"/>
      <c r="H95" s="60"/>
      <c r="I95" s="60"/>
      <c r="J95" s="60"/>
      <c r="K95" s="60"/>
      <c r="L95" s="60"/>
      <c r="M95" s="60"/>
      <c r="N95" s="60"/>
      <c r="O95" s="71"/>
      <c r="P95" s="44"/>
    </row>
    <row r="96" spans="3:16" ht="20.100000000000001" customHeight="1" x14ac:dyDescent="0.25">
      <c r="C96" s="57"/>
      <c r="D96" s="41"/>
      <c r="E96" s="60"/>
      <c r="F96" s="60"/>
      <c r="G96" s="60"/>
      <c r="H96" s="60"/>
      <c r="I96" s="60"/>
      <c r="J96" s="60"/>
      <c r="K96" s="60"/>
      <c r="L96" s="60"/>
      <c r="M96" s="60"/>
      <c r="N96" s="60"/>
      <c r="O96" s="71"/>
      <c r="P96" s="44"/>
    </row>
    <row r="97" spans="3:16" ht="20.100000000000001" customHeight="1" x14ac:dyDescent="0.25">
      <c r="C97" s="57"/>
      <c r="D97" s="41"/>
      <c r="E97" s="60"/>
      <c r="F97" s="60"/>
      <c r="G97" s="60"/>
      <c r="H97" s="60"/>
      <c r="I97" s="60"/>
      <c r="J97" s="60"/>
      <c r="K97" s="60"/>
      <c r="L97" s="60"/>
      <c r="M97" s="60"/>
      <c r="N97" s="60"/>
      <c r="O97" s="71"/>
      <c r="P97" s="44"/>
    </row>
    <row r="98" spans="3:16" ht="20.100000000000001" customHeight="1" x14ac:dyDescent="0.25">
      <c r="C98" s="57"/>
      <c r="D98" s="41"/>
      <c r="E98" s="60"/>
      <c r="F98" s="60"/>
      <c r="G98" s="60"/>
      <c r="H98" s="60"/>
      <c r="I98" s="60"/>
      <c r="J98" s="60"/>
      <c r="K98" s="60"/>
      <c r="L98" s="60"/>
      <c r="M98" s="60"/>
      <c r="N98" s="60"/>
      <c r="O98" s="71"/>
      <c r="P98" s="44"/>
    </row>
    <row r="99" spans="3:16" ht="20.100000000000001" customHeight="1" x14ac:dyDescent="0.25">
      <c r="C99" s="57"/>
      <c r="D99" s="41"/>
      <c r="E99" s="60"/>
      <c r="F99" s="60"/>
      <c r="G99" s="60"/>
      <c r="H99" s="60"/>
      <c r="I99" s="60"/>
      <c r="J99" s="60"/>
      <c r="K99" s="60"/>
      <c r="L99" s="60"/>
      <c r="M99" s="60"/>
      <c r="N99" s="60"/>
      <c r="O99" s="71"/>
      <c r="P99" s="44"/>
    </row>
    <row r="100" spans="3:16" ht="20.100000000000001" customHeight="1" x14ac:dyDescent="0.25">
      <c r="C100" s="57"/>
      <c r="D100" s="41"/>
      <c r="E100" s="60"/>
      <c r="F100" s="60"/>
      <c r="G100" s="60"/>
      <c r="H100" s="60"/>
      <c r="I100" s="60"/>
      <c r="J100" s="60"/>
      <c r="K100" s="60"/>
      <c r="L100" s="60"/>
      <c r="M100" s="60"/>
      <c r="N100" s="60"/>
      <c r="O100" s="71"/>
      <c r="P100" s="44"/>
    </row>
    <row r="101" spans="3:16" ht="20.100000000000001" customHeight="1" x14ac:dyDescent="0.25">
      <c r="C101" s="57"/>
      <c r="D101" s="41"/>
      <c r="E101" s="60"/>
      <c r="F101" s="60"/>
      <c r="G101" s="60"/>
      <c r="H101" s="60"/>
      <c r="I101" s="60"/>
      <c r="J101" s="60"/>
      <c r="K101" s="60"/>
      <c r="L101" s="60"/>
      <c r="M101" s="60"/>
      <c r="N101" s="60"/>
      <c r="O101" s="71"/>
      <c r="P101" s="44"/>
    </row>
    <row r="102" spans="3:16" ht="20.100000000000001" customHeight="1" x14ac:dyDescent="0.25">
      <c r="C102" s="57"/>
      <c r="D102" s="41"/>
      <c r="E102" s="60"/>
      <c r="F102" s="60"/>
      <c r="G102" s="60"/>
      <c r="H102" s="60"/>
      <c r="I102" s="60"/>
      <c r="J102" s="60"/>
      <c r="K102" s="60"/>
      <c r="L102" s="60"/>
      <c r="M102" s="60"/>
      <c r="N102" s="60"/>
      <c r="O102" s="71"/>
      <c r="P102" s="44"/>
    </row>
    <row r="103" spans="3:16" ht="20.100000000000001" customHeight="1" x14ac:dyDescent="0.25">
      <c r="C103" s="57"/>
      <c r="D103" s="41"/>
      <c r="E103" s="60"/>
      <c r="F103" s="60"/>
      <c r="G103" s="60"/>
      <c r="H103" s="60"/>
      <c r="I103" s="60"/>
      <c r="J103" s="60"/>
      <c r="K103" s="60"/>
      <c r="L103" s="60"/>
      <c r="M103" s="60"/>
      <c r="N103" s="60"/>
      <c r="O103" s="71"/>
      <c r="P103" s="44"/>
    </row>
    <row r="104" spans="3:16" ht="20.100000000000001" customHeight="1" x14ac:dyDescent="0.25">
      <c r="C104" s="57"/>
      <c r="D104" s="41"/>
      <c r="E104" s="60"/>
      <c r="F104" s="60"/>
      <c r="G104" s="60"/>
      <c r="H104" s="60"/>
      <c r="I104" s="60"/>
      <c r="J104" s="60"/>
      <c r="K104" s="60"/>
      <c r="L104" s="60"/>
      <c r="M104" s="60"/>
      <c r="N104" s="60"/>
      <c r="O104" s="71"/>
      <c r="P104" s="44"/>
    </row>
    <row r="105" spans="3:16" ht="20.100000000000001" customHeight="1" x14ac:dyDescent="0.25">
      <c r="C105" s="57"/>
      <c r="D105" s="41"/>
      <c r="E105" s="60"/>
      <c r="F105" s="60"/>
      <c r="G105" s="60"/>
      <c r="H105" s="60"/>
      <c r="I105" s="60"/>
      <c r="J105" s="60"/>
      <c r="K105" s="60"/>
      <c r="L105" s="60"/>
      <c r="M105" s="60"/>
      <c r="N105" s="60"/>
      <c r="O105" s="71"/>
      <c r="P105" s="44"/>
    </row>
    <row r="106" spans="3:16" ht="20.100000000000001" customHeight="1" x14ac:dyDescent="0.25">
      <c r="C106" s="57"/>
      <c r="D106" s="41"/>
      <c r="E106" s="60"/>
      <c r="F106" s="60"/>
      <c r="G106" s="60"/>
      <c r="H106" s="60"/>
      <c r="I106" s="60"/>
      <c r="J106" s="60"/>
      <c r="K106" s="60"/>
      <c r="L106" s="60"/>
      <c r="M106" s="60"/>
      <c r="N106" s="60"/>
      <c r="O106" s="71"/>
      <c r="P106" s="44"/>
    </row>
    <row r="107" spans="3:16" ht="20.100000000000001" customHeight="1" x14ac:dyDescent="0.25">
      <c r="C107" s="57"/>
      <c r="D107" s="41"/>
      <c r="E107" s="60"/>
      <c r="F107" s="60"/>
      <c r="G107" s="60"/>
      <c r="H107" s="60"/>
      <c r="I107" s="60"/>
      <c r="J107" s="60"/>
      <c r="K107" s="60"/>
      <c r="L107" s="60"/>
      <c r="M107" s="60"/>
      <c r="N107" s="60"/>
      <c r="O107" s="71"/>
      <c r="P107" s="44"/>
    </row>
    <row r="108" spans="3:16" ht="20.100000000000001" customHeight="1" x14ac:dyDescent="0.25">
      <c r="C108" s="57"/>
      <c r="D108" s="41"/>
      <c r="E108" s="60"/>
      <c r="F108" s="60"/>
      <c r="G108" s="60"/>
      <c r="H108" s="60"/>
      <c r="I108" s="60"/>
      <c r="J108" s="60"/>
      <c r="K108" s="60"/>
      <c r="L108" s="60"/>
      <c r="M108" s="60"/>
      <c r="N108" s="60"/>
      <c r="O108" s="71"/>
      <c r="P108" s="44"/>
    </row>
    <row r="109" spans="3:16" ht="20.100000000000001" customHeight="1" x14ac:dyDescent="0.25">
      <c r="C109" s="57"/>
      <c r="D109" s="41"/>
      <c r="E109" s="60"/>
      <c r="F109" s="60"/>
      <c r="G109" s="60"/>
      <c r="H109" s="60"/>
      <c r="I109" s="60"/>
      <c r="J109" s="60"/>
      <c r="K109" s="60"/>
      <c r="L109" s="60"/>
      <c r="M109" s="60"/>
      <c r="N109" s="60"/>
      <c r="O109" s="71"/>
      <c r="P109" s="44"/>
    </row>
    <row r="110" spans="3:16" ht="20.100000000000001" customHeight="1" x14ac:dyDescent="0.25">
      <c r="C110" s="57"/>
      <c r="D110" s="41"/>
      <c r="E110" s="60"/>
      <c r="F110" s="60"/>
      <c r="G110" s="60"/>
      <c r="H110" s="60"/>
      <c r="I110" s="60"/>
      <c r="J110" s="60"/>
      <c r="K110" s="60"/>
      <c r="L110" s="60"/>
      <c r="M110" s="60"/>
      <c r="N110" s="60"/>
      <c r="O110" s="71"/>
      <c r="P110" s="44"/>
    </row>
    <row r="111" spans="3:16" ht="20.100000000000001" customHeight="1" x14ac:dyDescent="0.25">
      <c r="C111" s="57"/>
      <c r="D111" s="41"/>
      <c r="E111" s="60"/>
      <c r="F111" s="60"/>
      <c r="G111" s="60"/>
      <c r="H111" s="60"/>
      <c r="I111" s="60"/>
      <c r="J111" s="60"/>
      <c r="K111" s="60"/>
      <c r="L111" s="60"/>
      <c r="M111" s="60"/>
      <c r="N111" s="60"/>
      <c r="O111" s="71"/>
      <c r="P111" s="44"/>
    </row>
    <row r="112" spans="3:16" ht="20.100000000000001" customHeight="1" x14ac:dyDescent="0.25">
      <c r="C112" s="57"/>
      <c r="D112" s="41"/>
      <c r="E112" s="60"/>
      <c r="F112" s="60"/>
      <c r="G112" s="60"/>
      <c r="H112" s="60"/>
      <c r="I112" s="60"/>
      <c r="J112" s="60"/>
      <c r="K112" s="60"/>
      <c r="L112" s="60"/>
      <c r="M112" s="60"/>
      <c r="N112" s="60"/>
      <c r="O112" s="71"/>
      <c r="P112" s="44"/>
    </row>
    <row r="113" spans="3:16" ht="20.100000000000001" customHeight="1" x14ac:dyDescent="0.25">
      <c r="C113" s="57"/>
      <c r="D113" s="41"/>
      <c r="E113" s="60"/>
      <c r="F113" s="60"/>
      <c r="G113" s="60"/>
      <c r="H113" s="60"/>
      <c r="I113" s="60"/>
      <c r="J113" s="60"/>
      <c r="K113" s="60"/>
      <c r="L113" s="60"/>
      <c r="M113" s="60"/>
      <c r="N113" s="60"/>
      <c r="O113" s="71"/>
      <c r="P113" s="44"/>
    </row>
    <row r="114" spans="3:16" ht="20.100000000000001" customHeight="1" x14ac:dyDescent="0.25">
      <c r="C114" s="57"/>
      <c r="D114" s="41"/>
      <c r="E114" s="60"/>
      <c r="F114" s="60"/>
      <c r="G114" s="60"/>
      <c r="H114" s="60"/>
      <c r="I114" s="60"/>
      <c r="J114" s="60"/>
      <c r="K114" s="60"/>
      <c r="L114" s="60"/>
      <c r="M114" s="60"/>
      <c r="N114" s="60"/>
      <c r="O114" s="71"/>
      <c r="P114" s="44"/>
    </row>
    <row r="115" spans="3:16" ht="20.100000000000001" customHeight="1" x14ac:dyDescent="0.25">
      <c r="C115" s="57"/>
      <c r="D115" s="41"/>
      <c r="E115" s="60"/>
      <c r="F115" s="60"/>
      <c r="G115" s="60"/>
      <c r="H115" s="60"/>
      <c r="I115" s="60"/>
      <c r="J115" s="60"/>
      <c r="K115" s="60"/>
      <c r="L115" s="60"/>
      <c r="M115" s="60"/>
      <c r="N115" s="60"/>
      <c r="O115" s="71"/>
      <c r="P115" s="44"/>
    </row>
    <row r="116" spans="3:16" ht="20.100000000000001" customHeight="1" x14ac:dyDescent="0.25">
      <c r="C116" s="57"/>
      <c r="D116" s="41"/>
      <c r="E116" s="60"/>
      <c r="F116" s="60"/>
      <c r="G116" s="60"/>
      <c r="H116" s="60"/>
      <c r="I116" s="60"/>
      <c r="J116" s="60"/>
      <c r="K116" s="60"/>
      <c r="L116" s="60"/>
      <c r="M116" s="60"/>
      <c r="N116" s="60"/>
      <c r="O116" s="71"/>
      <c r="P116" s="44"/>
    </row>
    <row r="117" spans="3:16" ht="20.100000000000001" customHeight="1" x14ac:dyDescent="0.25">
      <c r="C117" s="57"/>
      <c r="D117" s="41"/>
      <c r="E117" s="60"/>
      <c r="F117" s="60"/>
      <c r="G117" s="60"/>
      <c r="H117" s="60"/>
      <c r="I117" s="60"/>
      <c r="J117" s="60"/>
      <c r="K117" s="60"/>
      <c r="L117" s="60"/>
      <c r="M117" s="60"/>
      <c r="N117" s="60"/>
      <c r="O117" s="71"/>
      <c r="P117" s="44"/>
    </row>
    <row r="118" spans="3:16" ht="20.100000000000001" customHeight="1" x14ac:dyDescent="0.25">
      <c r="C118" s="57"/>
      <c r="D118" s="41"/>
      <c r="E118" s="60"/>
      <c r="F118" s="60"/>
      <c r="G118" s="60"/>
      <c r="H118" s="60"/>
      <c r="I118" s="60"/>
      <c r="J118" s="60"/>
      <c r="K118" s="60"/>
      <c r="L118" s="60"/>
      <c r="M118" s="60"/>
      <c r="N118" s="60"/>
      <c r="O118" s="71"/>
      <c r="P118" s="44"/>
    </row>
    <row r="119" spans="3:16" ht="20.100000000000001" customHeight="1" x14ac:dyDescent="0.25">
      <c r="C119" s="57"/>
      <c r="D119" s="41"/>
      <c r="E119" s="60"/>
      <c r="F119" s="60"/>
      <c r="G119" s="60"/>
      <c r="H119" s="60"/>
      <c r="I119" s="60"/>
      <c r="J119" s="60"/>
      <c r="K119" s="60"/>
      <c r="L119" s="60"/>
      <c r="M119" s="60"/>
      <c r="N119" s="60"/>
      <c r="O119" s="71"/>
      <c r="P119" s="44"/>
    </row>
    <row r="120" spans="3:16" ht="20.100000000000001" customHeight="1" x14ac:dyDescent="0.25">
      <c r="C120" s="57"/>
      <c r="D120" s="41"/>
      <c r="E120" s="60"/>
      <c r="F120" s="60"/>
      <c r="G120" s="60"/>
      <c r="H120" s="60"/>
      <c r="I120" s="60"/>
      <c r="J120" s="60"/>
      <c r="K120" s="60"/>
      <c r="L120" s="60"/>
      <c r="M120" s="60"/>
      <c r="N120" s="60"/>
      <c r="O120" s="71"/>
      <c r="P120" s="44"/>
    </row>
    <row r="121" spans="3:16" ht="20.100000000000001" customHeight="1" x14ac:dyDescent="0.25">
      <c r="C121" s="57"/>
      <c r="D121" s="41"/>
      <c r="E121" s="60"/>
      <c r="F121" s="60"/>
      <c r="G121" s="60"/>
      <c r="H121" s="60"/>
      <c r="I121" s="60"/>
      <c r="J121" s="60"/>
      <c r="K121" s="60"/>
      <c r="L121" s="60"/>
      <c r="M121" s="60"/>
      <c r="N121" s="60"/>
      <c r="O121" s="71"/>
      <c r="P121" s="44"/>
    </row>
    <row r="122" spans="3:16" ht="20.100000000000001" customHeight="1" x14ac:dyDescent="0.25">
      <c r="C122" s="57"/>
      <c r="D122" s="41"/>
      <c r="E122" s="60"/>
      <c r="F122" s="60"/>
      <c r="G122" s="60"/>
      <c r="H122" s="60"/>
      <c r="I122" s="60"/>
      <c r="J122" s="60"/>
      <c r="K122" s="60"/>
      <c r="L122" s="60"/>
      <c r="M122" s="60"/>
      <c r="N122" s="60"/>
      <c r="O122" s="71"/>
      <c r="P122" s="44"/>
    </row>
    <row r="123" spans="3:16" ht="20.100000000000001" customHeight="1" x14ac:dyDescent="0.25">
      <c r="C123" s="57"/>
      <c r="D123" s="41"/>
      <c r="E123" s="60"/>
      <c r="F123" s="60"/>
      <c r="G123" s="60"/>
      <c r="H123" s="60"/>
      <c r="I123" s="60"/>
      <c r="J123" s="60"/>
      <c r="K123" s="60"/>
      <c r="L123" s="60"/>
      <c r="M123" s="60"/>
      <c r="N123" s="60"/>
      <c r="O123" s="71"/>
      <c r="P123" s="44"/>
    </row>
    <row r="124" spans="3:16" ht="20.100000000000001" customHeight="1" x14ac:dyDescent="0.25">
      <c r="C124" s="57"/>
      <c r="D124" s="41"/>
      <c r="E124" s="60"/>
      <c r="F124" s="60"/>
      <c r="G124" s="60"/>
      <c r="H124" s="60"/>
      <c r="I124" s="60"/>
      <c r="J124" s="60"/>
      <c r="K124" s="60"/>
      <c r="L124" s="60"/>
      <c r="M124" s="60"/>
      <c r="N124" s="60"/>
      <c r="O124" s="71"/>
      <c r="P124" s="44"/>
    </row>
    <row r="125" spans="3:16" ht="20.100000000000001" customHeight="1" x14ac:dyDescent="0.25">
      <c r="C125" s="57"/>
      <c r="D125" s="41"/>
      <c r="E125" s="60"/>
      <c r="F125" s="60"/>
      <c r="G125" s="60"/>
      <c r="H125" s="60"/>
      <c r="I125" s="60"/>
      <c r="J125" s="60"/>
      <c r="K125" s="60"/>
      <c r="L125" s="60"/>
      <c r="M125" s="60"/>
      <c r="N125" s="60"/>
      <c r="O125" s="71"/>
      <c r="P125" s="44"/>
    </row>
    <row r="126" spans="3:16" ht="20.100000000000001" customHeight="1" x14ac:dyDescent="0.25">
      <c r="C126" s="57"/>
      <c r="D126" s="41"/>
      <c r="E126" s="60"/>
      <c r="F126" s="60"/>
      <c r="G126" s="60"/>
      <c r="H126" s="60"/>
      <c r="I126" s="60"/>
      <c r="J126" s="60"/>
      <c r="K126" s="60"/>
      <c r="L126" s="60"/>
      <c r="M126" s="60"/>
      <c r="N126" s="60"/>
      <c r="O126" s="71"/>
      <c r="P126" s="44"/>
    </row>
    <row r="127" spans="3:16" ht="20.100000000000001" customHeight="1" x14ac:dyDescent="0.25">
      <c r="C127" s="57"/>
      <c r="D127" s="41"/>
      <c r="E127" s="60"/>
      <c r="F127" s="60"/>
      <c r="G127" s="60"/>
      <c r="H127" s="60"/>
      <c r="I127" s="60"/>
      <c r="J127" s="60"/>
      <c r="K127" s="60"/>
      <c r="L127" s="60"/>
      <c r="M127" s="60"/>
      <c r="N127" s="60"/>
      <c r="O127" s="71"/>
      <c r="P127" s="44"/>
    </row>
    <row r="128" spans="3:16" ht="20.100000000000001" customHeight="1" x14ac:dyDescent="0.25">
      <c r="C128" s="57"/>
      <c r="D128" s="41"/>
      <c r="E128" s="60"/>
      <c r="F128" s="60"/>
      <c r="G128" s="60"/>
      <c r="H128" s="60"/>
      <c r="I128" s="60"/>
      <c r="J128" s="60"/>
      <c r="K128" s="60"/>
      <c r="L128" s="60"/>
      <c r="M128" s="60"/>
      <c r="N128" s="60"/>
      <c r="O128" s="71"/>
      <c r="P128" s="44"/>
    </row>
    <row r="129" spans="3:16" ht="20.100000000000001" customHeight="1" x14ac:dyDescent="0.25">
      <c r="C129" s="57"/>
      <c r="D129" s="41"/>
      <c r="E129" s="60"/>
      <c r="F129" s="60"/>
      <c r="G129" s="60"/>
      <c r="H129" s="60"/>
      <c r="I129" s="60"/>
      <c r="J129" s="60"/>
      <c r="K129" s="60"/>
      <c r="L129" s="60"/>
      <c r="M129" s="60"/>
      <c r="N129" s="60"/>
      <c r="O129" s="71"/>
      <c r="P129" s="44"/>
    </row>
    <row r="130" spans="3:16" ht="20.100000000000001" customHeight="1" x14ac:dyDescent="0.25">
      <c r="C130" s="57"/>
      <c r="D130" s="41"/>
      <c r="E130" s="60"/>
      <c r="F130" s="60"/>
      <c r="G130" s="60"/>
      <c r="H130" s="60"/>
      <c r="I130" s="60"/>
      <c r="J130" s="60"/>
      <c r="K130" s="60"/>
      <c r="L130" s="60"/>
      <c r="M130" s="60"/>
      <c r="N130" s="60"/>
      <c r="O130" s="71"/>
      <c r="P130" s="44"/>
    </row>
    <row r="131" spans="3:16" ht="20.100000000000001" customHeight="1" x14ac:dyDescent="0.25">
      <c r="C131" s="57"/>
      <c r="D131" s="41"/>
      <c r="E131" s="60"/>
      <c r="F131" s="60"/>
      <c r="G131" s="60"/>
      <c r="H131" s="60"/>
      <c r="I131" s="60"/>
      <c r="J131" s="60"/>
      <c r="K131" s="60"/>
      <c r="L131" s="60"/>
      <c r="M131" s="60"/>
      <c r="N131" s="60"/>
      <c r="O131" s="71"/>
      <c r="P131" s="44"/>
    </row>
    <row r="132" spans="3:16" ht="20.100000000000001" customHeight="1" x14ac:dyDescent="0.25">
      <c r="C132" s="57"/>
      <c r="D132" s="41"/>
      <c r="E132" s="60"/>
      <c r="F132" s="60"/>
      <c r="G132" s="60"/>
      <c r="H132" s="60"/>
      <c r="I132" s="60"/>
      <c r="J132" s="60"/>
      <c r="K132" s="60"/>
      <c r="L132" s="60"/>
      <c r="M132" s="60"/>
      <c r="N132" s="60"/>
      <c r="O132" s="71"/>
      <c r="P132" s="44"/>
    </row>
    <row r="133" spans="3:16" ht="20.100000000000001" customHeight="1" x14ac:dyDescent="0.25">
      <c r="C133" s="57"/>
      <c r="D133" s="41"/>
      <c r="E133" s="60"/>
      <c r="F133" s="60"/>
      <c r="G133" s="60"/>
      <c r="H133" s="60"/>
      <c r="I133" s="60"/>
      <c r="J133" s="60"/>
      <c r="K133" s="60"/>
      <c r="L133" s="60"/>
      <c r="M133" s="60"/>
      <c r="N133" s="60"/>
      <c r="O133" s="71"/>
      <c r="P133" s="44"/>
    </row>
    <row r="134" spans="3:16" ht="20.100000000000001" customHeight="1" x14ac:dyDescent="0.25">
      <c r="C134" s="57"/>
      <c r="D134" s="41"/>
      <c r="E134" s="60"/>
      <c r="F134" s="60"/>
      <c r="G134" s="60"/>
      <c r="H134" s="60"/>
      <c r="I134" s="60"/>
      <c r="J134" s="60"/>
      <c r="K134" s="60"/>
      <c r="L134" s="60"/>
      <c r="M134" s="60"/>
      <c r="N134" s="60"/>
      <c r="O134" s="71"/>
      <c r="P134" s="44"/>
    </row>
    <row r="135" spans="3:16" ht="20.100000000000001" customHeight="1" x14ac:dyDescent="0.25">
      <c r="C135" s="57"/>
      <c r="D135" s="41"/>
      <c r="E135" s="60"/>
      <c r="F135" s="60"/>
      <c r="G135" s="60"/>
      <c r="H135" s="60"/>
      <c r="I135" s="60"/>
      <c r="J135" s="60"/>
      <c r="K135" s="60"/>
      <c r="L135" s="60"/>
      <c r="M135" s="60"/>
      <c r="N135" s="60"/>
      <c r="O135" s="71"/>
      <c r="P135" s="44"/>
    </row>
    <row r="136" spans="3:16" ht="20.100000000000001" customHeight="1" x14ac:dyDescent="0.25">
      <c r="C136" s="57"/>
      <c r="D136" s="41"/>
      <c r="E136" s="60"/>
      <c r="F136" s="60"/>
      <c r="G136" s="60"/>
      <c r="H136" s="60"/>
      <c r="I136" s="60"/>
      <c r="J136" s="60"/>
      <c r="K136" s="60"/>
      <c r="L136" s="60"/>
      <c r="M136" s="60"/>
      <c r="N136" s="60"/>
      <c r="O136" s="71"/>
      <c r="P136" s="44"/>
    </row>
    <row r="137" spans="3:16" ht="20.100000000000001" customHeight="1" x14ac:dyDescent="0.25">
      <c r="C137" s="57"/>
      <c r="D137" s="41"/>
      <c r="E137" s="60"/>
      <c r="F137" s="60"/>
      <c r="G137" s="60"/>
      <c r="H137" s="60"/>
      <c r="I137" s="60"/>
      <c r="J137" s="60"/>
      <c r="K137" s="60"/>
      <c r="L137" s="60"/>
      <c r="M137" s="60"/>
      <c r="N137" s="60"/>
      <c r="O137" s="71"/>
      <c r="P137" s="44"/>
    </row>
    <row r="138" spans="3:16" ht="20.100000000000001" customHeight="1" x14ac:dyDescent="0.25">
      <c r="C138" s="57"/>
      <c r="D138" s="41"/>
      <c r="E138" s="60"/>
      <c r="F138" s="60"/>
      <c r="G138" s="60"/>
      <c r="H138" s="60"/>
      <c r="I138" s="60"/>
      <c r="J138" s="60"/>
      <c r="K138" s="60"/>
      <c r="L138" s="60"/>
      <c r="M138" s="60"/>
      <c r="N138" s="60"/>
      <c r="O138" s="71"/>
      <c r="P138" s="44"/>
    </row>
    <row r="139" spans="3:16" ht="20.100000000000001" customHeight="1" x14ac:dyDescent="0.25">
      <c r="C139" s="57"/>
      <c r="D139" s="41"/>
      <c r="E139" s="60"/>
      <c r="F139" s="60"/>
      <c r="G139" s="60"/>
      <c r="H139" s="60"/>
      <c r="I139" s="60"/>
      <c r="J139" s="60"/>
      <c r="K139" s="60"/>
      <c r="L139" s="60"/>
      <c r="M139" s="60"/>
      <c r="N139" s="60"/>
      <c r="O139" s="71"/>
      <c r="P139" s="44"/>
    </row>
    <row r="140" spans="3:16" ht="20.100000000000001" customHeight="1" x14ac:dyDescent="0.25">
      <c r="C140" s="57"/>
      <c r="D140" s="41"/>
      <c r="E140" s="60"/>
      <c r="F140" s="60"/>
      <c r="G140" s="60"/>
      <c r="H140" s="60"/>
      <c r="I140" s="60"/>
      <c r="J140" s="60"/>
      <c r="K140" s="60"/>
      <c r="L140" s="60"/>
      <c r="M140" s="60"/>
      <c r="N140" s="60"/>
      <c r="O140" s="71"/>
      <c r="P140" s="44"/>
    </row>
    <row r="141" spans="3:16" ht="20.100000000000001" customHeight="1" x14ac:dyDescent="0.25">
      <c r="C141" s="57"/>
      <c r="D141" s="41"/>
      <c r="E141" s="60"/>
      <c r="F141" s="60"/>
      <c r="G141" s="60"/>
      <c r="H141" s="60"/>
      <c r="I141" s="60"/>
      <c r="J141" s="60"/>
      <c r="K141" s="60"/>
      <c r="L141" s="60"/>
      <c r="M141" s="60"/>
      <c r="N141" s="60"/>
      <c r="O141" s="71"/>
      <c r="P141" s="44"/>
    </row>
    <row r="142" spans="3:16" ht="20.100000000000001" customHeight="1" x14ac:dyDescent="0.25">
      <c r="C142" s="57"/>
      <c r="D142" s="41"/>
      <c r="E142" s="60"/>
      <c r="F142" s="60"/>
      <c r="G142" s="60"/>
      <c r="H142" s="60"/>
      <c r="I142" s="60"/>
      <c r="J142" s="60"/>
      <c r="K142" s="60"/>
      <c r="L142" s="60"/>
      <c r="M142" s="60"/>
      <c r="N142" s="60"/>
      <c r="O142" s="71"/>
      <c r="P142" s="44"/>
    </row>
    <row r="143" spans="3:16" ht="20.100000000000001" customHeight="1" x14ac:dyDescent="0.25">
      <c r="C143" s="57"/>
      <c r="D143" s="41"/>
      <c r="E143" s="60"/>
      <c r="F143" s="60"/>
      <c r="G143" s="60"/>
      <c r="H143" s="60"/>
      <c r="I143" s="60"/>
      <c r="J143" s="60"/>
      <c r="K143" s="60"/>
      <c r="L143" s="60"/>
      <c r="M143" s="60"/>
      <c r="N143" s="60"/>
      <c r="O143" s="71"/>
      <c r="P143" s="44"/>
    </row>
    <row r="144" spans="3:16" ht="20.100000000000001" customHeight="1" x14ac:dyDescent="0.25">
      <c r="C144" s="57"/>
      <c r="D144" s="41"/>
      <c r="E144" s="60"/>
      <c r="F144" s="60"/>
      <c r="G144" s="60"/>
      <c r="H144" s="60"/>
      <c r="I144" s="60"/>
      <c r="J144" s="60"/>
      <c r="K144" s="60"/>
      <c r="L144" s="60"/>
      <c r="M144" s="60"/>
      <c r="N144" s="60"/>
      <c r="O144" s="71"/>
      <c r="P144" s="44"/>
    </row>
    <row r="145" spans="3:16" ht="20.100000000000001" customHeight="1" x14ac:dyDescent="0.25">
      <c r="C145" s="57"/>
      <c r="D145" s="41"/>
      <c r="E145" s="60"/>
      <c r="F145" s="60"/>
      <c r="G145" s="60"/>
      <c r="H145" s="60"/>
      <c r="I145" s="60"/>
      <c r="J145" s="60"/>
      <c r="K145" s="60"/>
      <c r="L145" s="60"/>
      <c r="M145" s="60"/>
      <c r="N145" s="60"/>
      <c r="O145" s="71"/>
      <c r="P145" s="44"/>
    </row>
    <row r="146" spans="3:16" ht="20.100000000000001" customHeight="1" x14ac:dyDescent="0.25">
      <c r="C146" s="57"/>
      <c r="D146" s="41"/>
      <c r="E146" s="60"/>
      <c r="F146" s="60"/>
      <c r="G146" s="60"/>
      <c r="H146" s="60"/>
      <c r="I146" s="60"/>
      <c r="J146" s="60"/>
      <c r="K146" s="60"/>
      <c r="L146" s="60"/>
      <c r="M146" s="60"/>
      <c r="N146" s="60"/>
      <c r="O146" s="71"/>
      <c r="P146" s="44"/>
    </row>
    <row r="147" spans="3:16" ht="20.100000000000001" customHeight="1" x14ac:dyDescent="0.25">
      <c r="C147" s="57"/>
      <c r="D147" s="41"/>
      <c r="E147" s="60"/>
      <c r="F147" s="60"/>
      <c r="G147" s="60"/>
      <c r="H147" s="60"/>
      <c r="I147" s="60"/>
      <c r="J147" s="60"/>
      <c r="K147" s="60"/>
      <c r="L147" s="60"/>
      <c r="M147" s="60"/>
      <c r="N147" s="60"/>
      <c r="O147" s="71"/>
      <c r="P147" s="44"/>
    </row>
    <row r="148" spans="3:16" ht="20.100000000000001" customHeight="1" x14ac:dyDescent="0.25">
      <c r="C148" s="57"/>
      <c r="D148" s="41"/>
      <c r="E148" s="60"/>
      <c r="F148" s="60"/>
      <c r="G148" s="60"/>
      <c r="H148" s="60"/>
      <c r="I148" s="60"/>
      <c r="J148" s="60"/>
      <c r="K148" s="60"/>
      <c r="L148" s="60"/>
      <c r="M148" s="60"/>
      <c r="N148" s="60"/>
      <c r="O148" s="71"/>
      <c r="P148" s="44"/>
    </row>
    <row r="149" spans="3:16" ht="20.100000000000001" customHeight="1" x14ac:dyDescent="0.25">
      <c r="C149" s="57"/>
      <c r="D149" s="41"/>
      <c r="E149" s="60"/>
      <c r="F149" s="60"/>
      <c r="G149" s="60"/>
      <c r="H149" s="60"/>
      <c r="I149" s="60"/>
      <c r="J149" s="60"/>
      <c r="K149" s="60"/>
      <c r="L149" s="60"/>
      <c r="M149" s="60"/>
      <c r="N149" s="60"/>
      <c r="O149" s="71"/>
      <c r="P149" s="44"/>
    </row>
    <row r="150" spans="3:16" ht="20.100000000000001" customHeight="1" x14ac:dyDescent="0.25">
      <c r="C150" s="57"/>
      <c r="D150" s="41"/>
      <c r="E150" s="60"/>
      <c r="F150" s="60"/>
      <c r="G150" s="60"/>
      <c r="H150" s="60"/>
      <c r="I150" s="60"/>
      <c r="J150" s="60"/>
      <c r="K150" s="60"/>
      <c r="L150" s="60"/>
      <c r="M150" s="60"/>
      <c r="N150" s="60"/>
      <c r="O150" s="71"/>
      <c r="P150" s="44"/>
    </row>
    <row r="151" spans="3:16" ht="20.100000000000001" customHeight="1" x14ac:dyDescent="0.25">
      <c r="C151" s="57"/>
      <c r="D151" s="41"/>
      <c r="E151" s="60"/>
      <c r="F151" s="60"/>
      <c r="G151" s="60"/>
      <c r="H151" s="60"/>
      <c r="I151" s="60"/>
      <c r="J151" s="60"/>
      <c r="K151" s="60"/>
      <c r="L151" s="60"/>
      <c r="M151" s="60"/>
      <c r="N151" s="60"/>
      <c r="O151" s="71"/>
      <c r="P151" s="44"/>
    </row>
    <row r="152" spans="3:16" ht="20.100000000000001" customHeight="1" x14ac:dyDescent="0.25">
      <c r="C152" s="57"/>
      <c r="D152" s="41"/>
      <c r="E152" s="60"/>
      <c r="F152" s="60"/>
      <c r="G152" s="60"/>
      <c r="H152" s="60"/>
      <c r="I152" s="60"/>
      <c r="J152" s="60"/>
      <c r="K152" s="60"/>
      <c r="L152" s="60"/>
      <c r="M152" s="60"/>
      <c r="N152" s="60"/>
      <c r="O152" s="71"/>
      <c r="P152" s="44"/>
    </row>
    <row r="153" spans="3:16" ht="20.100000000000001" customHeight="1" x14ac:dyDescent="0.25">
      <c r="C153" s="57"/>
      <c r="D153" s="41"/>
      <c r="E153" s="60"/>
      <c r="F153" s="60"/>
      <c r="G153" s="60"/>
      <c r="H153" s="60"/>
      <c r="I153" s="60"/>
      <c r="J153" s="60"/>
      <c r="K153" s="60"/>
      <c r="L153" s="60"/>
      <c r="M153" s="60"/>
      <c r="N153" s="60"/>
      <c r="O153" s="71"/>
      <c r="P153" s="44"/>
    </row>
    <row r="154" spans="3:16" ht="20.100000000000001" customHeight="1" x14ac:dyDescent="0.25">
      <c r="C154" s="57"/>
      <c r="D154" s="41"/>
      <c r="E154" s="60"/>
      <c r="F154" s="60"/>
      <c r="G154" s="60"/>
      <c r="H154" s="60"/>
      <c r="I154" s="60"/>
      <c r="J154" s="60"/>
      <c r="K154" s="60"/>
      <c r="L154" s="60"/>
      <c r="M154" s="60"/>
      <c r="N154" s="60"/>
      <c r="O154" s="71"/>
      <c r="P154" s="44"/>
    </row>
    <row r="155" spans="3:16" ht="20.100000000000001" customHeight="1" x14ac:dyDescent="0.25">
      <c r="C155" s="57"/>
      <c r="D155" s="41"/>
      <c r="E155" s="60"/>
      <c r="F155" s="60"/>
      <c r="G155" s="60"/>
      <c r="H155" s="60"/>
      <c r="I155" s="60"/>
      <c r="J155" s="60"/>
      <c r="K155" s="60"/>
      <c r="L155" s="60"/>
      <c r="M155" s="60"/>
      <c r="N155" s="60"/>
      <c r="O155" s="71"/>
      <c r="P155" s="44"/>
    </row>
    <row r="156" spans="3:16" ht="20.100000000000001" customHeight="1" x14ac:dyDescent="0.25">
      <c r="C156" s="57"/>
      <c r="D156" s="41"/>
      <c r="E156" s="60"/>
      <c r="F156" s="60"/>
      <c r="G156" s="60"/>
      <c r="H156" s="60"/>
      <c r="I156" s="60"/>
      <c r="J156" s="60"/>
      <c r="K156" s="60"/>
      <c r="L156" s="60"/>
      <c r="M156" s="60"/>
      <c r="N156" s="60"/>
      <c r="O156" s="71"/>
      <c r="P156" s="44"/>
    </row>
    <row r="157" spans="3:16" ht="20.100000000000001" customHeight="1" x14ac:dyDescent="0.25">
      <c r="C157" s="57"/>
      <c r="D157" s="41"/>
      <c r="E157" s="60"/>
      <c r="F157" s="60"/>
      <c r="G157" s="60"/>
      <c r="H157" s="60"/>
      <c r="I157" s="60"/>
      <c r="J157" s="60"/>
      <c r="K157" s="60"/>
      <c r="L157" s="60"/>
      <c r="M157" s="60"/>
      <c r="N157" s="60"/>
      <c r="O157" s="71"/>
      <c r="P157" s="44"/>
    </row>
    <row r="158" spans="3:16" ht="20.100000000000001" customHeight="1" x14ac:dyDescent="0.25">
      <c r="C158" s="57"/>
      <c r="D158" s="41"/>
      <c r="E158" s="60"/>
      <c r="F158" s="60"/>
      <c r="G158" s="60"/>
      <c r="H158" s="60"/>
      <c r="I158" s="60"/>
      <c r="J158" s="60"/>
      <c r="K158" s="60"/>
      <c r="L158" s="60"/>
      <c r="M158" s="60"/>
      <c r="N158" s="60"/>
      <c r="O158" s="71"/>
      <c r="P158" s="44"/>
    </row>
    <row r="159" spans="3:16" ht="20.100000000000001" customHeight="1" x14ac:dyDescent="0.25">
      <c r="C159" s="57"/>
      <c r="D159" s="41"/>
      <c r="E159" s="60"/>
      <c r="F159" s="60"/>
      <c r="G159" s="60"/>
      <c r="H159" s="60"/>
      <c r="I159" s="60"/>
      <c r="J159" s="60"/>
      <c r="K159" s="60"/>
      <c r="L159" s="60"/>
      <c r="M159" s="60"/>
      <c r="N159" s="60"/>
      <c r="O159" s="71"/>
      <c r="P159" s="44"/>
    </row>
    <row r="160" spans="3:16" ht="20.100000000000001" customHeight="1" x14ac:dyDescent="0.25">
      <c r="C160" s="57"/>
      <c r="D160" s="41"/>
      <c r="E160" s="60"/>
      <c r="F160" s="60"/>
      <c r="G160" s="60"/>
      <c r="H160" s="60"/>
      <c r="I160" s="60"/>
      <c r="J160" s="60"/>
      <c r="K160" s="60"/>
      <c r="L160" s="60"/>
      <c r="M160" s="60"/>
      <c r="N160" s="60"/>
      <c r="O160" s="71"/>
      <c r="P160" s="44"/>
    </row>
    <row r="161" spans="3:16" ht="20.100000000000001" customHeight="1" x14ac:dyDescent="0.25">
      <c r="C161" s="57"/>
      <c r="D161" s="41"/>
      <c r="E161" s="60"/>
      <c r="F161" s="60"/>
      <c r="G161" s="60"/>
      <c r="H161" s="60"/>
      <c r="I161" s="60"/>
      <c r="J161" s="60"/>
      <c r="K161" s="60"/>
      <c r="L161" s="60"/>
      <c r="M161" s="60"/>
      <c r="N161" s="60"/>
      <c r="O161" s="71"/>
      <c r="P161" s="44"/>
    </row>
    <row r="162" spans="3:16" ht="20.100000000000001" customHeight="1" x14ac:dyDescent="0.25">
      <c r="C162" s="57"/>
      <c r="D162" s="41"/>
      <c r="E162" s="60"/>
      <c r="F162" s="60"/>
      <c r="G162" s="60"/>
      <c r="H162" s="60"/>
      <c r="I162" s="60"/>
      <c r="J162" s="60"/>
      <c r="K162" s="60"/>
      <c r="L162" s="60"/>
      <c r="M162" s="60"/>
      <c r="N162" s="60"/>
      <c r="O162" s="71"/>
      <c r="P162" s="44"/>
    </row>
    <row r="163" spans="3:16" ht="20.100000000000001" customHeight="1" x14ac:dyDescent="0.25">
      <c r="C163" s="57"/>
      <c r="D163" s="41"/>
      <c r="E163" s="60"/>
      <c r="F163" s="60"/>
      <c r="G163" s="60"/>
      <c r="H163" s="60"/>
      <c r="I163" s="60"/>
      <c r="J163" s="60"/>
      <c r="K163" s="60"/>
      <c r="L163" s="60"/>
      <c r="M163" s="60"/>
      <c r="N163" s="60"/>
      <c r="O163" s="71"/>
      <c r="P163" s="44"/>
    </row>
    <row r="164" spans="3:16" ht="20.100000000000001" customHeight="1" x14ac:dyDescent="0.25">
      <c r="C164" s="57"/>
      <c r="D164" s="41"/>
      <c r="E164" s="60"/>
      <c r="F164" s="60"/>
      <c r="G164" s="60"/>
      <c r="H164" s="60"/>
      <c r="I164" s="60"/>
      <c r="J164" s="60"/>
      <c r="K164" s="60"/>
      <c r="L164" s="60"/>
      <c r="M164" s="60"/>
      <c r="N164" s="60"/>
      <c r="O164" s="71"/>
      <c r="P164" s="44"/>
    </row>
    <row r="165" spans="3:16" ht="20.100000000000001" customHeight="1" x14ac:dyDescent="0.25">
      <c r="C165" s="57"/>
      <c r="D165" s="41"/>
      <c r="E165" s="60"/>
      <c r="F165" s="60"/>
      <c r="G165" s="60"/>
      <c r="H165" s="60"/>
      <c r="I165" s="60"/>
      <c r="J165" s="60"/>
      <c r="K165" s="60"/>
      <c r="L165" s="60"/>
      <c r="M165" s="60"/>
      <c r="N165" s="60"/>
      <c r="O165" s="71"/>
      <c r="P165" s="44"/>
    </row>
    <row r="166" spans="3:16" ht="20.100000000000001" customHeight="1" x14ac:dyDescent="0.25">
      <c r="C166" s="57"/>
      <c r="D166" s="41"/>
      <c r="E166" s="60"/>
      <c r="F166" s="60"/>
      <c r="G166" s="60"/>
      <c r="H166" s="60"/>
      <c r="I166" s="60"/>
      <c r="J166" s="60"/>
      <c r="K166" s="60"/>
      <c r="L166" s="60"/>
      <c r="M166" s="60"/>
      <c r="N166" s="60"/>
      <c r="O166" s="71"/>
      <c r="P166" s="44"/>
    </row>
    <row r="167" spans="3:16" ht="20.100000000000001" customHeight="1" x14ac:dyDescent="0.25">
      <c r="C167" s="57"/>
      <c r="D167" s="41"/>
      <c r="E167" s="60"/>
      <c r="F167" s="60"/>
      <c r="G167" s="60"/>
      <c r="H167" s="60"/>
      <c r="I167" s="60"/>
      <c r="J167" s="60"/>
      <c r="K167" s="60"/>
      <c r="L167" s="60"/>
      <c r="M167" s="60"/>
      <c r="N167" s="60"/>
      <c r="O167" s="71"/>
      <c r="P167" s="44"/>
    </row>
    <row r="168" spans="3:16" ht="20.100000000000001" customHeight="1" x14ac:dyDescent="0.25">
      <c r="C168" s="57"/>
      <c r="D168" s="41"/>
      <c r="E168" s="60"/>
      <c r="F168" s="60"/>
      <c r="G168" s="60"/>
      <c r="H168" s="60"/>
      <c r="I168" s="60"/>
      <c r="J168" s="60"/>
      <c r="K168" s="60"/>
      <c r="L168" s="60"/>
      <c r="M168" s="60"/>
      <c r="N168" s="60"/>
      <c r="O168" s="71"/>
      <c r="P168" s="44"/>
    </row>
    <row r="169" spans="3:16" ht="20.100000000000001" customHeight="1" x14ac:dyDescent="0.25">
      <c r="C169" s="57"/>
      <c r="D169" s="41"/>
      <c r="E169" s="60"/>
      <c r="F169" s="60"/>
      <c r="G169" s="60"/>
      <c r="H169" s="60"/>
      <c r="I169" s="60"/>
      <c r="J169" s="60"/>
      <c r="K169" s="60"/>
      <c r="L169" s="60"/>
      <c r="M169" s="60"/>
      <c r="N169" s="60"/>
      <c r="O169" s="71"/>
      <c r="P169" s="44"/>
    </row>
    <row r="170" spans="3:16" ht="20.100000000000001" customHeight="1" x14ac:dyDescent="0.25">
      <c r="C170" s="57"/>
      <c r="D170" s="41"/>
      <c r="E170" s="60"/>
      <c r="F170" s="60"/>
      <c r="G170" s="60"/>
      <c r="H170" s="60"/>
      <c r="I170" s="60"/>
      <c r="J170" s="60"/>
      <c r="K170" s="60"/>
      <c r="L170" s="60"/>
      <c r="M170" s="60"/>
      <c r="N170" s="60"/>
      <c r="O170" s="71"/>
      <c r="P170" s="44"/>
    </row>
    <row r="171" spans="3:16" ht="20.100000000000001" customHeight="1" x14ac:dyDescent="0.25">
      <c r="C171" s="57"/>
      <c r="D171" s="41"/>
      <c r="E171" s="60"/>
      <c r="F171" s="60"/>
      <c r="G171" s="60"/>
      <c r="H171" s="60"/>
      <c r="I171" s="60"/>
      <c r="J171" s="60"/>
      <c r="K171" s="60"/>
      <c r="L171" s="60"/>
      <c r="M171" s="60"/>
      <c r="N171" s="60"/>
      <c r="O171" s="71"/>
      <c r="P171" s="44"/>
    </row>
    <row r="172" spans="3:16" ht="20.100000000000001" customHeight="1" x14ac:dyDescent="0.25">
      <c r="C172" s="57"/>
      <c r="D172" s="41"/>
      <c r="E172" s="60"/>
      <c r="F172" s="60"/>
      <c r="G172" s="60"/>
      <c r="H172" s="60"/>
      <c r="I172" s="60"/>
      <c r="J172" s="60"/>
      <c r="K172" s="60"/>
      <c r="L172" s="60"/>
      <c r="M172" s="60"/>
      <c r="N172" s="60"/>
      <c r="O172" s="71"/>
      <c r="P172" s="44"/>
    </row>
    <row r="173" spans="3:16" ht="20.100000000000001" customHeight="1" x14ac:dyDescent="0.25">
      <c r="C173" s="57"/>
      <c r="D173" s="41"/>
      <c r="E173" s="60"/>
      <c r="F173" s="60"/>
      <c r="G173" s="60"/>
      <c r="H173" s="60"/>
      <c r="I173" s="60"/>
      <c r="J173" s="60"/>
      <c r="K173" s="60"/>
      <c r="L173" s="60"/>
      <c r="M173" s="60"/>
      <c r="N173" s="60"/>
      <c r="O173" s="71"/>
      <c r="P173" s="44"/>
    </row>
    <row r="174" spans="3:16" ht="20.100000000000001" customHeight="1" x14ac:dyDescent="0.25">
      <c r="C174" s="57"/>
      <c r="D174" s="41"/>
      <c r="E174" s="60"/>
      <c r="F174" s="60"/>
      <c r="G174" s="60"/>
      <c r="H174" s="60"/>
      <c r="I174" s="60"/>
      <c r="J174" s="60"/>
      <c r="K174" s="60"/>
      <c r="L174" s="60"/>
      <c r="M174" s="60"/>
      <c r="N174" s="60"/>
      <c r="O174" s="71"/>
      <c r="P174" s="44"/>
    </row>
    <row r="175" spans="3:16" ht="20.100000000000001" customHeight="1" x14ac:dyDescent="0.25">
      <c r="C175" s="57"/>
      <c r="D175" s="41"/>
      <c r="E175" s="60"/>
      <c r="F175" s="60"/>
      <c r="G175" s="60"/>
      <c r="H175" s="60"/>
      <c r="I175" s="60"/>
      <c r="J175" s="60"/>
      <c r="K175" s="60"/>
      <c r="L175" s="60"/>
      <c r="M175" s="60"/>
      <c r="N175" s="60"/>
      <c r="O175" s="71"/>
      <c r="P175" s="44"/>
    </row>
    <row r="176" spans="3:16" ht="20.100000000000001" customHeight="1" x14ac:dyDescent="0.25">
      <c r="C176" s="57"/>
      <c r="D176" s="41"/>
      <c r="E176" s="60"/>
      <c r="F176" s="60"/>
      <c r="G176" s="60"/>
      <c r="H176" s="60"/>
      <c r="I176" s="60"/>
      <c r="J176" s="60"/>
      <c r="K176" s="60"/>
      <c r="L176" s="60"/>
      <c r="M176" s="60"/>
      <c r="N176" s="60"/>
      <c r="O176" s="71"/>
      <c r="P176" s="44"/>
    </row>
    <row r="177" spans="3:16" ht="20.100000000000001" customHeight="1" x14ac:dyDescent="0.25">
      <c r="C177" s="57"/>
      <c r="D177" s="41"/>
      <c r="E177" s="60"/>
      <c r="F177" s="60"/>
      <c r="G177" s="60"/>
      <c r="H177" s="60"/>
      <c r="I177" s="60"/>
      <c r="J177" s="60"/>
      <c r="K177" s="60"/>
      <c r="L177" s="60"/>
      <c r="M177" s="60"/>
      <c r="N177" s="60"/>
      <c r="O177" s="71"/>
      <c r="P177" s="44"/>
    </row>
    <row r="178" spans="3:16" ht="20.100000000000001" customHeight="1" x14ac:dyDescent="0.25">
      <c r="C178" s="57"/>
      <c r="D178" s="41"/>
      <c r="E178" s="60"/>
      <c r="F178" s="60"/>
      <c r="G178" s="60"/>
      <c r="H178" s="60"/>
      <c r="I178" s="60"/>
      <c r="J178" s="60"/>
      <c r="K178" s="60"/>
      <c r="L178" s="60"/>
      <c r="M178" s="60"/>
      <c r="N178" s="60"/>
      <c r="O178" s="71"/>
      <c r="P178" s="44"/>
    </row>
    <row r="179" spans="3:16" ht="20.100000000000001" customHeight="1" x14ac:dyDescent="0.25">
      <c r="C179" s="57"/>
      <c r="D179" s="41"/>
      <c r="E179" s="60"/>
      <c r="F179" s="60"/>
      <c r="G179" s="60"/>
      <c r="H179" s="60"/>
      <c r="I179" s="60"/>
      <c r="J179" s="60"/>
      <c r="K179" s="60"/>
      <c r="L179" s="60"/>
      <c r="M179" s="60"/>
      <c r="N179" s="60"/>
      <c r="O179" s="71"/>
      <c r="P179" s="44"/>
    </row>
    <row r="180" spans="3:16" ht="20.100000000000001" customHeight="1" x14ac:dyDescent="0.25">
      <c r="C180" s="57"/>
      <c r="D180" s="41"/>
      <c r="E180" s="60"/>
      <c r="F180" s="60"/>
      <c r="G180" s="60"/>
      <c r="H180" s="60"/>
      <c r="I180" s="60"/>
      <c r="J180" s="60"/>
      <c r="K180" s="60"/>
      <c r="L180" s="60"/>
      <c r="M180" s="60"/>
      <c r="N180" s="60"/>
      <c r="O180" s="71"/>
      <c r="P180" s="44"/>
    </row>
    <row r="181" spans="3:16" ht="20.100000000000001" customHeight="1" x14ac:dyDescent="0.25">
      <c r="C181" s="57"/>
      <c r="D181" s="41"/>
      <c r="E181" s="60"/>
      <c r="F181" s="60"/>
      <c r="G181" s="60"/>
      <c r="H181" s="60"/>
      <c r="I181" s="60"/>
      <c r="J181" s="60"/>
      <c r="K181" s="60"/>
      <c r="L181" s="60"/>
      <c r="M181" s="60"/>
      <c r="N181" s="60"/>
      <c r="O181" s="71"/>
      <c r="P181" s="44"/>
    </row>
    <row r="182" spans="3:16" ht="20.100000000000001" customHeight="1" x14ac:dyDescent="0.25">
      <c r="C182" s="57"/>
      <c r="D182" s="41"/>
      <c r="E182" s="60"/>
      <c r="F182" s="60"/>
      <c r="G182" s="60"/>
      <c r="H182" s="60"/>
      <c r="I182" s="60"/>
      <c r="J182" s="60"/>
      <c r="K182" s="60"/>
      <c r="L182" s="60"/>
      <c r="M182" s="60"/>
      <c r="N182" s="60"/>
      <c r="O182" s="71"/>
      <c r="P182" s="44"/>
    </row>
    <row r="183" spans="3:16" ht="20.100000000000001" customHeight="1" x14ac:dyDescent="0.25">
      <c r="C183" s="57"/>
      <c r="D183" s="41"/>
      <c r="E183" s="60"/>
      <c r="F183" s="60"/>
      <c r="G183" s="60"/>
      <c r="H183" s="60"/>
      <c r="I183" s="60"/>
      <c r="J183" s="60"/>
      <c r="K183" s="60"/>
      <c r="L183" s="60"/>
      <c r="M183" s="60"/>
      <c r="N183" s="60"/>
      <c r="O183" s="71"/>
      <c r="P183" s="44"/>
    </row>
    <row r="184" spans="3:16" ht="20.100000000000001" customHeight="1" x14ac:dyDescent="0.25">
      <c r="C184" s="57"/>
      <c r="D184" s="41"/>
      <c r="E184" s="60"/>
      <c r="F184" s="60"/>
      <c r="G184" s="60"/>
      <c r="H184" s="60"/>
      <c r="I184" s="60"/>
      <c r="J184" s="60"/>
      <c r="K184" s="60"/>
      <c r="L184" s="60"/>
      <c r="M184" s="60"/>
      <c r="N184" s="60"/>
      <c r="O184" s="71"/>
      <c r="P184" s="44"/>
    </row>
    <row r="185" spans="3:16" ht="20.100000000000001" customHeight="1" x14ac:dyDescent="0.25">
      <c r="C185" s="57"/>
      <c r="D185" s="41"/>
      <c r="E185" s="60"/>
      <c r="F185" s="60"/>
      <c r="G185" s="60"/>
      <c r="H185" s="60"/>
      <c r="I185" s="60"/>
      <c r="J185" s="60"/>
      <c r="K185" s="60"/>
      <c r="L185" s="60"/>
      <c r="M185" s="60"/>
      <c r="N185" s="60"/>
      <c r="O185" s="71"/>
      <c r="P185" s="44"/>
    </row>
    <row r="186" spans="3:16" ht="20.100000000000001" customHeight="1" x14ac:dyDescent="0.25">
      <c r="C186" s="57"/>
      <c r="D186" s="41"/>
      <c r="E186" s="60"/>
      <c r="F186" s="60"/>
      <c r="G186" s="60"/>
      <c r="H186" s="60"/>
      <c r="I186" s="60"/>
      <c r="J186" s="60"/>
      <c r="K186" s="60"/>
      <c r="L186" s="60"/>
      <c r="M186" s="60"/>
      <c r="N186" s="60"/>
      <c r="O186" s="71"/>
      <c r="P186" s="44"/>
    </row>
    <row r="187" spans="3:16" ht="20.100000000000001" customHeight="1" x14ac:dyDescent="0.25">
      <c r="C187" s="57"/>
      <c r="D187" s="41"/>
      <c r="E187" s="60"/>
      <c r="F187" s="60"/>
      <c r="G187" s="60"/>
      <c r="H187" s="60"/>
      <c r="I187" s="60"/>
      <c r="J187" s="60"/>
      <c r="K187" s="60"/>
      <c r="L187" s="60"/>
      <c r="M187" s="60"/>
      <c r="N187" s="60"/>
      <c r="O187" s="71"/>
      <c r="P187" s="44"/>
    </row>
    <row r="188" spans="3:16" ht="20.100000000000001" customHeight="1" x14ac:dyDescent="0.25">
      <c r="C188" s="57"/>
      <c r="D188" s="41"/>
      <c r="E188" s="60"/>
      <c r="F188" s="60"/>
      <c r="G188" s="60"/>
      <c r="H188" s="60"/>
      <c r="I188" s="60"/>
      <c r="J188" s="60"/>
      <c r="K188" s="60"/>
      <c r="L188" s="60"/>
      <c r="M188" s="60"/>
      <c r="N188" s="60"/>
      <c r="O188" s="71"/>
      <c r="P188" s="44"/>
    </row>
    <row r="189" spans="3:16" ht="20.100000000000001" customHeight="1" x14ac:dyDescent="0.25">
      <c r="C189" s="57"/>
      <c r="D189" s="41"/>
      <c r="E189" s="60"/>
      <c r="F189" s="60"/>
      <c r="G189" s="60"/>
      <c r="H189" s="60"/>
      <c r="I189" s="60"/>
      <c r="J189" s="60"/>
      <c r="K189" s="60"/>
      <c r="L189" s="60"/>
      <c r="M189" s="60"/>
      <c r="N189" s="60"/>
      <c r="O189" s="71"/>
      <c r="P189" s="44"/>
    </row>
    <row r="190" spans="3:16" ht="20.100000000000001" customHeight="1" x14ac:dyDescent="0.25">
      <c r="C190" s="57"/>
      <c r="D190" s="41"/>
      <c r="E190" s="60"/>
      <c r="F190" s="60"/>
      <c r="G190" s="60"/>
      <c r="H190" s="60"/>
      <c r="I190" s="60"/>
      <c r="J190" s="60"/>
      <c r="K190" s="60"/>
      <c r="L190" s="60"/>
      <c r="M190" s="60"/>
      <c r="N190" s="60"/>
      <c r="O190" s="71"/>
      <c r="P190" s="44"/>
    </row>
    <row r="191" spans="3:16" ht="20.100000000000001" customHeight="1" x14ac:dyDescent="0.25">
      <c r="C191" s="57"/>
      <c r="D191" s="41"/>
      <c r="E191" s="60"/>
      <c r="F191" s="60"/>
      <c r="G191" s="60"/>
      <c r="H191" s="60"/>
      <c r="I191" s="60"/>
      <c r="J191" s="60"/>
      <c r="K191" s="60"/>
      <c r="L191" s="60"/>
      <c r="M191" s="60"/>
      <c r="N191" s="60"/>
      <c r="O191" s="71"/>
      <c r="P191" s="44"/>
    </row>
    <row r="192" spans="3:16" ht="20.100000000000001" customHeight="1" x14ac:dyDescent="0.25">
      <c r="C192" s="57"/>
      <c r="D192" s="41"/>
      <c r="E192" s="60"/>
      <c r="F192" s="60"/>
      <c r="G192" s="60"/>
      <c r="H192" s="60"/>
      <c r="I192" s="60"/>
      <c r="J192" s="60"/>
      <c r="K192" s="60"/>
      <c r="L192" s="60"/>
      <c r="M192" s="60"/>
      <c r="N192" s="60"/>
      <c r="O192" s="71"/>
      <c r="P192" s="44"/>
    </row>
    <row r="193" spans="3:16" ht="20.100000000000001" customHeight="1" x14ac:dyDescent="0.25">
      <c r="C193" s="57"/>
      <c r="D193" s="41"/>
      <c r="E193" s="60"/>
      <c r="F193" s="60"/>
      <c r="G193" s="60"/>
      <c r="H193" s="60"/>
      <c r="I193" s="60"/>
      <c r="J193" s="60"/>
      <c r="K193" s="60"/>
      <c r="L193" s="60"/>
      <c r="M193" s="60"/>
      <c r="N193" s="60"/>
      <c r="O193" s="71"/>
      <c r="P193" s="44"/>
    </row>
    <row r="194" spans="3:16" ht="20.100000000000001" customHeight="1" x14ac:dyDescent="0.25">
      <c r="C194" s="57"/>
      <c r="D194" s="41"/>
      <c r="E194" s="60"/>
      <c r="F194" s="60"/>
      <c r="G194" s="60"/>
      <c r="H194" s="60"/>
      <c r="I194" s="60"/>
      <c r="J194" s="60"/>
      <c r="K194" s="60"/>
      <c r="L194" s="60"/>
      <c r="M194" s="60"/>
      <c r="N194" s="60"/>
      <c r="O194" s="71"/>
      <c r="P194" s="44"/>
    </row>
    <row r="195" spans="3:16" ht="20.100000000000001" customHeight="1" x14ac:dyDescent="0.25">
      <c r="C195" s="57"/>
      <c r="D195" s="41"/>
      <c r="E195" s="60"/>
      <c r="F195" s="60"/>
      <c r="G195" s="60"/>
      <c r="H195" s="60"/>
      <c r="I195" s="60"/>
      <c r="J195" s="60"/>
      <c r="K195" s="60"/>
      <c r="L195" s="60"/>
      <c r="M195" s="60"/>
      <c r="N195" s="60"/>
      <c r="O195" s="71"/>
      <c r="P195" s="44"/>
    </row>
    <row r="196" spans="3:16" ht="20.100000000000001" customHeight="1" x14ac:dyDescent="0.25">
      <c r="C196" s="57"/>
      <c r="D196" s="41"/>
      <c r="E196" s="60"/>
      <c r="F196" s="60"/>
      <c r="G196" s="60"/>
      <c r="H196" s="60"/>
      <c r="I196" s="60"/>
      <c r="J196" s="60"/>
      <c r="K196" s="60"/>
      <c r="L196" s="60"/>
      <c r="M196" s="60"/>
      <c r="N196" s="60"/>
      <c r="O196" s="71"/>
      <c r="P196" s="44"/>
    </row>
    <row r="197" spans="3:16" ht="20.100000000000001" customHeight="1" x14ac:dyDescent="0.25">
      <c r="C197" s="57"/>
      <c r="D197" s="41"/>
      <c r="E197" s="60"/>
      <c r="F197" s="60"/>
      <c r="G197" s="60"/>
      <c r="H197" s="60"/>
      <c r="I197" s="60"/>
      <c r="J197" s="60"/>
      <c r="K197" s="60"/>
      <c r="L197" s="60"/>
      <c r="M197" s="60"/>
      <c r="N197" s="60"/>
      <c r="O197" s="71"/>
      <c r="P197" s="44"/>
    </row>
    <row r="198" spans="3:16" ht="20.100000000000001" customHeight="1" x14ac:dyDescent="0.25">
      <c r="C198" s="57"/>
      <c r="D198" s="41"/>
      <c r="E198" s="60"/>
      <c r="F198" s="60"/>
      <c r="G198" s="60"/>
      <c r="H198" s="60"/>
      <c r="I198" s="60"/>
      <c r="J198" s="60"/>
      <c r="K198" s="60"/>
      <c r="L198" s="60"/>
      <c r="M198" s="60"/>
      <c r="N198" s="60"/>
      <c r="O198" s="71"/>
      <c r="P198" s="44"/>
    </row>
    <row r="199" spans="3:16" ht="20.100000000000001" customHeight="1" x14ac:dyDescent="0.25">
      <c r="C199" s="57"/>
      <c r="D199" s="41"/>
      <c r="E199" s="60"/>
      <c r="F199" s="60"/>
      <c r="G199" s="60"/>
      <c r="H199" s="60"/>
      <c r="I199" s="60"/>
      <c r="J199" s="60"/>
      <c r="K199" s="60"/>
      <c r="L199" s="60"/>
      <c r="M199" s="60"/>
      <c r="N199" s="60"/>
      <c r="O199" s="71"/>
      <c r="P199" s="44"/>
    </row>
    <row r="200" spans="3:16" ht="20.100000000000001" customHeight="1" x14ac:dyDescent="0.25">
      <c r="C200" s="57"/>
      <c r="D200" s="41"/>
      <c r="E200" s="60"/>
      <c r="F200" s="60"/>
      <c r="G200" s="60"/>
      <c r="H200" s="60"/>
      <c r="I200" s="60"/>
      <c r="J200" s="60"/>
      <c r="K200" s="60"/>
      <c r="L200" s="60"/>
      <c r="M200" s="60"/>
      <c r="N200" s="60"/>
      <c r="O200" s="71"/>
      <c r="P200" s="44"/>
    </row>
    <row r="201" spans="3:16" ht="20.100000000000001" customHeight="1" x14ac:dyDescent="0.25">
      <c r="C201" s="57"/>
      <c r="D201" s="41"/>
      <c r="E201" s="60"/>
      <c r="F201" s="60"/>
      <c r="G201" s="60"/>
      <c r="H201" s="60"/>
      <c r="I201" s="60"/>
      <c r="J201" s="60"/>
      <c r="K201" s="60"/>
      <c r="L201" s="60"/>
      <c r="M201" s="60"/>
      <c r="N201" s="60"/>
      <c r="O201" s="71"/>
      <c r="P201" s="44"/>
    </row>
    <row r="202" spans="3:16" ht="20.100000000000001" customHeight="1" x14ac:dyDescent="0.25">
      <c r="C202" s="57"/>
      <c r="D202" s="41"/>
      <c r="E202" s="60"/>
      <c r="F202" s="60"/>
      <c r="G202" s="60"/>
      <c r="H202" s="60"/>
      <c r="I202" s="60"/>
      <c r="J202" s="60"/>
      <c r="K202" s="60"/>
      <c r="L202" s="60"/>
      <c r="M202" s="60"/>
      <c r="N202" s="60"/>
      <c r="O202" s="71"/>
      <c r="P202" s="44"/>
    </row>
    <row r="203" spans="3:16" ht="20.100000000000001" customHeight="1" x14ac:dyDescent="0.25">
      <c r="C203" s="57"/>
      <c r="D203" s="41"/>
      <c r="E203" s="60"/>
      <c r="F203" s="60"/>
      <c r="G203" s="60"/>
      <c r="H203" s="60"/>
      <c r="I203" s="60"/>
      <c r="J203" s="60"/>
      <c r="K203" s="60"/>
      <c r="L203" s="60"/>
      <c r="M203" s="60"/>
      <c r="N203" s="60"/>
      <c r="O203" s="71"/>
      <c r="P203" s="44"/>
    </row>
    <row r="204" spans="3:16" ht="20.100000000000001" customHeight="1" x14ac:dyDescent="0.25">
      <c r="C204" s="57"/>
      <c r="D204" s="41"/>
      <c r="E204" s="60"/>
      <c r="F204" s="60"/>
      <c r="G204" s="60"/>
      <c r="H204" s="60"/>
      <c r="I204" s="60"/>
      <c r="J204" s="60"/>
      <c r="K204" s="60"/>
      <c r="L204" s="60"/>
      <c r="M204" s="60"/>
      <c r="N204" s="60"/>
      <c r="O204" s="71"/>
      <c r="P204" s="44"/>
    </row>
    <row r="205" spans="3:16" ht="20.100000000000001" customHeight="1" x14ac:dyDescent="0.25">
      <c r="C205" s="57"/>
      <c r="D205" s="41"/>
      <c r="E205" s="60"/>
      <c r="F205" s="60"/>
      <c r="G205" s="60"/>
      <c r="H205" s="60"/>
      <c r="I205" s="60"/>
      <c r="J205" s="60"/>
      <c r="K205" s="60"/>
      <c r="L205" s="60"/>
      <c r="M205" s="60"/>
      <c r="N205" s="60"/>
      <c r="O205" s="71"/>
      <c r="P205" s="44"/>
    </row>
    <row r="206" spans="3:16" ht="20.100000000000001" customHeight="1" x14ac:dyDescent="0.25">
      <c r="C206" s="57"/>
      <c r="D206" s="41"/>
      <c r="E206" s="60"/>
      <c r="F206" s="60"/>
      <c r="G206" s="60"/>
      <c r="H206" s="60"/>
      <c r="I206" s="60"/>
      <c r="J206" s="60"/>
      <c r="K206" s="60"/>
      <c r="L206" s="60"/>
      <c r="M206" s="60"/>
      <c r="N206" s="60"/>
      <c r="O206" s="71"/>
      <c r="P206" s="44"/>
    </row>
    <row r="207" spans="3:16" ht="20.100000000000001" customHeight="1" x14ac:dyDescent="0.25">
      <c r="C207" s="57"/>
      <c r="D207" s="41"/>
      <c r="E207" s="60"/>
      <c r="F207" s="60"/>
      <c r="G207" s="60"/>
      <c r="H207" s="60"/>
      <c r="I207" s="60"/>
      <c r="J207" s="60"/>
      <c r="K207" s="60"/>
      <c r="L207" s="60"/>
      <c r="M207" s="60"/>
      <c r="N207" s="60"/>
      <c r="O207" s="71"/>
      <c r="P207" s="44"/>
    </row>
    <row r="208" spans="3:16" ht="20.100000000000001" customHeight="1" x14ac:dyDescent="0.25">
      <c r="C208" s="57"/>
      <c r="D208" s="41"/>
      <c r="E208" s="60"/>
      <c r="F208" s="60"/>
      <c r="G208" s="60"/>
      <c r="H208" s="60"/>
      <c r="I208" s="60"/>
      <c r="J208" s="60"/>
      <c r="K208" s="60"/>
      <c r="L208" s="60"/>
      <c r="M208" s="60"/>
      <c r="N208" s="60"/>
      <c r="O208" s="71"/>
      <c r="P208" s="44"/>
    </row>
  </sheetData>
  <conditionalFormatting sqref="C9:C208">
    <cfRule type="expression" dxfId="9" priority="1">
      <formula>AND(C9&lt;&gt;"",COUNTIF($C$9:$C$208,C9)&gt;1)</formula>
    </cfRule>
  </conditionalFormatting>
  <dataValidations count="7">
    <dataValidation type="list" errorStyle="warning" allowBlank="1" showInputMessage="1" showErrorMessage="1" errorTitle="Unusual scale" error="The usual scales are 1, 1000 and 1000000. Keep this value?" promptTitle="Amount scale" prompt="1 = units, 1000 = thousands, 1000000 = millions of the reporting currency." sqref="D4" xr:uid="{00000000-0002-0000-0900-000000000000}">
      <formula1>"1,1000,1000000"</formula1>
    </dataValidation>
    <dataValidation type="decimal" operator="greaterThanOrEqual" allowBlank="1" showInputMessage="1" showErrorMessage="1" errorTitle="Invalid tolerance" error="Enter an amount of zero or more." promptTitle="Absolute tolerance" prompt="Largest difference, in reporting-currency units, that still matches." sqref="D5" xr:uid="{00000000-0002-0000-0900-000001000000}">
      <formula1>0</formula1>
    </dataValidation>
    <dataValidation type="decimal" operator="greaterThanOrEqual" allowBlank="1" showInputMessage="1" showErrorMessage="1" errorTitle="Invalid tolerance" error="Enter a number of zero or more." promptTitle="Relative tolerance" prompt="Largest difference as a share of the bank figure that still matches, for example 0.01% (0.0001)." sqref="D6" xr:uid="{00000000-0002-0000-0900-000002000000}">
      <formula1>0</formula1>
    </dataValidation>
    <dataValidation type="custom" errorStyle="warning" allowBlank="1" showInputMessage="1" showErrorMessage="1" errorTitle="Duplicate ID" error="This netting set ID is already listed. Keep it? No row with this ID will be compared." promptTitle="Netting set ID" prompt="The bank's ID of the netting set, as on NettingSets. A repeated ID makes every row with it DUPLICATE: none is compared." sqref="C9:C208" xr:uid="{00000000-0002-0000-0900-000003000000}">
      <formula1>COUNTIF($C$9:$C$208,C9)=1</formula1>
    </dataValidation>
    <dataValidation type="list" allowBlank="1" showInputMessage="1" showErrorMessage="1" errorTitle="Invalid regime" error="Choose BCBS or CRR." promptTitle="Regime" prompt="Required: BCBS or CRR, the regime of the bank's figures. Without it the row is INVALID INPUT; a regime other than the one on Results is REGIME MISMATCH, not compared." sqref="D9:D208" xr:uid="{00000000-0002-0000-0900-000004000000}">
      <formula1>"BCBS,CRR"</formula1>
    </dataValidation>
    <dataValidation type="custom" allowBlank="1" showInputMessage="1" showErrorMessage="1" errorTitle="Invalid amount" error="Enter a number, or leave the cell blank." promptTitle="Bank figure" prompt="The bank's figure in the amount scale above; blank = not compared." sqref="E9:N208" xr:uid="{00000000-0002-0000-0900-000005000000}">
      <formula1>ISNUMBER(E9)</formula1>
    </dataValidation>
    <dataValidation type="decimal" operator="greaterThan" allowBlank="1" showInputMessage="1" showErrorMessage="1" errorTitle="Invalid multiplier" error="Enter a number greater than zero." promptTitle="Multiplier" prompt="The bank's PFE multiplier, at most 1; not scaled. Blank = not compared." sqref="O9:O208" xr:uid="{00000000-0002-0000-0900-000006000000}">
      <formula1>0</formula1>
    </dataValidation>
  </dataValidations>
  <pageMargins left="0.4" right="0.4" top="0.5" bottom="0.5" header="0.3" footer="0.3"/>
  <pageSetup paperSize="9" fitToHeight="0" orientation="landscape"/>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Reconciliation">
    <tabColor rgb="FF2E75B6"/>
    <pageSetUpPr fitToPage="1"/>
  </sheetPr>
  <dimension ref="B1:N25"/>
  <sheetViews>
    <sheetView showGridLines="0" zoomScaleNormal="100" workbookViewId="0">
      <pane xSplit="3" ySplit="6" topLeftCell="D7" activePane="bottomRight" state="frozen"/>
      <selection pane="topRight" activeCell="D3" sqref="D3"/>
      <selection pane="bottomLeft" activeCell="C7" sqref="C7"/>
      <selection pane="bottomRight" activeCell="M6" sqref="M6"/>
    </sheetView>
  </sheetViews>
  <sheetFormatPr defaultRowHeight="15" x14ac:dyDescent="0.25"/>
  <cols>
    <col min="1" max="2" width="4" customWidth="1"/>
    <col min="3" max="3" width="14.75" style="6" customWidth="1"/>
    <col min="4" max="4" width="7.75" style="9" customWidth="1"/>
    <col min="5" max="5" width="9.75" style="8" customWidth="1"/>
    <col min="6" max="6" width="10.75" style="8" customWidth="1"/>
    <col min="7" max="7" width="26.75" style="6" customWidth="1"/>
    <col min="8" max="8" width="15.75" style="6" customWidth="1"/>
    <col min="9" max="11" width="16.75" style="10" customWidth="1"/>
    <col min="12" max="12" width="12.75" style="15" customWidth="1"/>
    <col min="13" max="13" width="22.75" style="6" customWidth="1"/>
    <col min="14" max="14" width="80.75" style="6" customWidth="1"/>
  </cols>
  <sheetData>
    <row r="1" spans="2:14" ht="24" customHeight="1" x14ac:dyDescent="0.25">
      <c r="B1" s="24" t="s">
        <v>0</v>
      </c>
      <c r="C1" s="25"/>
      <c r="D1" s="26"/>
      <c r="E1" s="63"/>
      <c r="F1" s="63"/>
      <c r="G1" s="63"/>
      <c r="H1" s="63"/>
      <c r="I1" s="63"/>
      <c r="J1" s="63"/>
      <c r="K1" s="63"/>
      <c r="L1" s="63"/>
      <c r="M1" s="63"/>
      <c r="N1" s="63"/>
    </row>
    <row r="2" spans="2:14" ht="26.1" customHeight="1" x14ac:dyDescent="0.25">
      <c r="B2" s="28" t="s">
        <v>882</v>
      </c>
      <c r="C2" s="29"/>
      <c r="D2" s="30"/>
      <c r="E2" s="65"/>
      <c r="F2" s="65"/>
      <c r="G2" s="65"/>
      <c r="H2" s="65"/>
      <c r="I2" s="65"/>
      <c r="J2" s="65"/>
      <c r="K2" s="65"/>
      <c r="L2" s="65"/>
      <c r="M2" s="65"/>
      <c r="N2" s="65"/>
    </row>
    <row r="3" spans="2:14" ht="33.950000000000003" customHeight="1" x14ac:dyDescent="0.25">
      <c r="C3" s="1"/>
    </row>
    <row r="4" spans="2:14" x14ac:dyDescent="0.25">
      <c r="C4" s="13" t="s">
        <v>906</v>
      </c>
    </row>
    <row r="5" spans="2:14" x14ac:dyDescent="0.25">
      <c r="C5" s="13" t="str" cm="1">
        <f t="array" ref="C5">ReconciliationStatusText(SACCR_ReconInputs,SACCR_RunInputs,BankNettingSets!$1:$1048576,NettingSets!$C:$S,Trades!$C:$AC,Params!$1:$1048576)</f>
        <v>No reconciliation: enter bank figures on BankNettingSets and press Run SA-CCR (on Results or Trades).</v>
      </c>
    </row>
    <row r="6" spans="2:14" ht="42" customHeight="1" x14ac:dyDescent="0.25">
      <c r="C6" s="127" t="s">
        <v>233</v>
      </c>
      <c r="D6" s="128" t="s">
        <v>883</v>
      </c>
      <c r="E6" s="128" t="s">
        <v>884</v>
      </c>
      <c r="F6" s="128" t="s">
        <v>885</v>
      </c>
      <c r="G6" s="127" t="s">
        <v>886</v>
      </c>
      <c r="H6" s="128" t="s">
        <v>887</v>
      </c>
      <c r="I6" s="128" t="s">
        <v>919</v>
      </c>
      <c r="J6" s="128" t="s">
        <v>889</v>
      </c>
      <c r="K6" s="128" t="s">
        <v>890</v>
      </c>
      <c r="L6" s="128" t="s">
        <v>891</v>
      </c>
      <c r="M6" s="128" t="s">
        <v>499</v>
      </c>
      <c r="N6" s="127" t="s">
        <v>532</v>
      </c>
    </row>
    <row r="7" spans="2:14" x14ac:dyDescent="0.25">
      <c r="C7" s="112"/>
      <c r="E7" s="113"/>
      <c r="F7" s="113"/>
      <c r="G7" s="112"/>
      <c r="H7" s="112"/>
      <c r="I7" s="120"/>
      <c r="J7" s="120"/>
      <c r="K7" s="120"/>
      <c r="L7" s="17"/>
      <c r="M7" s="112"/>
      <c r="N7" s="112"/>
    </row>
    <row r="8" spans="2:14" x14ac:dyDescent="0.25">
      <c r="C8" s="112"/>
      <c r="E8" s="113"/>
      <c r="F8" s="113"/>
      <c r="G8" s="112"/>
      <c r="H8" s="112"/>
      <c r="I8" s="120"/>
      <c r="J8" s="120"/>
      <c r="K8" s="120"/>
      <c r="L8" s="17"/>
      <c r="M8" s="112"/>
      <c r="N8" s="112"/>
    </row>
    <row r="9" spans="2:14" x14ac:dyDescent="0.25">
      <c r="C9" s="112"/>
      <c r="E9" s="113"/>
      <c r="F9" s="113"/>
      <c r="G9" s="112"/>
      <c r="H9" s="112"/>
      <c r="I9" s="120"/>
      <c r="J9" s="120"/>
      <c r="K9" s="120"/>
      <c r="L9" s="17"/>
      <c r="M9" s="112"/>
      <c r="N9" s="112"/>
    </row>
    <row r="10" spans="2:14" x14ac:dyDescent="0.25">
      <c r="C10" s="112"/>
      <c r="E10" s="113"/>
      <c r="F10" s="113"/>
      <c r="G10" s="112"/>
      <c r="H10" s="112"/>
      <c r="I10" s="120"/>
      <c r="J10" s="120"/>
      <c r="K10" s="120"/>
      <c r="L10" s="17"/>
      <c r="M10" s="112"/>
      <c r="N10" s="112"/>
    </row>
    <row r="11" spans="2:14" x14ac:dyDescent="0.25">
      <c r="C11" s="112"/>
      <c r="E11" s="113"/>
      <c r="F11" s="113"/>
      <c r="G11" s="112"/>
      <c r="H11" s="112"/>
      <c r="I11" s="120"/>
      <c r="J11" s="120"/>
      <c r="K11" s="120"/>
      <c r="L11" s="17"/>
      <c r="M11" s="112"/>
      <c r="N11" s="112"/>
    </row>
    <row r="12" spans="2:14" x14ac:dyDescent="0.25">
      <c r="C12" s="112"/>
      <c r="E12" s="113"/>
      <c r="F12" s="113"/>
      <c r="G12" s="112"/>
      <c r="H12" s="112"/>
      <c r="I12" s="120"/>
      <c r="J12" s="120"/>
      <c r="K12" s="120"/>
      <c r="L12" s="17"/>
      <c r="M12" s="112"/>
      <c r="N12" s="112"/>
    </row>
    <row r="13" spans="2:14" x14ac:dyDescent="0.25">
      <c r="C13" s="112"/>
      <c r="E13" s="113"/>
      <c r="F13" s="113"/>
      <c r="G13" s="112"/>
      <c r="H13" s="112"/>
      <c r="I13" s="120"/>
      <c r="J13" s="120"/>
      <c r="K13" s="120"/>
      <c r="L13" s="17"/>
      <c r="M13" s="112"/>
      <c r="N13" s="112"/>
    </row>
    <row r="14" spans="2:14" x14ac:dyDescent="0.25">
      <c r="C14" s="112"/>
      <c r="E14" s="113"/>
      <c r="F14" s="113"/>
      <c r="G14" s="112"/>
      <c r="H14" s="112"/>
      <c r="I14" s="120"/>
      <c r="J14" s="120"/>
      <c r="K14" s="120"/>
      <c r="L14" s="17"/>
      <c r="M14" s="112"/>
      <c r="N14" s="112"/>
    </row>
    <row r="15" spans="2:14" x14ac:dyDescent="0.25">
      <c r="C15" s="112"/>
      <c r="E15" s="113"/>
      <c r="F15" s="113"/>
      <c r="G15" s="112"/>
      <c r="H15" s="112"/>
      <c r="I15" s="120"/>
      <c r="J15" s="120"/>
      <c r="K15" s="120"/>
      <c r="L15" s="17"/>
      <c r="M15" s="112"/>
      <c r="N15" s="112"/>
    </row>
    <row r="16" spans="2:14" x14ac:dyDescent="0.25">
      <c r="C16" s="112"/>
      <c r="E16" s="113"/>
      <c r="F16" s="113"/>
      <c r="G16" s="112"/>
      <c r="H16" s="112"/>
      <c r="I16" s="120"/>
      <c r="J16" s="120"/>
      <c r="K16" s="120"/>
      <c r="L16" s="17"/>
      <c r="M16" s="112"/>
      <c r="N16" s="112"/>
    </row>
    <row r="17" spans="3:14" x14ac:dyDescent="0.25">
      <c r="C17" s="112"/>
      <c r="E17" s="113"/>
      <c r="F17" s="113"/>
      <c r="G17" s="112"/>
      <c r="H17" s="112"/>
      <c r="I17" s="120"/>
      <c r="J17" s="120"/>
      <c r="K17" s="120"/>
      <c r="L17" s="17"/>
      <c r="M17" s="112"/>
      <c r="N17" s="112"/>
    </row>
    <row r="18" spans="3:14" x14ac:dyDescent="0.25">
      <c r="C18" s="112"/>
      <c r="E18" s="113"/>
      <c r="F18" s="113"/>
      <c r="G18" s="112"/>
      <c r="H18" s="112"/>
      <c r="I18" s="120"/>
      <c r="J18" s="120"/>
      <c r="K18" s="120"/>
      <c r="L18" s="17"/>
      <c r="M18" s="112"/>
      <c r="N18" s="112"/>
    </row>
    <row r="19" spans="3:14" x14ac:dyDescent="0.25">
      <c r="C19" s="112"/>
      <c r="E19" s="113"/>
      <c r="F19" s="113"/>
      <c r="G19" s="112"/>
      <c r="H19" s="112"/>
      <c r="I19" s="120"/>
      <c r="J19" s="120"/>
      <c r="K19" s="120"/>
      <c r="L19" s="17"/>
      <c r="M19" s="112"/>
      <c r="N19" s="112"/>
    </row>
    <row r="20" spans="3:14" x14ac:dyDescent="0.25">
      <c r="C20" s="112"/>
      <c r="E20" s="113"/>
      <c r="F20" s="113"/>
      <c r="G20" s="112"/>
      <c r="H20" s="112"/>
      <c r="I20" s="120"/>
      <c r="J20" s="120"/>
      <c r="K20" s="120"/>
      <c r="L20" s="17"/>
      <c r="M20" s="112"/>
      <c r="N20" s="112"/>
    </row>
    <row r="21" spans="3:14" x14ac:dyDescent="0.25">
      <c r="C21" s="112"/>
      <c r="E21" s="113"/>
      <c r="F21" s="113"/>
      <c r="G21" s="112"/>
      <c r="H21" s="112"/>
      <c r="I21" s="120"/>
      <c r="J21" s="120"/>
      <c r="K21" s="120"/>
      <c r="L21" s="17"/>
      <c r="M21" s="112"/>
      <c r="N21" s="112"/>
    </row>
    <row r="22" spans="3:14" x14ac:dyDescent="0.25">
      <c r="C22" s="112"/>
      <c r="E22" s="113"/>
      <c r="F22" s="113"/>
      <c r="G22" s="112"/>
      <c r="H22" s="112"/>
      <c r="I22" s="120"/>
      <c r="J22" s="120"/>
      <c r="K22" s="120"/>
      <c r="L22" s="17"/>
      <c r="M22" s="112"/>
      <c r="N22" s="112"/>
    </row>
    <row r="23" spans="3:14" x14ac:dyDescent="0.25">
      <c r="C23" s="112"/>
      <c r="E23" s="113"/>
      <c r="F23" s="113"/>
      <c r="G23" s="112"/>
      <c r="H23" s="112"/>
      <c r="I23" s="120"/>
      <c r="J23" s="120"/>
      <c r="K23" s="120"/>
      <c r="L23" s="17"/>
      <c r="M23" s="112"/>
      <c r="N23" s="112"/>
    </row>
    <row r="24" spans="3:14" x14ac:dyDescent="0.25">
      <c r="C24" s="112"/>
      <c r="E24" s="113"/>
      <c r="F24" s="113"/>
      <c r="G24" s="112"/>
      <c r="H24" s="112"/>
      <c r="I24" s="120"/>
      <c r="J24" s="120"/>
      <c r="K24" s="120"/>
      <c r="L24" s="17"/>
      <c r="M24" s="112"/>
      <c r="N24" s="112"/>
    </row>
    <row r="25" spans="3:14" x14ac:dyDescent="0.25">
      <c r="C25" s="112"/>
      <c r="E25" s="113"/>
      <c r="F25" s="113"/>
      <c r="G25" s="112"/>
      <c r="H25" s="112"/>
      <c r="I25" s="120"/>
      <c r="J25" s="120"/>
      <c r="K25" s="120"/>
      <c r="L25" s="17"/>
      <c r="M25" s="112"/>
      <c r="N25" s="112"/>
    </row>
  </sheetData>
  <conditionalFormatting sqref="C5">
    <cfRule type="beginsWith" dxfId="8" priority="3" operator="beginsWith" text="OUT OF DATE">
      <formula>LEFT(C5,LEN("OUT OF DATE"))="OUT OF DATE"</formula>
    </cfRule>
  </conditionalFormatting>
  <conditionalFormatting sqref="M7:M100000">
    <cfRule type="cellIs" dxfId="7" priority="1" operator="equal">
      <formula>"MATCH"</formula>
    </cfRule>
    <cfRule type="expression" dxfId="6" priority="2">
      <formula>AND(M7&lt;&gt;"",M7&lt;&gt;"MATCH")</formula>
    </cfRule>
  </conditionalFormatting>
  <pageMargins left="0.4" right="0.4" top="0.5" bottom="0.5" header="0.3" footer="0.3"/>
  <pageSetup paperSize="9" fitToHeight="0" orientation="landscape"/>
  <drawing r:id="rId1"/>
  <legacyDrawing r:id="rId2"/>
  <mc:AlternateContent xmlns:mc="http://schemas.openxmlformats.org/markup-compatibility/2006">
    <mc:Choice Requires="x14">
      <controls>
        <mc:AlternateContent xmlns:mc="http://schemas.openxmlformats.org/markup-compatibility/2006">
          <mc:Choice Requires="x14">
            <control shapeId="5121" r:id="rId3" name="Button 1">
              <controlPr defaultSize="0" print="0" autoFill="0" autoPict="0" macro="[0]!ExportEvidence">
                <anchor moveWithCells="1" sizeWithCells="1">
                  <from>
                    <xdr:col>6</xdr:col>
                    <xdr:colOff>0</xdr:colOff>
                    <xdr:row>2</xdr:row>
                    <xdr:rowOff>38100</xdr:rowOff>
                  </from>
                  <to>
                    <xdr:col>6</xdr:col>
                    <xdr:colOff>1285875</xdr:colOff>
                    <xdr:row>2</xdr:row>
                    <xdr:rowOff>285750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BankTrades">
    <tabColor rgb="FFBF9000"/>
    <pageSetUpPr fitToPage="1"/>
  </sheetPr>
  <dimension ref="B1:O508"/>
  <sheetViews>
    <sheetView showGridLines="0" zoomScaleNormal="100" workbookViewId="0">
      <pane ySplit="8" topLeftCell="A9" activePane="bottomLeft" state="frozen"/>
      <selection pane="bottomLeft" activeCell="C8" sqref="C8:O8"/>
    </sheetView>
  </sheetViews>
  <sheetFormatPr defaultRowHeight="15" x14ac:dyDescent="0.25"/>
  <cols>
    <col min="1" max="2" width="4" customWidth="1"/>
    <col min="3" max="3" width="20.625" style="34" customWidth="1"/>
    <col min="4" max="14" width="14.625" style="34" customWidth="1"/>
    <col min="15" max="15" width="40.625" style="34" customWidth="1"/>
  </cols>
  <sheetData>
    <row r="1" spans="2:15" ht="24" customHeight="1" x14ac:dyDescent="0.25">
      <c r="B1" s="24" t="s">
        <v>0</v>
      </c>
      <c r="C1" s="25"/>
      <c r="D1" s="26"/>
      <c r="E1" s="26"/>
      <c r="F1" s="26"/>
      <c r="G1" s="26"/>
      <c r="H1" s="26"/>
      <c r="I1" s="26"/>
      <c r="J1" s="26"/>
      <c r="K1" s="26"/>
      <c r="L1" s="26"/>
      <c r="M1" s="26"/>
      <c r="N1" s="26"/>
      <c r="O1" s="26"/>
    </row>
    <row r="2" spans="2:15" ht="26.1" customHeight="1" x14ac:dyDescent="0.25">
      <c r="B2" s="28" t="s">
        <v>895</v>
      </c>
      <c r="C2" s="29"/>
      <c r="D2" s="30"/>
      <c r="E2" s="30"/>
      <c r="F2" s="30"/>
      <c r="G2" s="30"/>
      <c r="H2" s="30"/>
      <c r="I2" s="30"/>
      <c r="J2" s="30"/>
      <c r="K2" s="30"/>
      <c r="L2" s="30"/>
      <c r="M2" s="30"/>
      <c r="N2" s="30"/>
      <c r="O2" s="30"/>
    </row>
    <row r="3" spans="2:15" ht="30" customHeight="1" x14ac:dyDescent="0.25">
      <c r="C3" s="40" t="s">
        <v>896</v>
      </c>
    </row>
    <row r="4" spans="2:15" ht="20.100000000000001" customHeight="1" x14ac:dyDescent="0.25">
      <c r="C4" s="34" t="s">
        <v>875</v>
      </c>
      <c r="D4" s="58">
        <v>1</v>
      </c>
      <c r="E4" s="2" t="s">
        <v>897</v>
      </c>
    </row>
    <row r="5" spans="2:15" ht="20.100000000000001" customHeight="1" x14ac:dyDescent="0.25">
      <c r="C5" s="34" t="s">
        <v>877</v>
      </c>
      <c r="D5" s="60">
        <v>1</v>
      </c>
      <c r="E5" s="2" t="s">
        <v>898</v>
      </c>
    </row>
    <row r="6" spans="2:15" ht="20.100000000000001" customHeight="1" x14ac:dyDescent="0.25">
      <c r="C6" s="34" t="s">
        <v>879</v>
      </c>
      <c r="D6" s="101">
        <v>1E-4</v>
      </c>
      <c r="E6" s="2" t="s">
        <v>880</v>
      </c>
    </row>
    <row r="8" spans="2:15" s="34" customFormat="1" ht="50.1" customHeight="1" x14ac:dyDescent="0.25">
      <c r="C8" s="68" t="s">
        <v>281</v>
      </c>
      <c r="D8" s="52" t="s">
        <v>475</v>
      </c>
      <c r="E8" s="52" t="s">
        <v>476</v>
      </c>
      <c r="F8" s="52" t="s">
        <v>819</v>
      </c>
      <c r="G8" s="52" t="s">
        <v>68</v>
      </c>
      <c r="H8" s="52" t="s">
        <v>481</v>
      </c>
      <c r="I8" s="52" t="s">
        <v>482</v>
      </c>
      <c r="J8" s="52" t="s">
        <v>483</v>
      </c>
      <c r="K8" s="52" t="s">
        <v>484</v>
      </c>
      <c r="L8" s="52" t="s">
        <v>467</v>
      </c>
      <c r="M8" s="52" t="s">
        <v>468</v>
      </c>
      <c r="N8" s="52" t="s">
        <v>486</v>
      </c>
      <c r="O8" s="52" t="s">
        <v>287</v>
      </c>
    </row>
    <row r="9" spans="2:15" ht="20.100000000000001" customHeight="1" x14ac:dyDescent="0.25">
      <c r="C9" s="57" t="s">
        <v>904</v>
      </c>
      <c r="D9" s="60"/>
      <c r="E9" s="60"/>
      <c r="F9" s="71"/>
      <c r="G9" s="71"/>
      <c r="H9" s="60"/>
      <c r="I9" s="71"/>
      <c r="J9" s="71"/>
      <c r="K9" s="71"/>
      <c r="L9" s="60"/>
      <c r="M9" s="60"/>
      <c r="N9" s="60"/>
      <c r="O9" s="44"/>
    </row>
    <row r="10" spans="2:15" ht="20.100000000000001" customHeight="1" x14ac:dyDescent="0.25">
      <c r="C10" s="57" t="s">
        <v>904</v>
      </c>
      <c r="D10" s="60"/>
      <c r="E10" s="60"/>
      <c r="F10" s="71"/>
      <c r="G10" s="71"/>
      <c r="H10" s="60"/>
      <c r="I10" s="71"/>
      <c r="J10" s="71"/>
      <c r="K10" s="71"/>
      <c r="L10" s="60"/>
      <c r="M10" s="60"/>
      <c r="N10" s="60"/>
      <c r="O10" s="44"/>
    </row>
    <row r="11" spans="2:15" ht="20.100000000000001" customHeight="1" x14ac:dyDescent="0.25">
      <c r="C11" s="57" t="s">
        <v>904</v>
      </c>
      <c r="D11" s="60"/>
      <c r="E11" s="60"/>
      <c r="F11" s="71"/>
      <c r="G11" s="71"/>
      <c r="H11" s="60"/>
      <c r="I11" s="71"/>
      <c r="J11" s="71"/>
      <c r="K11" s="71"/>
      <c r="L11" s="60"/>
      <c r="M11" s="60"/>
      <c r="N11" s="60"/>
      <c r="O11" s="44"/>
    </row>
    <row r="12" spans="2:15" ht="20.100000000000001" customHeight="1" x14ac:dyDescent="0.25">
      <c r="C12" s="57" t="s">
        <v>904</v>
      </c>
      <c r="D12" s="60"/>
      <c r="E12" s="60"/>
      <c r="F12" s="71"/>
      <c r="G12" s="71"/>
      <c r="H12" s="60"/>
      <c r="I12" s="71"/>
      <c r="J12" s="71"/>
      <c r="K12" s="71"/>
      <c r="L12" s="60"/>
      <c r="M12" s="60"/>
      <c r="N12" s="60"/>
      <c r="O12" s="44"/>
    </row>
    <row r="13" spans="2:15" ht="20.100000000000001" customHeight="1" x14ac:dyDescent="0.25">
      <c r="C13" s="57" t="s">
        <v>904</v>
      </c>
      <c r="D13" s="60"/>
      <c r="E13" s="60"/>
      <c r="F13" s="71"/>
      <c r="G13" s="71"/>
      <c r="H13" s="60"/>
      <c r="I13" s="71"/>
      <c r="J13" s="71"/>
      <c r="K13" s="71"/>
      <c r="L13" s="60"/>
      <c r="M13" s="60"/>
      <c r="N13" s="60"/>
      <c r="O13" s="44"/>
    </row>
    <row r="14" spans="2:15" ht="20.100000000000001" customHeight="1" x14ac:dyDescent="0.25">
      <c r="C14" s="57" t="s">
        <v>904</v>
      </c>
      <c r="D14" s="60"/>
      <c r="E14" s="60"/>
      <c r="F14" s="71"/>
      <c r="G14" s="71"/>
      <c r="H14" s="60"/>
      <c r="I14" s="71"/>
      <c r="J14" s="71"/>
      <c r="K14" s="71"/>
      <c r="L14" s="60"/>
      <c r="M14" s="60"/>
      <c r="N14" s="60"/>
      <c r="O14" s="44"/>
    </row>
    <row r="15" spans="2:15" ht="20.100000000000001" customHeight="1" x14ac:dyDescent="0.25">
      <c r="C15" s="57" t="s">
        <v>904</v>
      </c>
      <c r="D15" s="60"/>
      <c r="E15" s="60"/>
      <c r="F15" s="71"/>
      <c r="G15" s="71"/>
      <c r="H15" s="60"/>
      <c r="I15" s="71"/>
      <c r="J15" s="71"/>
      <c r="K15" s="71"/>
      <c r="L15" s="60"/>
      <c r="M15" s="60"/>
      <c r="N15" s="60"/>
      <c r="O15" s="44"/>
    </row>
    <row r="16" spans="2:15" ht="20.100000000000001" customHeight="1" x14ac:dyDescent="0.25">
      <c r="C16" s="57" t="s">
        <v>904</v>
      </c>
      <c r="D16" s="60"/>
      <c r="E16" s="60"/>
      <c r="F16" s="71"/>
      <c r="G16" s="71"/>
      <c r="H16" s="60"/>
      <c r="I16" s="71"/>
      <c r="J16" s="71"/>
      <c r="K16" s="71"/>
      <c r="L16" s="60"/>
      <c r="M16" s="60"/>
      <c r="N16" s="60"/>
      <c r="O16" s="44"/>
    </row>
    <row r="17" spans="3:15" ht="20.100000000000001" customHeight="1" x14ac:dyDescent="0.25">
      <c r="C17" s="57" t="s">
        <v>904</v>
      </c>
      <c r="D17" s="60"/>
      <c r="E17" s="60"/>
      <c r="F17" s="71"/>
      <c r="G17" s="71"/>
      <c r="H17" s="60"/>
      <c r="I17" s="71"/>
      <c r="J17" s="71"/>
      <c r="K17" s="71"/>
      <c r="L17" s="60"/>
      <c r="M17" s="60"/>
      <c r="N17" s="60"/>
      <c r="O17" s="44"/>
    </row>
    <row r="18" spans="3:15" ht="20.100000000000001" customHeight="1" x14ac:dyDescent="0.25">
      <c r="C18" s="57" t="s">
        <v>904</v>
      </c>
      <c r="D18" s="60"/>
      <c r="E18" s="60"/>
      <c r="F18" s="71"/>
      <c r="G18" s="71"/>
      <c r="H18" s="60"/>
      <c r="I18" s="71"/>
      <c r="J18" s="71"/>
      <c r="K18" s="71"/>
      <c r="L18" s="60"/>
      <c r="M18" s="60"/>
      <c r="N18" s="60"/>
      <c r="O18" s="44"/>
    </row>
    <row r="19" spans="3:15" ht="20.100000000000001" customHeight="1" x14ac:dyDescent="0.25">
      <c r="C19" s="57" t="s">
        <v>904</v>
      </c>
      <c r="D19" s="60"/>
      <c r="E19" s="60"/>
      <c r="F19" s="71"/>
      <c r="G19" s="71"/>
      <c r="H19" s="60"/>
      <c r="I19" s="71"/>
      <c r="J19" s="71"/>
      <c r="K19" s="71"/>
      <c r="L19" s="60"/>
      <c r="M19" s="60"/>
      <c r="N19" s="60"/>
      <c r="O19" s="44"/>
    </row>
    <row r="20" spans="3:15" ht="20.100000000000001" customHeight="1" x14ac:dyDescent="0.25">
      <c r="C20" s="57" t="s">
        <v>904</v>
      </c>
      <c r="D20" s="60"/>
      <c r="E20" s="60"/>
      <c r="F20" s="71"/>
      <c r="G20" s="71"/>
      <c r="H20" s="60"/>
      <c r="I20" s="71"/>
      <c r="J20" s="71"/>
      <c r="K20" s="71"/>
      <c r="L20" s="60"/>
      <c r="M20" s="60"/>
      <c r="N20" s="60"/>
      <c r="O20" s="44"/>
    </row>
    <row r="21" spans="3:15" ht="20.100000000000001" customHeight="1" x14ac:dyDescent="0.25">
      <c r="C21" s="57" t="s">
        <v>904</v>
      </c>
      <c r="D21" s="60"/>
      <c r="E21" s="60"/>
      <c r="F21" s="71"/>
      <c r="G21" s="71"/>
      <c r="H21" s="60"/>
      <c r="I21" s="71"/>
      <c r="J21" s="71"/>
      <c r="K21" s="71"/>
      <c r="L21" s="60"/>
      <c r="M21" s="60"/>
      <c r="N21" s="60"/>
      <c r="O21" s="44"/>
    </row>
    <row r="22" spans="3:15" ht="20.100000000000001" customHeight="1" x14ac:dyDescent="0.25">
      <c r="C22" s="57" t="s">
        <v>904</v>
      </c>
      <c r="D22" s="60"/>
      <c r="E22" s="60"/>
      <c r="F22" s="71"/>
      <c r="G22" s="71"/>
      <c r="H22" s="60"/>
      <c r="I22" s="71"/>
      <c r="J22" s="71"/>
      <c r="K22" s="71"/>
      <c r="L22" s="60"/>
      <c r="M22" s="60"/>
      <c r="N22" s="60"/>
      <c r="O22" s="44"/>
    </row>
    <row r="23" spans="3:15" ht="20.100000000000001" customHeight="1" x14ac:dyDescent="0.25">
      <c r="C23" s="57" t="s">
        <v>904</v>
      </c>
      <c r="D23" s="60"/>
      <c r="E23" s="60"/>
      <c r="F23" s="71"/>
      <c r="G23" s="71"/>
      <c r="H23" s="60"/>
      <c r="I23" s="71"/>
      <c r="J23" s="71"/>
      <c r="K23" s="71"/>
      <c r="L23" s="60"/>
      <c r="M23" s="60"/>
      <c r="N23" s="60"/>
      <c r="O23" s="44"/>
    </row>
    <row r="24" spans="3:15" ht="20.100000000000001" customHeight="1" x14ac:dyDescent="0.25">
      <c r="C24" s="57" t="s">
        <v>904</v>
      </c>
      <c r="D24" s="60"/>
      <c r="E24" s="60"/>
      <c r="F24" s="71"/>
      <c r="G24" s="71"/>
      <c r="H24" s="60"/>
      <c r="I24" s="71"/>
      <c r="J24" s="71"/>
      <c r="K24" s="71"/>
      <c r="L24" s="60"/>
      <c r="M24" s="60"/>
      <c r="N24" s="60"/>
      <c r="O24" s="44"/>
    </row>
    <row r="25" spans="3:15" ht="20.100000000000001" customHeight="1" x14ac:dyDescent="0.25">
      <c r="C25" s="57" t="s">
        <v>904</v>
      </c>
      <c r="D25" s="60"/>
      <c r="E25" s="60"/>
      <c r="F25" s="71"/>
      <c r="G25" s="71"/>
      <c r="H25" s="60"/>
      <c r="I25" s="71"/>
      <c r="J25" s="71"/>
      <c r="K25" s="71"/>
      <c r="L25" s="60"/>
      <c r="M25" s="60"/>
      <c r="N25" s="60"/>
      <c r="O25" s="44"/>
    </row>
    <row r="26" spans="3:15" ht="20.100000000000001" customHeight="1" x14ac:dyDescent="0.25">
      <c r="C26" s="57" t="s">
        <v>904</v>
      </c>
      <c r="D26" s="60"/>
      <c r="E26" s="60"/>
      <c r="F26" s="71"/>
      <c r="G26" s="71"/>
      <c r="H26" s="60"/>
      <c r="I26" s="71"/>
      <c r="J26" s="71"/>
      <c r="K26" s="71"/>
      <c r="L26" s="60"/>
      <c r="M26" s="60"/>
      <c r="N26" s="60"/>
      <c r="O26" s="44"/>
    </row>
    <row r="27" spans="3:15" ht="20.100000000000001" customHeight="1" x14ac:dyDescent="0.25">
      <c r="C27" s="57" t="s">
        <v>904</v>
      </c>
      <c r="D27" s="60"/>
      <c r="E27" s="60"/>
      <c r="F27" s="71"/>
      <c r="G27" s="71"/>
      <c r="H27" s="60"/>
      <c r="I27" s="71"/>
      <c r="J27" s="71"/>
      <c r="K27" s="71"/>
      <c r="L27" s="60"/>
      <c r="M27" s="60"/>
      <c r="N27" s="60"/>
      <c r="O27" s="44"/>
    </row>
    <row r="28" spans="3:15" ht="20.100000000000001" customHeight="1" x14ac:dyDescent="0.25">
      <c r="C28" s="57" t="s">
        <v>904</v>
      </c>
      <c r="D28" s="60"/>
      <c r="E28" s="60"/>
      <c r="F28" s="71"/>
      <c r="G28" s="71"/>
      <c r="H28" s="60"/>
      <c r="I28" s="71"/>
      <c r="J28" s="71"/>
      <c r="K28" s="71"/>
      <c r="L28" s="60"/>
      <c r="M28" s="60"/>
      <c r="N28" s="60"/>
      <c r="O28" s="44"/>
    </row>
    <row r="29" spans="3:15" ht="20.100000000000001" customHeight="1" x14ac:dyDescent="0.25">
      <c r="C29" s="57" t="s">
        <v>904</v>
      </c>
      <c r="D29" s="60"/>
      <c r="E29" s="60"/>
      <c r="F29" s="71"/>
      <c r="G29" s="71"/>
      <c r="H29" s="60"/>
      <c r="I29" s="71"/>
      <c r="J29" s="71"/>
      <c r="K29" s="71"/>
      <c r="L29" s="60"/>
      <c r="M29" s="60"/>
      <c r="N29" s="60"/>
      <c r="O29" s="44"/>
    </row>
    <row r="30" spans="3:15" ht="20.100000000000001" customHeight="1" x14ac:dyDescent="0.25">
      <c r="C30" s="57" t="s">
        <v>904</v>
      </c>
      <c r="D30" s="60"/>
      <c r="E30" s="60"/>
      <c r="F30" s="71"/>
      <c r="G30" s="71"/>
      <c r="H30" s="60"/>
      <c r="I30" s="71"/>
      <c r="J30" s="71"/>
      <c r="K30" s="71"/>
      <c r="L30" s="60"/>
      <c r="M30" s="60"/>
      <c r="N30" s="60"/>
      <c r="O30" s="44"/>
    </row>
    <row r="31" spans="3:15" ht="20.100000000000001" customHeight="1" x14ac:dyDescent="0.25">
      <c r="C31" s="57" t="s">
        <v>904</v>
      </c>
      <c r="D31" s="60"/>
      <c r="E31" s="60"/>
      <c r="F31" s="71"/>
      <c r="G31" s="71"/>
      <c r="H31" s="60"/>
      <c r="I31" s="71"/>
      <c r="J31" s="71"/>
      <c r="K31" s="71"/>
      <c r="L31" s="60"/>
      <c r="M31" s="60"/>
      <c r="N31" s="60"/>
      <c r="O31" s="44"/>
    </row>
    <row r="32" spans="3:15" ht="20.100000000000001" customHeight="1" x14ac:dyDescent="0.25">
      <c r="C32" s="57" t="s">
        <v>904</v>
      </c>
      <c r="D32" s="60"/>
      <c r="E32" s="60"/>
      <c r="F32" s="71"/>
      <c r="G32" s="71"/>
      <c r="H32" s="60"/>
      <c r="I32" s="71"/>
      <c r="J32" s="71"/>
      <c r="K32" s="71"/>
      <c r="L32" s="60"/>
      <c r="M32" s="60"/>
      <c r="N32" s="60"/>
      <c r="O32" s="44"/>
    </row>
    <row r="33" spans="3:15" ht="20.100000000000001" customHeight="1" x14ac:dyDescent="0.25">
      <c r="C33" s="57" t="s">
        <v>904</v>
      </c>
      <c r="D33" s="60"/>
      <c r="E33" s="60"/>
      <c r="F33" s="71"/>
      <c r="G33" s="71"/>
      <c r="H33" s="60"/>
      <c r="I33" s="71"/>
      <c r="J33" s="71"/>
      <c r="K33" s="71"/>
      <c r="L33" s="60"/>
      <c r="M33" s="60"/>
      <c r="N33" s="60"/>
      <c r="O33" s="44"/>
    </row>
    <row r="34" spans="3:15" ht="20.100000000000001" customHeight="1" x14ac:dyDescent="0.25">
      <c r="C34" s="57" t="s">
        <v>904</v>
      </c>
      <c r="D34" s="60"/>
      <c r="E34" s="60"/>
      <c r="F34" s="71"/>
      <c r="G34" s="71"/>
      <c r="H34" s="60"/>
      <c r="I34" s="71"/>
      <c r="J34" s="71"/>
      <c r="K34" s="71"/>
      <c r="L34" s="60"/>
      <c r="M34" s="60"/>
      <c r="N34" s="60"/>
      <c r="O34" s="44"/>
    </row>
    <row r="35" spans="3:15" ht="20.100000000000001" customHeight="1" x14ac:dyDescent="0.25">
      <c r="C35" s="57" t="s">
        <v>904</v>
      </c>
      <c r="D35" s="60"/>
      <c r="E35" s="60"/>
      <c r="F35" s="71"/>
      <c r="G35" s="71"/>
      <c r="H35" s="60"/>
      <c r="I35" s="71"/>
      <c r="J35" s="71"/>
      <c r="K35" s="71"/>
      <c r="L35" s="60"/>
      <c r="M35" s="60"/>
      <c r="N35" s="60"/>
      <c r="O35" s="44"/>
    </row>
    <row r="36" spans="3:15" ht="20.100000000000001" customHeight="1" x14ac:dyDescent="0.25">
      <c r="C36" s="57" t="s">
        <v>904</v>
      </c>
      <c r="D36" s="60"/>
      <c r="E36" s="60"/>
      <c r="F36" s="71"/>
      <c r="G36" s="71"/>
      <c r="H36" s="60"/>
      <c r="I36" s="71"/>
      <c r="J36" s="71"/>
      <c r="K36" s="71"/>
      <c r="L36" s="60"/>
      <c r="M36" s="60"/>
      <c r="N36" s="60"/>
      <c r="O36" s="44"/>
    </row>
    <row r="37" spans="3:15" ht="20.100000000000001" customHeight="1" x14ac:dyDescent="0.25">
      <c r="C37" s="57" t="s">
        <v>904</v>
      </c>
      <c r="D37" s="60"/>
      <c r="E37" s="60"/>
      <c r="F37" s="71"/>
      <c r="G37" s="71"/>
      <c r="H37" s="60"/>
      <c r="I37" s="71"/>
      <c r="J37" s="71"/>
      <c r="K37" s="71"/>
      <c r="L37" s="60"/>
      <c r="M37" s="60"/>
      <c r="N37" s="60"/>
      <c r="O37" s="44"/>
    </row>
    <row r="38" spans="3:15" ht="20.100000000000001" customHeight="1" x14ac:dyDescent="0.25">
      <c r="C38" s="57" t="s">
        <v>904</v>
      </c>
      <c r="D38" s="60"/>
      <c r="E38" s="60"/>
      <c r="F38" s="71"/>
      <c r="G38" s="71"/>
      <c r="H38" s="60"/>
      <c r="I38" s="71"/>
      <c r="J38" s="71"/>
      <c r="K38" s="71"/>
      <c r="L38" s="60"/>
      <c r="M38" s="60"/>
      <c r="N38" s="60"/>
      <c r="O38" s="44"/>
    </row>
    <row r="39" spans="3:15" ht="20.100000000000001" customHeight="1" x14ac:dyDescent="0.25">
      <c r="C39" s="57" t="s">
        <v>904</v>
      </c>
      <c r="D39" s="60"/>
      <c r="E39" s="60"/>
      <c r="F39" s="71"/>
      <c r="G39" s="71"/>
      <c r="H39" s="60"/>
      <c r="I39" s="71"/>
      <c r="J39" s="71"/>
      <c r="K39" s="71"/>
      <c r="L39" s="60"/>
      <c r="M39" s="60"/>
      <c r="N39" s="60"/>
      <c r="O39" s="44"/>
    </row>
    <row r="40" spans="3:15" ht="20.100000000000001" customHeight="1" x14ac:dyDescent="0.25">
      <c r="C40" s="57" t="s">
        <v>904</v>
      </c>
      <c r="D40" s="60"/>
      <c r="E40" s="60"/>
      <c r="F40" s="71"/>
      <c r="G40" s="71"/>
      <c r="H40" s="60"/>
      <c r="I40" s="71"/>
      <c r="J40" s="71"/>
      <c r="K40" s="71"/>
      <c r="L40" s="60"/>
      <c r="M40" s="60"/>
      <c r="N40" s="60"/>
      <c r="O40" s="44"/>
    </row>
    <row r="41" spans="3:15" ht="20.100000000000001" customHeight="1" x14ac:dyDescent="0.25">
      <c r="C41" s="57" t="s">
        <v>904</v>
      </c>
      <c r="D41" s="60"/>
      <c r="E41" s="60"/>
      <c r="F41" s="71"/>
      <c r="G41" s="71"/>
      <c r="H41" s="60"/>
      <c r="I41" s="71"/>
      <c r="J41" s="71"/>
      <c r="K41" s="71"/>
      <c r="L41" s="60"/>
      <c r="M41" s="60"/>
      <c r="N41" s="60"/>
      <c r="O41" s="44"/>
    </row>
    <row r="42" spans="3:15" ht="20.100000000000001" customHeight="1" x14ac:dyDescent="0.25">
      <c r="C42" s="57" t="s">
        <v>904</v>
      </c>
      <c r="D42" s="60"/>
      <c r="E42" s="60"/>
      <c r="F42" s="71"/>
      <c r="G42" s="71"/>
      <c r="H42" s="60"/>
      <c r="I42" s="71"/>
      <c r="J42" s="71"/>
      <c r="K42" s="71"/>
      <c r="L42" s="60"/>
      <c r="M42" s="60"/>
      <c r="N42" s="60"/>
      <c r="O42" s="44"/>
    </row>
    <row r="43" spans="3:15" ht="20.100000000000001" customHeight="1" x14ac:dyDescent="0.25">
      <c r="C43" s="57" t="s">
        <v>904</v>
      </c>
      <c r="D43" s="60"/>
      <c r="E43" s="60"/>
      <c r="F43" s="71"/>
      <c r="G43" s="71"/>
      <c r="H43" s="60"/>
      <c r="I43" s="71"/>
      <c r="J43" s="71"/>
      <c r="K43" s="71"/>
      <c r="L43" s="60"/>
      <c r="M43" s="60"/>
      <c r="N43" s="60"/>
      <c r="O43" s="44"/>
    </row>
    <row r="44" spans="3:15" ht="20.100000000000001" customHeight="1" x14ac:dyDescent="0.25">
      <c r="C44" s="57" t="s">
        <v>904</v>
      </c>
      <c r="D44" s="60"/>
      <c r="E44" s="60"/>
      <c r="F44" s="71"/>
      <c r="G44" s="71"/>
      <c r="H44" s="60"/>
      <c r="I44" s="71"/>
      <c r="J44" s="71"/>
      <c r="K44" s="71"/>
      <c r="L44" s="60"/>
      <c r="M44" s="60"/>
      <c r="N44" s="60"/>
      <c r="O44" s="44"/>
    </row>
    <row r="45" spans="3:15" ht="20.100000000000001" customHeight="1" x14ac:dyDescent="0.25">
      <c r="C45" s="57" t="s">
        <v>904</v>
      </c>
      <c r="D45" s="60"/>
      <c r="E45" s="60"/>
      <c r="F45" s="71"/>
      <c r="G45" s="71"/>
      <c r="H45" s="60"/>
      <c r="I45" s="71"/>
      <c r="J45" s="71"/>
      <c r="K45" s="71"/>
      <c r="L45" s="60"/>
      <c r="M45" s="60"/>
      <c r="N45" s="60"/>
      <c r="O45" s="44"/>
    </row>
    <row r="46" spans="3:15" ht="20.100000000000001" customHeight="1" x14ac:dyDescent="0.25">
      <c r="C46" s="57" t="s">
        <v>904</v>
      </c>
      <c r="D46" s="60"/>
      <c r="E46" s="60"/>
      <c r="F46" s="71"/>
      <c r="G46" s="71"/>
      <c r="H46" s="60"/>
      <c r="I46" s="71"/>
      <c r="J46" s="71"/>
      <c r="K46" s="71"/>
      <c r="L46" s="60"/>
      <c r="M46" s="60"/>
      <c r="N46" s="60"/>
      <c r="O46" s="44"/>
    </row>
    <row r="47" spans="3:15" ht="20.100000000000001" customHeight="1" x14ac:dyDescent="0.25">
      <c r="C47" s="57" t="s">
        <v>904</v>
      </c>
      <c r="D47" s="60"/>
      <c r="E47" s="60"/>
      <c r="F47" s="71"/>
      <c r="G47" s="71"/>
      <c r="H47" s="60"/>
      <c r="I47" s="71"/>
      <c r="J47" s="71"/>
      <c r="K47" s="71"/>
      <c r="L47" s="60"/>
      <c r="M47" s="60"/>
      <c r="N47" s="60"/>
      <c r="O47" s="44"/>
    </row>
    <row r="48" spans="3:15" ht="20.100000000000001" customHeight="1" x14ac:dyDescent="0.25">
      <c r="C48" s="57" t="s">
        <v>904</v>
      </c>
      <c r="D48" s="60"/>
      <c r="E48" s="60"/>
      <c r="F48" s="71"/>
      <c r="G48" s="71"/>
      <c r="H48" s="60"/>
      <c r="I48" s="71"/>
      <c r="J48" s="71"/>
      <c r="K48" s="71"/>
      <c r="L48" s="60"/>
      <c r="M48" s="60"/>
      <c r="N48" s="60"/>
      <c r="O48" s="44"/>
    </row>
    <row r="49" spans="3:15" ht="20.100000000000001" customHeight="1" x14ac:dyDescent="0.25">
      <c r="C49" s="57" t="s">
        <v>904</v>
      </c>
      <c r="D49" s="60"/>
      <c r="E49" s="60"/>
      <c r="F49" s="71"/>
      <c r="G49" s="71"/>
      <c r="H49" s="60"/>
      <c r="I49" s="71"/>
      <c r="J49" s="71"/>
      <c r="K49" s="71"/>
      <c r="L49" s="60"/>
      <c r="M49" s="60"/>
      <c r="N49" s="60"/>
      <c r="O49" s="44"/>
    </row>
    <row r="50" spans="3:15" ht="20.100000000000001" customHeight="1" x14ac:dyDescent="0.25">
      <c r="C50" s="57" t="s">
        <v>904</v>
      </c>
      <c r="D50" s="60"/>
      <c r="E50" s="60"/>
      <c r="F50" s="71"/>
      <c r="G50" s="71"/>
      <c r="H50" s="60"/>
      <c r="I50" s="71"/>
      <c r="J50" s="71"/>
      <c r="K50" s="71"/>
      <c r="L50" s="60"/>
      <c r="M50" s="60"/>
      <c r="N50" s="60"/>
      <c r="O50" s="44"/>
    </row>
    <row r="51" spans="3:15" ht="20.100000000000001" customHeight="1" x14ac:dyDescent="0.25">
      <c r="C51" s="57" t="s">
        <v>904</v>
      </c>
      <c r="D51" s="60"/>
      <c r="E51" s="60"/>
      <c r="F51" s="71"/>
      <c r="G51" s="71"/>
      <c r="H51" s="60"/>
      <c r="I51" s="71"/>
      <c r="J51" s="71"/>
      <c r="K51" s="71"/>
      <c r="L51" s="60"/>
      <c r="M51" s="60"/>
      <c r="N51" s="60"/>
      <c r="O51" s="44"/>
    </row>
    <row r="52" spans="3:15" ht="20.100000000000001" customHeight="1" x14ac:dyDescent="0.25">
      <c r="C52" s="57" t="s">
        <v>904</v>
      </c>
      <c r="D52" s="60"/>
      <c r="E52" s="60"/>
      <c r="F52" s="71"/>
      <c r="G52" s="71"/>
      <c r="H52" s="60"/>
      <c r="I52" s="71"/>
      <c r="J52" s="71"/>
      <c r="K52" s="71"/>
      <c r="L52" s="60"/>
      <c r="M52" s="60"/>
      <c r="N52" s="60"/>
      <c r="O52" s="44"/>
    </row>
    <row r="53" spans="3:15" ht="20.100000000000001" customHeight="1" x14ac:dyDescent="0.25">
      <c r="C53" s="57" t="s">
        <v>904</v>
      </c>
      <c r="D53" s="60"/>
      <c r="E53" s="60"/>
      <c r="F53" s="71"/>
      <c r="G53" s="71"/>
      <c r="H53" s="60"/>
      <c r="I53" s="71"/>
      <c r="J53" s="71"/>
      <c r="K53" s="71"/>
      <c r="L53" s="60"/>
      <c r="M53" s="60"/>
      <c r="N53" s="60"/>
      <c r="O53" s="44"/>
    </row>
    <row r="54" spans="3:15" ht="20.100000000000001" customHeight="1" x14ac:dyDescent="0.25">
      <c r="C54" s="57" t="s">
        <v>904</v>
      </c>
      <c r="D54" s="60"/>
      <c r="E54" s="60"/>
      <c r="F54" s="71"/>
      <c r="G54" s="71"/>
      <c r="H54" s="60"/>
      <c r="I54" s="71"/>
      <c r="J54" s="71"/>
      <c r="K54" s="71"/>
      <c r="L54" s="60"/>
      <c r="M54" s="60"/>
      <c r="N54" s="60"/>
      <c r="O54" s="44"/>
    </row>
    <row r="55" spans="3:15" ht="20.100000000000001" customHeight="1" x14ac:dyDescent="0.25">
      <c r="C55" s="57" t="s">
        <v>904</v>
      </c>
      <c r="D55" s="60"/>
      <c r="E55" s="60"/>
      <c r="F55" s="71"/>
      <c r="G55" s="71"/>
      <c r="H55" s="60"/>
      <c r="I55" s="71"/>
      <c r="J55" s="71"/>
      <c r="K55" s="71"/>
      <c r="L55" s="60"/>
      <c r="M55" s="60"/>
      <c r="N55" s="60"/>
      <c r="O55" s="44"/>
    </row>
    <row r="56" spans="3:15" ht="20.100000000000001" customHeight="1" x14ac:dyDescent="0.25">
      <c r="C56" s="57" t="s">
        <v>904</v>
      </c>
      <c r="D56" s="60"/>
      <c r="E56" s="60"/>
      <c r="F56" s="71"/>
      <c r="G56" s="71"/>
      <c r="H56" s="60"/>
      <c r="I56" s="71"/>
      <c r="J56" s="71"/>
      <c r="K56" s="71"/>
      <c r="L56" s="60"/>
      <c r="M56" s="60"/>
      <c r="N56" s="60"/>
      <c r="O56" s="44"/>
    </row>
    <row r="57" spans="3:15" ht="20.100000000000001" customHeight="1" x14ac:dyDescent="0.25">
      <c r="C57" s="57" t="s">
        <v>904</v>
      </c>
      <c r="D57" s="60"/>
      <c r="E57" s="60"/>
      <c r="F57" s="71"/>
      <c r="G57" s="71"/>
      <c r="H57" s="60"/>
      <c r="I57" s="71"/>
      <c r="J57" s="71"/>
      <c r="K57" s="71"/>
      <c r="L57" s="60"/>
      <c r="M57" s="60"/>
      <c r="N57" s="60"/>
      <c r="O57" s="44"/>
    </row>
    <row r="58" spans="3:15" ht="20.100000000000001" customHeight="1" x14ac:dyDescent="0.25">
      <c r="C58" s="57" t="s">
        <v>904</v>
      </c>
      <c r="D58" s="60"/>
      <c r="E58" s="60"/>
      <c r="F58" s="71"/>
      <c r="G58" s="71"/>
      <c r="H58" s="60"/>
      <c r="I58" s="71"/>
      <c r="J58" s="71"/>
      <c r="K58" s="71"/>
      <c r="L58" s="60"/>
      <c r="M58" s="60"/>
      <c r="N58" s="60"/>
      <c r="O58" s="44"/>
    </row>
    <row r="59" spans="3:15" ht="20.100000000000001" customHeight="1" x14ac:dyDescent="0.25">
      <c r="C59" s="57"/>
      <c r="D59" s="60"/>
      <c r="E59" s="60"/>
      <c r="F59" s="71"/>
      <c r="G59" s="71"/>
      <c r="H59" s="60"/>
      <c r="I59" s="71"/>
      <c r="J59" s="71"/>
      <c r="K59" s="71"/>
      <c r="L59" s="60"/>
      <c r="M59" s="60"/>
      <c r="N59" s="60"/>
      <c r="O59" s="44"/>
    </row>
    <row r="60" spans="3:15" ht="20.100000000000001" customHeight="1" x14ac:dyDescent="0.25">
      <c r="C60" s="57"/>
      <c r="D60" s="60"/>
      <c r="E60" s="60"/>
      <c r="F60" s="71"/>
      <c r="G60" s="71"/>
      <c r="H60" s="60"/>
      <c r="I60" s="71"/>
      <c r="J60" s="71"/>
      <c r="K60" s="71"/>
      <c r="L60" s="60"/>
      <c r="M60" s="60"/>
      <c r="N60" s="60"/>
      <c r="O60" s="44"/>
    </row>
    <row r="61" spans="3:15" ht="20.100000000000001" customHeight="1" x14ac:dyDescent="0.25">
      <c r="C61" s="57"/>
      <c r="D61" s="60"/>
      <c r="E61" s="60"/>
      <c r="F61" s="71"/>
      <c r="G61" s="71"/>
      <c r="H61" s="60"/>
      <c r="I61" s="71"/>
      <c r="J61" s="71"/>
      <c r="K61" s="71"/>
      <c r="L61" s="60"/>
      <c r="M61" s="60"/>
      <c r="N61" s="60"/>
      <c r="O61" s="44"/>
    </row>
    <row r="62" spans="3:15" ht="20.100000000000001" customHeight="1" x14ac:dyDescent="0.25">
      <c r="C62" s="57"/>
      <c r="D62" s="60"/>
      <c r="E62" s="60"/>
      <c r="F62" s="71"/>
      <c r="G62" s="71"/>
      <c r="H62" s="60"/>
      <c r="I62" s="71"/>
      <c r="J62" s="71"/>
      <c r="K62" s="71"/>
      <c r="L62" s="60"/>
      <c r="M62" s="60"/>
      <c r="N62" s="60"/>
      <c r="O62" s="44"/>
    </row>
    <row r="63" spans="3:15" ht="20.100000000000001" customHeight="1" x14ac:dyDescent="0.25">
      <c r="C63" s="57"/>
      <c r="D63" s="60"/>
      <c r="E63" s="60"/>
      <c r="F63" s="71"/>
      <c r="G63" s="71"/>
      <c r="H63" s="60"/>
      <c r="I63" s="71"/>
      <c r="J63" s="71"/>
      <c r="K63" s="71"/>
      <c r="L63" s="60"/>
      <c r="M63" s="60"/>
      <c r="N63" s="60"/>
      <c r="O63" s="44"/>
    </row>
    <row r="64" spans="3:15" ht="20.100000000000001" customHeight="1" x14ac:dyDescent="0.25">
      <c r="C64" s="57"/>
      <c r="D64" s="60"/>
      <c r="E64" s="60"/>
      <c r="F64" s="71"/>
      <c r="G64" s="71"/>
      <c r="H64" s="60"/>
      <c r="I64" s="71"/>
      <c r="J64" s="71"/>
      <c r="K64" s="71"/>
      <c r="L64" s="60"/>
      <c r="M64" s="60"/>
      <c r="N64" s="60"/>
      <c r="O64" s="44"/>
    </row>
    <row r="65" spans="3:15" ht="20.100000000000001" customHeight="1" x14ac:dyDescent="0.25">
      <c r="C65" s="57"/>
      <c r="D65" s="60"/>
      <c r="E65" s="60"/>
      <c r="F65" s="71"/>
      <c r="G65" s="71"/>
      <c r="H65" s="60"/>
      <c r="I65" s="71"/>
      <c r="J65" s="71"/>
      <c r="K65" s="71"/>
      <c r="L65" s="60"/>
      <c r="M65" s="60"/>
      <c r="N65" s="60"/>
      <c r="O65" s="44"/>
    </row>
    <row r="66" spans="3:15" ht="20.100000000000001" customHeight="1" x14ac:dyDescent="0.25">
      <c r="C66" s="57"/>
      <c r="D66" s="60"/>
      <c r="E66" s="60"/>
      <c r="F66" s="71"/>
      <c r="G66" s="71"/>
      <c r="H66" s="60"/>
      <c r="I66" s="71"/>
      <c r="J66" s="71"/>
      <c r="K66" s="71"/>
      <c r="L66" s="60"/>
      <c r="M66" s="60"/>
      <c r="N66" s="60"/>
      <c r="O66" s="44"/>
    </row>
    <row r="67" spans="3:15" ht="20.100000000000001" customHeight="1" x14ac:dyDescent="0.25">
      <c r="C67" s="57"/>
      <c r="D67" s="60"/>
      <c r="E67" s="60"/>
      <c r="F67" s="71"/>
      <c r="G67" s="71"/>
      <c r="H67" s="60"/>
      <c r="I67" s="71"/>
      <c r="J67" s="71"/>
      <c r="K67" s="71"/>
      <c r="L67" s="60"/>
      <c r="M67" s="60"/>
      <c r="N67" s="60"/>
      <c r="O67" s="44"/>
    </row>
    <row r="68" spans="3:15" ht="20.100000000000001" customHeight="1" x14ac:dyDescent="0.25">
      <c r="C68" s="57"/>
      <c r="D68" s="60"/>
      <c r="E68" s="60"/>
      <c r="F68" s="71"/>
      <c r="G68" s="71"/>
      <c r="H68" s="60"/>
      <c r="I68" s="71"/>
      <c r="J68" s="71"/>
      <c r="K68" s="71"/>
      <c r="L68" s="60"/>
      <c r="M68" s="60"/>
      <c r="N68" s="60"/>
      <c r="O68" s="44"/>
    </row>
    <row r="69" spans="3:15" ht="20.100000000000001" customHeight="1" x14ac:dyDescent="0.25">
      <c r="C69" s="57"/>
      <c r="D69" s="60"/>
      <c r="E69" s="60"/>
      <c r="F69" s="71"/>
      <c r="G69" s="71"/>
      <c r="H69" s="60"/>
      <c r="I69" s="71"/>
      <c r="J69" s="71"/>
      <c r="K69" s="71"/>
      <c r="L69" s="60"/>
      <c r="M69" s="60"/>
      <c r="N69" s="60"/>
      <c r="O69" s="44"/>
    </row>
    <row r="70" spans="3:15" ht="20.100000000000001" customHeight="1" x14ac:dyDescent="0.25">
      <c r="C70" s="57"/>
      <c r="D70" s="60"/>
      <c r="E70" s="60"/>
      <c r="F70" s="71"/>
      <c r="G70" s="71"/>
      <c r="H70" s="60"/>
      <c r="I70" s="71"/>
      <c r="J70" s="71"/>
      <c r="K70" s="71"/>
      <c r="L70" s="60"/>
      <c r="M70" s="60"/>
      <c r="N70" s="60"/>
      <c r="O70" s="44"/>
    </row>
    <row r="71" spans="3:15" ht="20.100000000000001" customHeight="1" x14ac:dyDescent="0.25">
      <c r="C71" s="57"/>
      <c r="D71" s="60"/>
      <c r="E71" s="60"/>
      <c r="F71" s="71"/>
      <c r="G71" s="71"/>
      <c r="H71" s="60"/>
      <c r="I71" s="71"/>
      <c r="J71" s="71"/>
      <c r="K71" s="71"/>
      <c r="L71" s="60"/>
      <c r="M71" s="60"/>
      <c r="N71" s="60"/>
      <c r="O71" s="44"/>
    </row>
    <row r="72" spans="3:15" ht="20.100000000000001" customHeight="1" x14ac:dyDescent="0.25">
      <c r="C72" s="57"/>
      <c r="D72" s="60"/>
      <c r="E72" s="60"/>
      <c r="F72" s="71"/>
      <c r="G72" s="71"/>
      <c r="H72" s="60"/>
      <c r="I72" s="71"/>
      <c r="J72" s="71"/>
      <c r="K72" s="71"/>
      <c r="L72" s="60"/>
      <c r="M72" s="60"/>
      <c r="N72" s="60"/>
      <c r="O72" s="44"/>
    </row>
    <row r="73" spans="3:15" ht="20.100000000000001" customHeight="1" x14ac:dyDescent="0.25">
      <c r="C73" s="57"/>
      <c r="D73" s="60"/>
      <c r="E73" s="60"/>
      <c r="F73" s="71"/>
      <c r="G73" s="71"/>
      <c r="H73" s="60"/>
      <c r="I73" s="71"/>
      <c r="J73" s="71"/>
      <c r="K73" s="71"/>
      <c r="L73" s="60"/>
      <c r="M73" s="60"/>
      <c r="N73" s="60"/>
      <c r="O73" s="44"/>
    </row>
    <row r="74" spans="3:15" ht="20.100000000000001" customHeight="1" x14ac:dyDescent="0.25">
      <c r="C74" s="57"/>
      <c r="D74" s="60"/>
      <c r="E74" s="60"/>
      <c r="F74" s="71"/>
      <c r="G74" s="71"/>
      <c r="H74" s="60"/>
      <c r="I74" s="71"/>
      <c r="J74" s="71"/>
      <c r="K74" s="71"/>
      <c r="L74" s="60"/>
      <c r="M74" s="60"/>
      <c r="N74" s="60"/>
      <c r="O74" s="44"/>
    </row>
    <row r="75" spans="3:15" ht="20.100000000000001" customHeight="1" x14ac:dyDescent="0.25">
      <c r="C75" s="57"/>
      <c r="D75" s="60"/>
      <c r="E75" s="60"/>
      <c r="F75" s="71"/>
      <c r="G75" s="71"/>
      <c r="H75" s="60"/>
      <c r="I75" s="71"/>
      <c r="J75" s="71"/>
      <c r="K75" s="71"/>
      <c r="L75" s="60"/>
      <c r="M75" s="60"/>
      <c r="N75" s="60"/>
      <c r="O75" s="44"/>
    </row>
    <row r="76" spans="3:15" ht="20.100000000000001" customHeight="1" x14ac:dyDescent="0.25">
      <c r="C76" s="57"/>
      <c r="D76" s="60"/>
      <c r="E76" s="60"/>
      <c r="F76" s="71"/>
      <c r="G76" s="71"/>
      <c r="H76" s="60"/>
      <c r="I76" s="71"/>
      <c r="J76" s="71"/>
      <c r="K76" s="71"/>
      <c r="L76" s="60"/>
      <c r="M76" s="60"/>
      <c r="N76" s="60"/>
      <c r="O76" s="44"/>
    </row>
    <row r="77" spans="3:15" ht="20.100000000000001" customHeight="1" x14ac:dyDescent="0.25">
      <c r="C77" s="57"/>
      <c r="D77" s="60"/>
      <c r="E77" s="60"/>
      <c r="F77" s="71"/>
      <c r="G77" s="71"/>
      <c r="H77" s="60"/>
      <c r="I77" s="71"/>
      <c r="J77" s="71"/>
      <c r="K77" s="71"/>
      <c r="L77" s="60"/>
      <c r="M77" s="60"/>
      <c r="N77" s="60"/>
      <c r="O77" s="44"/>
    </row>
    <row r="78" spans="3:15" ht="20.100000000000001" customHeight="1" x14ac:dyDescent="0.25">
      <c r="C78" s="57"/>
      <c r="D78" s="60"/>
      <c r="E78" s="60"/>
      <c r="F78" s="71"/>
      <c r="G78" s="71"/>
      <c r="H78" s="60"/>
      <c r="I78" s="71"/>
      <c r="J78" s="71"/>
      <c r="K78" s="71"/>
      <c r="L78" s="60"/>
      <c r="M78" s="60"/>
      <c r="N78" s="60"/>
      <c r="O78" s="44"/>
    </row>
    <row r="79" spans="3:15" ht="20.100000000000001" customHeight="1" x14ac:dyDescent="0.25">
      <c r="C79" s="57"/>
      <c r="D79" s="60"/>
      <c r="E79" s="60"/>
      <c r="F79" s="71"/>
      <c r="G79" s="71"/>
      <c r="H79" s="60"/>
      <c r="I79" s="71"/>
      <c r="J79" s="71"/>
      <c r="K79" s="71"/>
      <c r="L79" s="60"/>
      <c r="M79" s="60"/>
      <c r="N79" s="60"/>
      <c r="O79" s="44"/>
    </row>
    <row r="80" spans="3:15" ht="20.100000000000001" customHeight="1" x14ac:dyDescent="0.25">
      <c r="C80" s="57"/>
      <c r="D80" s="60"/>
      <c r="E80" s="60"/>
      <c r="F80" s="71"/>
      <c r="G80" s="71"/>
      <c r="H80" s="60"/>
      <c r="I80" s="71"/>
      <c r="J80" s="71"/>
      <c r="K80" s="71"/>
      <c r="L80" s="60"/>
      <c r="M80" s="60"/>
      <c r="N80" s="60"/>
      <c r="O80" s="44"/>
    </row>
    <row r="81" spans="3:15" ht="20.100000000000001" customHeight="1" x14ac:dyDescent="0.25">
      <c r="C81" s="57"/>
      <c r="D81" s="60"/>
      <c r="E81" s="60"/>
      <c r="F81" s="71"/>
      <c r="G81" s="71"/>
      <c r="H81" s="60"/>
      <c r="I81" s="71"/>
      <c r="J81" s="71"/>
      <c r="K81" s="71"/>
      <c r="L81" s="60"/>
      <c r="M81" s="60"/>
      <c r="N81" s="60"/>
      <c r="O81" s="44"/>
    </row>
    <row r="82" spans="3:15" ht="20.100000000000001" customHeight="1" x14ac:dyDescent="0.25">
      <c r="C82" s="57"/>
      <c r="D82" s="60"/>
      <c r="E82" s="60"/>
      <c r="F82" s="71"/>
      <c r="G82" s="71"/>
      <c r="H82" s="60"/>
      <c r="I82" s="71"/>
      <c r="J82" s="71"/>
      <c r="K82" s="71"/>
      <c r="L82" s="60"/>
      <c r="M82" s="60"/>
      <c r="N82" s="60"/>
      <c r="O82" s="44"/>
    </row>
    <row r="83" spans="3:15" ht="20.100000000000001" customHeight="1" x14ac:dyDescent="0.25">
      <c r="C83" s="57"/>
      <c r="D83" s="60"/>
      <c r="E83" s="60"/>
      <c r="F83" s="71"/>
      <c r="G83" s="71"/>
      <c r="H83" s="60"/>
      <c r="I83" s="71"/>
      <c r="J83" s="71"/>
      <c r="K83" s="71"/>
      <c r="L83" s="60"/>
      <c r="M83" s="60"/>
      <c r="N83" s="60"/>
      <c r="O83" s="44"/>
    </row>
    <row r="84" spans="3:15" ht="20.100000000000001" customHeight="1" x14ac:dyDescent="0.25">
      <c r="C84" s="57"/>
      <c r="D84" s="60"/>
      <c r="E84" s="60"/>
      <c r="F84" s="71"/>
      <c r="G84" s="71"/>
      <c r="H84" s="60"/>
      <c r="I84" s="71"/>
      <c r="J84" s="71"/>
      <c r="K84" s="71"/>
      <c r="L84" s="60"/>
      <c r="M84" s="60"/>
      <c r="N84" s="60"/>
      <c r="O84" s="44"/>
    </row>
    <row r="85" spans="3:15" ht="20.100000000000001" customHeight="1" x14ac:dyDescent="0.25">
      <c r="C85" s="57"/>
      <c r="D85" s="60"/>
      <c r="E85" s="60"/>
      <c r="F85" s="71"/>
      <c r="G85" s="71"/>
      <c r="H85" s="60"/>
      <c r="I85" s="71"/>
      <c r="J85" s="71"/>
      <c r="K85" s="71"/>
      <c r="L85" s="60"/>
      <c r="M85" s="60"/>
      <c r="N85" s="60"/>
      <c r="O85" s="44"/>
    </row>
    <row r="86" spans="3:15" ht="20.100000000000001" customHeight="1" x14ac:dyDescent="0.25">
      <c r="C86" s="57"/>
      <c r="D86" s="60"/>
      <c r="E86" s="60"/>
      <c r="F86" s="71"/>
      <c r="G86" s="71"/>
      <c r="H86" s="60"/>
      <c r="I86" s="71"/>
      <c r="J86" s="71"/>
      <c r="K86" s="71"/>
      <c r="L86" s="60"/>
      <c r="M86" s="60"/>
      <c r="N86" s="60"/>
      <c r="O86" s="44"/>
    </row>
    <row r="87" spans="3:15" ht="20.100000000000001" customHeight="1" x14ac:dyDescent="0.25">
      <c r="C87" s="57"/>
      <c r="D87" s="60"/>
      <c r="E87" s="60"/>
      <c r="F87" s="71"/>
      <c r="G87" s="71"/>
      <c r="H87" s="60"/>
      <c r="I87" s="71"/>
      <c r="J87" s="71"/>
      <c r="K87" s="71"/>
      <c r="L87" s="60"/>
      <c r="M87" s="60"/>
      <c r="N87" s="60"/>
      <c r="O87" s="44"/>
    </row>
    <row r="88" spans="3:15" ht="20.100000000000001" customHeight="1" x14ac:dyDescent="0.25">
      <c r="C88" s="57"/>
      <c r="D88" s="60"/>
      <c r="E88" s="60"/>
      <c r="F88" s="71"/>
      <c r="G88" s="71"/>
      <c r="H88" s="60"/>
      <c r="I88" s="71"/>
      <c r="J88" s="71"/>
      <c r="K88" s="71"/>
      <c r="L88" s="60"/>
      <c r="M88" s="60"/>
      <c r="N88" s="60"/>
      <c r="O88" s="44"/>
    </row>
    <row r="89" spans="3:15" ht="20.100000000000001" customHeight="1" x14ac:dyDescent="0.25">
      <c r="C89" s="57"/>
      <c r="D89" s="60"/>
      <c r="E89" s="60"/>
      <c r="F89" s="71"/>
      <c r="G89" s="71"/>
      <c r="H89" s="60"/>
      <c r="I89" s="71"/>
      <c r="J89" s="71"/>
      <c r="K89" s="71"/>
      <c r="L89" s="60"/>
      <c r="M89" s="60"/>
      <c r="N89" s="60"/>
      <c r="O89" s="44"/>
    </row>
    <row r="90" spans="3:15" ht="20.100000000000001" customHeight="1" x14ac:dyDescent="0.25">
      <c r="C90" s="57"/>
      <c r="D90" s="60"/>
      <c r="E90" s="60"/>
      <c r="F90" s="71"/>
      <c r="G90" s="71"/>
      <c r="H90" s="60"/>
      <c r="I90" s="71"/>
      <c r="J90" s="71"/>
      <c r="K90" s="71"/>
      <c r="L90" s="60"/>
      <c r="M90" s="60"/>
      <c r="N90" s="60"/>
      <c r="O90" s="44"/>
    </row>
    <row r="91" spans="3:15" ht="20.100000000000001" customHeight="1" x14ac:dyDescent="0.25">
      <c r="C91" s="57"/>
      <c r="D91" s="60"/>
      <c r="E91" s="60"/>
      <c r="F91" s="71"/>
      <c r="G91" s="71"/>
      <c r="H91" s="60"/>
      <c r="I91" s="71"/>
      <c r="J91" s="71"/>
      <c r="K91" s="71"/>
      <c r="L91" s="60"/>
      <c r="M91" s="60"/>
      <c r="N91" s="60"/>
      <c r="O91" s="44"/>
    </row>
    <row r="92" spans="3:15" ht="20.100000000000001" customHeight="1" x14ac:dyDescent="0.25">
      <c r="C92" s="57"/>
      <c r="D92" s="60"/>
      <c r="E92" s="60"/>
      <c r="F92" s="71"/>
      <c r="G92" s="71"/>
      <c r="H92" s="60"/>
      <c r="I92" s="71"/>
      <c r="J92" s="71"/>
      <c r="K92" s="71"/>
      <c r="L92" s="60"/>
      <c r="M92" s="60"/>
      <c r="N92" s="60"/>
      <c r="O92" s="44"/>
    </row>
    <row r="93" spans="3:15" ht="20.100000000000001" customHeight="1" x14ac:dyDescent="0.25">
      <c r="C93" s="57"/>
      <c r="D93" s="60"/>
      <c r="E93" s="60"/>
      <c r="F93" s="71"/>
      <c r="G93" s="71"/>
      <c r="H93" s="60"/>
      <c r="I93" s="71"/>
      <c r="J93" s="71"/>
      <c r="K93" s="71"/>
      <c r="L93" s="60"/>
      <c r="M93" s="60"/>
      <c r="N93" s="60"/>
      <c r="O93" s="44"/>
    </row>
    <row r="94" spans="3:15" ht="20.100000000000001" customHeight="1" x14ac:dyDescent="0.25">
      <c r="C94" s="57"/>
      <c r="D94" s="60"/>
      <c r="E94" s="60"/>
      <c r="F94" s="71"/>
      <c r="G94" s="71"/>
      <c r="H94" s="60"/>
      <c r="I94" s="71"/>
      <c r="J94" s="71"/>
      <c r="K94" s="71"/>
      <c r="L94" s="60"/>
      <c r="M94" s="60"/>
      <c r="N94" s="60"/>
      <c r="O94" s="44"/>
    </row>
    <row r="95" spans="3:15" ht="20.100000000000001" customHeight="1" x14ac:dyDescent="0.25">
      <c r="C95" s="57"/>
      <c r="D95" s="60"/>
      <c r="E95" s="60"/>
      <c r="F95" s="71"/>
      <c r="G95" s="71"/>
      <c r="H95" s="60"/>
      <c r="I95" s="71"/>
      <c r="J95" s="71"/>
      <c r="K95" s="71"/>
      <c r="L95" s="60"/>
      <c r="M95" s="60"/>
      <c r="N95" s="60"/>
      <c r="O95" s="44"/>
    </row>
    <row r="96" spans="3:15" ht="20.100000000000001" customHeight="1" x14ac:dyDescent="0.25">
      <c r="C96" s="57"/>
      <c r="D96" s="60"/>
      <c r="E96" s="60"/>
      <c r="F96" s="71"/>
      <c r="G96" s="71"/>
      <c r="H96" s="60"/>
      <c r="I96" s="71"/>
      <c r="J96" s="71"/>
      <c r="K96" s="71"/>
      <c r="L96" s="60"/>
      <c r="M96" s="60"/>
      <c r="N96" s="60"/>
      <c r="O96" s="44"/>
    </row>
    <row r="97" spans="3:15" ht="20.100000000000001" customHeight="1" x14ac:dyDescent="0.25">
      <c r="C97" s="57"/>
      <c r="D97" s="60"/>
      <c r="E97" s="60"/>
      <c r="F97" s="71"/>
      <c r="G97" s="71"/>
      <c r="H97" s="60"/>
      <c r="I97" s="71"/>
      <c r="J97" s="71"/>
      <c r="K97" s="71"/>
      <c r="L97" s="60"/>
      <c r="M97" s="60"/>
      <c r="N97" s="60"/>
      <c r="O97" s="44"/>
    </row>
    <row r="98" spans="3:15" ht="20.100000000000001" customHeight="1" x14ac:dyDescent="0.25">
      <c r="C98" s="57"/>
      <c r="D98" s="60"/>
      <c r="E98" s="60"/>
      <c r="F98" s="71"/>
      <c r="G98" s="71"/>
      <c r="H98" s="60"/>
      <c r="I98" s="71"/>
      <c r="J98" s="71"/>
      <c r="K98" s="71"/>
      <c r="L98" s="60"/>
      <c r="M98" s="60"/>
      <c r="N98" s="60"/>
      <c r="O98" s="44"/>
    </row>
    <row r="99" spans="3:15" ht="20.100000000000001" customHeight="1" x14ac:dyDescent="0.25">
      <c r="C99" s="57"/>
      <c r="D99" s="60"/>
      <c r="E99" s="60"/>
      <c r="F99" s="71"/>
      <c r="G99" s="71"/>
      <c r="H99" s="60"/>
      <c r="I99" s="71"/>
      <c r="J99" s="71"/>
      <c r="K99" s="71"/>
      <c r="L99" s="60"/>
      <c r="M99" s="60"/>
      <c r="N99" s="60"/>
      <c r="O99" s="44"/>
    </row>
    <row r="100" spans="3:15" ht="20.100000000000001" customHeight="1" x14ac:dyDescent="0.25">
      <c r="C100" s="57"/>
      <c r="D100" s="60"/>
      <c r="E100" s="60"/>
      <c r="F100" s="71"/>
      <c r="G100" s="71"/>
      <c r="H100" s="60"/>
      <c r="I100" s="71"/>
      <c r="J100" s="71"/>
      <c r="K100" s="71"/>
      <c r="L100" s="60"/>
      <c r="M100" s="60"/>
      <c r="N100" s="60"/>
      <c r="O100" s="44"/>
    </row>
    <row r="101" spans="3:15" ht="20.100000000000001" customHeight="1" x14ac:dyDescent="0.25">
      <c r="C101" s="57"/>
      <c r="D101" s="60"/>
      <c r="E101" s="60"/>
      <c r="F101" s="71"/>
      <c r="G101" s="71"/>
      <c r="H101" s="60"/>
      <c r="I101" s="71"/>
      <c r="J101" s="71"/>
      <c r="K101" s="71"/>
      <c r="L101" s="60"/>
      <c r="M101" s="60"/>
      <c r="N101" s="60"/>
      <c r="O101" s="44"/>
    </row>
    <row r="102" spans="3:15" ht="20.100000000000001" customHeight="1" x14ac:dyDescent="0.25">
      <c r="C102" s="57"/>
      <c r="D102" s="60"/>
      <c r="E102" s="60"/>
      <c r="F102" s="71"/>
      <c r="G102" s="71"/>
      <c r="H102" s="60"/>
      <c r="I102" s="71"/>
      <c r="J102" s="71"/>
      <c r="K102" s="71"/>
      <c r="L102" s="60"/>
      <c r="M102" s="60"/>
      <c r="N102" s="60"/>
      <c r="O102" s="44"/>
    </row>
    <row r="103" spans="3:15" ht="20.100000000000001" customHeight="1" x14ac:dyDescent="0.25">
      <c r="C103" s="57"/>
      <c r="D103" s="60"/>
      <c r="E103" s="60"/>
      <c r="F103" s="71"/>
      <c r="G103" s="71"/>
      <c r="H103" s="60"/>
      <c r="I103" s="71"/>
      <c r="J103" s="71"/>
      <c r="K103" s="71"/>
      <c r="L103" s="60"/>
      <c r="M103" s="60"/>
      <c r="N103" s="60"/>
      <c r="O103" s="44"/>
    </row>
    <row r="104" spans="3:15" ht="20.100000000000001" customHeight="1" x14ac:dyDescent="0.25">
      <c r="C104" s="57"/>
      <c r="D104" s="60"/>
      <c r="E104" s="60"/>
      <c r="F104" s="71"/>
      <c r="G104" s="71"/>
      <c r="H104" s="60"/>
      <c r="I104" s="71"/>
      <c r="J104" s="71"/>
      <c r="K104" s="71"/>
      <c r="L104" s="60"/>
      <c r="M104" s="60"/>
      <c r="N104" s="60"/>
      <c r="O104" s="44"/>
    </row>
    <row r="105" spans="3:15" ht="20.100000000000001" customHeight="1" x14ac:dyDescent="0.25">
      <c r="C105" s="57"/>
      <c r="D105" s="60"/>
      <c r="E105" s="60"/>
      <c r="F105" s="71"/>
      <c r="G105" s="71"/>
      <c r="H105" s="60"/>
      <c r="I105" s="71"/>
      <c r="J105" s="71"/>
      <c r="K105" s="71"/>
      <c r="L105" s="60"/>
      <c r="M105" s="60"/>
      <c r="N105" s="60"/>
      <c r="O105" s="44"/>
    </row>
    <row r="106" spans="3:15" ht="20.100000000000001" customHeight="1" x14ac:dyDescent="0.25">
      <c r="C106" s="57"/>
      <c r="D106" s="60"/>
      <c r="E106" s="60"/>
      <c r="F106" s="71"/>
      <c r="G106" s="71"/>
      <c r="H106" s="60"/>
      <c r="I106" s="71"/>
      <c r="J106" s="71"/>
      <c r="K106" s="71"/>
      <c r="L106" s="60"/>
      <c r="M106" s="60"/>
      <c r="N106" s="60"/>
      <c r="O106" s="44"/>
    </row>
    <row r="107" spans="3:15" ht="20.100000000000001" customHeight="1" x14ac:dyDescent="0.25">
      <c r="C107" s="57"/>
      <c r="D107" s="60"/>
      <c r="E107" s="60"/>
      <c r="F107" s="71"/>
      <c r="G107" s="71"/>
      <c r="H107" s="60"/>
      <c r="I107" s="71"/>
      <c r="J107" s="71"/>
      <c r="K107" s="71"/>
      <c r="L107" s="60"/>
      <c r="M107" s="60"/>
      <c r="N107" s="60"/>
      <c r="O107" s="44"/>
    </row>
    <row r="108" spans="3:15" ht="20.100000000000001" customHeight="1" x14ac:dyDescent="0.25">
      <c r="C108" s="57"/>
      <c r="D108" s="60"/>
      <c r="E108" s="60"/>
      <c r="F108" s="71"/>
      <c r="G108" s="71"/>
      <c r="H108" s="60"/>
      <c r="I108" s="71"/>
      <c r="J108" s="71"/>
      <c r="K108" s="71"/>
      <c r="L108" s="60"/>
      <c r="M108" s="60"/>
      <c r="N108" s="60"/>
      <c r="O108" s="44"/>
    </row>
    <row r="109" spans="3:15" ht="20.100000000000001" customHeight="1" x14ac:dyDescent="0.25">
      <c r="C109" s="57"/>
      <c r="D109" s="60"/>
      <c r="E109" s="60"/>
      <c r="F109" s="71"/>
      <c r="G109" s="71"/>
      <c r="H109" s="60"/>
      <c r="I109" s="71"/>
      <c r="J109" s="71"/>
      <c r="K109" s="71"/>
      <c r="L109" s="60"/>
      <c r="M109" s="60"/>
      <c r="N109" s="60"/>
      <c r="O109" s="44"/>
    </row>
    <row r="110" spans="3:15" ht="20.100000000000001" customHeight="1" x14ac:dyDescent="0.25">
      <c r="C110" s="57"/>
      <c r="D110" s="60"/>
      <c r="E110" s="60"/>
      <c r="F110" s="71"/>
      <c r="G110" s="71"/>
      <c r="H110" s="60"/>
      <c r="I110" s="71"/>
      <c r="J110" s="71"/>
      <c r="K110" s="71"/>
      <c r="L110" s="60"/>
      <c r="M110" s="60"/>
      <c r="N110" s="60"/>
      <c r="O110" s="44"/>
    </row>
    <row r="111" spans="3:15" ht="20.100000000000001" customHeight="1" x14ac:dyDescent="0.25">
      <c r="C111" s="57"/>
      <c r="D111" s="60"/>
      <c r="E111" s="60"/>
      <c r="F111" s="71"/>
      <c r="G111" s="71"/>
      <c r="H111" s="60"/>
      <c r="I111" s="71"/>
      <c r="J111" s="71"/>
      <c r="K111" s="71"/>
      <c r="L111" s="60"/>
      <c r="M111" s="60"/>
      <c r="N111" s="60"/>
      <c r="O111" s="44"/>
    </row>
    <row r="112" spans="3:15" ht="20.100000000000001" customHeight="1" x14ac:dyDescent="0.25">
      <c r="C112" s="57"/>
      <c r="D112" s="60"/>
      <c r="E112" s="60"/>
      <c r="F112" s="71"/>
      <c r="G112" s="71"/>
      <c r="H112" s="60"/>
      <c r="I112" s="71"/>
      <c r="J112" s="71"/>
      <c r="K112" s="71"/>
      <c r="L112" s="60"/>
      <c r="M112" s="60"/>
      <c r="N112" s="60"/>
      <c r="O112" s="44"/>
    </row>
    <row r="113" spans="3:15" ht="20.100000000000001" customHeight="1" x14ac:dyDescent="0.25">
      <c r="C113" s="57"/>
      <c r="D113" s="60"/>
      <c r="E113" s="60"/>
      <c r="F113" s="71"/>
      <c r="G113" s="71"/>
      <c r="H113" s="60"/>
      <c r="I113" s="71"/>
      <c r="J113" s="71"/>
      <c r="K113" s="71"/>
      <c r="L113" s="60"/>
      <c r="M113" s="60"/>
      <c r="N113" s="60"/>
      <c r="O113" s="44"/>
    </row>
    <row r="114" spans="3:15" ht="20.100000000000001" customHeight="1" x14ac:dyDescent="0.25">
      <c r="C114" s="57"/>
      <c r="D114" s="60"/>
      <c r="E114" s="60"/>
      <c r="F114" s="71"/>
      <c r="G114" s="71"/>
      <c r="H114" s="60"/>
      <c r="I114" s="71"/>
      <c r="J114" s="71"/>
      <c r="K114" s="71"/>
      <c r="L114" s="60"/>
      <c r="M114" s="60"/>
      <c r="N114" s="60"/>
      <c r="O114" s="44"/>
    </row>
    <row r="115" spans="3:15" ht="20.100000000000001" customHeight="1" x14ac:dyDescent="0.25">
      <c r="C115" s="57"/>
      <c r="D115" s="60"/>
      <c r="E115" s="60"/>
      <c r="F115" s="71"/>
      <c r="G115" s="71"/>
      <c r="H115" s="60"/>
      <c r="I115" s="71"/>
      <c r="J115" s="71"/>
      <c r="K115" s="71"/>
      <c r="L115" s="60"/>
      <c r="M115" s="60"/>
      <c r="N115" s="60"/>
      <c r="O115" s="44"/>
    </row>
    <row r="116" spans="3:15" ht="20.100000000000001" customHeight="1" x14ac:dyDescent="0.25">
      <c r="C116" s="57"/>
      <c r="D116" s="60"/>
      <c r="E116" s="60"/>
      <c r="F116" s="71"/>
      <c r="G116" s="71"/>
      <c r="H116" s="60"/>
      <c r="I116" s="71"/>
      <c r="J116" s="71"/>
      <c r="K116" s="71"/>
      <c r="L116" s="60"/>
      <c r="M116" s="60"/>
      <c r="N116" s="60"/>
      <c r="O116" s="44"/>
    </row>
    <row r="117" spans="3:15" ht="20.100000000000001" customHeight="1" x14ac:dyDescent="0.25">
      <c r="C117" s="57"/>
      <c r="D117" s="60"/>
      <c r="E117" s="60"/>
      <c r="F117" s="71"/>
      <c r="G117" s="71"/>
      <c r="H117" s="60"/>
      <c r="I117" s="71"/>
      <c r="J117" s="71"/>
      <c r="K117" s="71"/>
      <c r="L117" s="60"/>
      <c r="M117" s="60"/>
      <c r="N117" s="60"/>
      <c r="O117" s="44"/>
    </row>
    <row r="118" spans="3:15" ht="20.100000000000001" customHeight="1" x14ac:dyDescent="0.25">
      <c r="C118" s="57"/>
      <c r="D118" s="60"/>
      <c r="E118" s="60"/>
      <c r="F118" s="71"/>
      <c r="G118" s="71"/>
      <c r="H118" s="60"/>
      <c r="I118" s="71"/>
      <c r="J118" s="71"/>
      <c r="K118" s="71"/>
      <c r="L118" s="60"/>
      <c r="M118" s="60"/>
      <c r="N118" s="60"/>
      <c r="O118" s="44"/>
    </row>
    <row r="119" spans="3:15" ht="20.100000000000001" customHeight="1" x14ac:dyDescent="0.25">
      <c r="C119" s="57"/>
      <c r="D119" s="60"/>
      <c r="E119" s="60"/>
      <c r="F119" s="71"/>
      <c r="G119" s="71"/>
      <c r="H119" s="60"/>
      <c r="I119" s="71"/>
      <c r="J119" s="71"/>
      <c r="K119" s="71"/>
      <c r="L119" s="60"/>
      <c r="M119" s="60"/>
      <c r="N119" s="60"/>
      <c r="O119" s="44"/>
    </row>
    <row r="120" spans="3:15" ht="20.100000000000001" customHeight="1" x14ac:dyDescent="0.25">
      <c r="C120" s="57"/>
      <c r="D120" s="60"/>
      <c r="E120" s="60"/>
      <c r="F120" s="71"/>
      <c r="G120" s="71"/>
      <c r="H120" s="60"/>
      <c r="I120" s="71"/>
      <c r="J120" s="71"/>
      <c r="K120" s="71"/>
      <c r="L120" s="60"/>
      <c r="M120" s="60"/>
      <c r="N120" s="60"/>
      <c r="O120" s="44"/>
    </row>
    <row r="121" spans="3:15" ht="20.100000000000001" customHeight="1" x14ac:dyDescent="0.25">
      <c r="C121" s="57"/>
      <c r="D121" s="60"/>
      <c r="E121" s="60"/>
      <c r="F121" s="71"/>
      <c r="G121" s="71"/>
      <c r="H121" s="60"/>
      <c r="I121" s="71"/>
      <c r="J121" s="71"/>
      <c r="K121" s="71"/>
      <c r="L121" s="60"/>
      <c r="M121" s="60"/>
      <c r="N121" s="60"/>
      <c r="O121" s="44"/>
    </row>
    <row r="122" spans="3:15" ht="20.100000000000001" customHeight="1" x14ac:dyDescent="0.25">
      <c r="C122" s="57"/>
      <c r="D122" s="60"/>
      <c r="E122" s="60"/>
      <c r="F122" s="71"/>
      <c r="G122" s="71"/>
      <c r="H122" s="60"/>
      <c r="I122" s="71"/>
      <c r="J122" s="71"/>
      <c r="K122" s="71"/>
      <c r="L122" s="60"/>
      <c r="M122" s="60"/>
      <c r="N122" s="60"/>
      <c r="O122" s="44"/>
    </row>
    <row r="123" spans="3:15" ht="20.100000000000001" customHeight="1" x14ac:dyDescent="0.25">
      <c r="C123" s="57"/>
      <c r="D123" s="60"/>
      <c r="E123" s="60"/>
      <c r="F123" s="71"/>
      <c r="G123" s="71"/>
      <c r="H123" s="60"/>
      <c r="I123" s="71"/>
      <c r="J123" s="71"/>
      <c r="K123" s="71"/>
      <c r="L123" s="60"/>
      <c r="M123" s="60"/>
      <c r="N123" s="60"/>
      <c r="O123" s="44"/>
    </row>
    <row r="124" spans="3:15" ht="20.100000000000001" customHeight="1" x14ac:dyDescent="0.25">
      <c r="C124" s="57"/>
      <c r="D124" s="60"/>
      <c r="E124" s="60"/>
      <c r="F124" s="71"/>
      <c r="G124" s="71"/>
      <c r="H124" s="60"/>
      <c r="I124" s="71"/>
      <c r="J124" s="71"/>
      <c r="K124" s="71"/>
      <c r="L124" s="60"/>
      <c r="M124" s="60"/>
      <c r="N124" s="60"/>
      <c r="O124" s="44"/>
    </row>
    <row r="125" spans="3:15" ht="20.100000000000001" customHeight="1" x14ac:dyDescent="0.25">
      <c r="C125" s="57"/>
      <c r="D125" s="60"/>
      <c r="E125" s="60"/>
      <c r="F125" s="71"/>
      <c r="G125" s="71"/>
      <c r="H125" s="60"/>
      <c r="I125" s="71"/>
      <c r="J125" s="71"/>
      <c r="K125" s="71"/>
      <c r="L125" s="60"/>
      <c r="M125" s="60"/>
      <c r="N125" s="60"/>
      <c r="O125" s="44"/>
    </row>
    <row r="126" spans="3:15" ht="20.100000000000001" customHeight="1" x14ac:dyDescent="0.25">
      <c r="C126" s="57"/>
      <c r="D126" s="60"/>
      <c r="E126" s="60"/>
      <c r="F126" s="71"/>
      <c r="G126" s="71"/>
      <c r="H126" s="60"/>
      <c r="I126" s="71"/>
      <c r="J126" s="71"/>
      <c r="K126" s="71"/>
      <c r="L126" s="60"/>
      <c r="M126" s="60"/>
      <c r="N126" s="60"/>
      <c r="O126" s="44"/>
    </row>
    <row r="127" spans="3:15" ht="20.100000000000001" customHeight="1" x14ac:dyDescent="0.25">
      <c r="C127" s="57"/>
      <c r="D127" s="60"/>
      <c r="E127" s="60"/>
      <c r="F127" s="71"/>
      <c r="G127" s="71"/>
      <c r="H127" s="60"/>
      <c r="I127" s="71"/>
      <c r="J127" s="71"/>
      <c r="K127" s="71"/>
      <c r="L127" s="60"/>
      <c r="M127" s="60"/>
      <c r="N127" s="60"/>
      <c r="O127" s="44"/>
    </row>
    <row r="128" spans="3:15" ht="20.100000000000001" customHeight="1" x14ac:dyDescent="0.25">
      <c r="C128" s="57"/>
      <c r="D128" s="60"/>
      <c r="E128" s="60"/>
      <c r="F128" s="71"/>
      <c r="G128" s="71"/>
      <c r="H128" s="60"/>
      <c r="I128" s="71"/>
      <c r="J128" s="71"/>
      <c r="K128" s="71"/>
      <c r="L128" s="60"/>
      <c r="M128" s="60"/>
      <c r="N128" s="60"/>
      <c r="O128" s="44"/>
    </row>
    <row r="129" spans="3:15" ht="20.100000000000001" customHeight="1" x14ac:dyDescent="0.25">
      <c r="C129" s="57"/>
      <c r="D129" s="60"/>
      <c r="E129" s="60"/>
      <c r="F129" s="71"/>
      <c r="G129" s="71"/>
      <c r="H129" s="60"/>
      <c r="I129" s="71"/>
      <c r="J129" s="71"/>
      <c r="K129" s="71"/>
      <c r="L129" s="60"/>
      <c r="M129" s="60"/>
      <c r="N129" s="60"/>
      <c r="O129" s="44"/>
    </row>
    <row r="130" spans="3:15" ht="20.100000000000001" customHeight="1" x14ac:dyDescent="0.25">
      <c r="C130" s="57"/>
      <c r="D130" s="60"/>
      <c r="E130" s="60"/>
      <c r="F130" s="71"/>
      <c r="G130" s="71"/>
      <c r="H130" s="60"/>
      <c r="I130" s="71"/>
      <c r="J130" s="71"/>
      <c r="K130" s="71"/>
      <c r="L130" s="60"/>
      <c r="M130" s="60"/>
      <c r="N130" s="60"/>
      <c r="O130" s="44"/>
    </row>
    <row r="131" spans="3:15" ht="20.100000000000001" customHeight="1" x14ac:dyDescent="0.25">
      <c r="C131" s="57"/>
      <c r="D131" s="60"/>
      <c r="E131" s="60"/>
      <c r="F131" s="71"/>
      <c r="G131" s="71"/>
      <c r="H131" s="60"/>
      <c r="I131" s="71"/>
      <c r="J131" s="71"/>
      <c r="K131" s="71"/>
      <c r="L131" s="60"/>
      <c r="M131" s="60"/>
      <c r="N131" s="60"/>
      <c r="O131" s="44"/>
    </row>
    <row r="132" spans="3:15" ht="20.100000000000001" customHeight="1" x14ac:dyDescent="0.25">
      <c r="C132" s="57"/>
      <c r="D132" s="60"/>
      <c r="E132" s="60"/>
      <c r="F132" s="71"/>
      <c r="G132" s="71"/>
      <c r="H132" s="60"/>
      <c r="I132" s="71"/>
      <c r="J132" s="71"/>
      <c r="K132" s="71"/>
      <c r="L132" s="60"/>
      <c r="M132" s="60"/>
      <c r="N132" s="60"/>
      <c r="O132" s="44"/>
    </row>
    <row r="133" spans="3:15" ht="20.100000000000001" customHeight="1" x14ac:dyDescent="0.25">
      <c r="C133" s="57"/>
      <c r="D133" s="60"/>
      <c r="E133" s="60"/>
      <c r="F133" s="71"/>
      <c r="G133" s="71"/>
      <c r="H133" s="60"/>
      <c r="I133" s="71"/>
      <c r="J133" s="71"/>
      <c r="K133" s="71"/>
      <c r="L133" s="60"/>
      <c r="M133" s="60"/>
      <c r="N133" s="60"/>
      <c r="O133" s="44"/>
    </row>
    <row r="134" spans="3:15" ht="20.100000000000001" customHeight="1" x14ac:dyDescent="0.25">
      <c r="C134" s="57"/>
      <c r="D134" s="60"/>
      <c r="E134" s="60"/>
      <c r="F134" s="71"/>
      <c r="G134" s="71"/>
      <c r="H134" s="60"/>
      <c r="I134" s="71"/>
      <c r="J134" s="71"/>
      <c r="K134" s="71"/>
      <c r="L134" s="60"/>
      <c r="M134" s="60"/>
      <c r="N134" s="60"/>
      <c r="O134" s="44"/>
    </row>
    <row r="135" spans="3:15" ht="20.100000000000001" customHeight="1" x14ac:dyDescent="0.25">
      <c r="C135" s="57"/>
      <c r="D135" s="60"/>
      <c r="E135" s="60"/>
      <c r="F135" s="71"/>
      <c r="G135" s="71"/>
      <c r="H135" s="60"/>
      <c r="I135" s="71"/>
      <c r="J135" s="71"/>
      <c r="K135" s="71"/>
      <c r="L135" s="60"/>
      <c r="M135" s="60"/>
      <c r="N135" s="60"/>
      <c r="O135" s="44"/>
    </row>
    <row r="136" spans="3:15" ht="20.100000000000001" customHeight="1" x14ac:dyDescent="0.25">
      <c r="C136" s="57"/>
      <c r="D136" s="60"/>
      <c r="E136" s="60"/>
      <c r="F136" s="71"/>
      <c r="G136" s="71"/>
      <c r="H136" s="60"/>
      <c r="I136" s="71"/>
      <c r="J136" s="71"/>
      <c r="K136" s="71"/>
      <c r="L136" s="60"/>
      <c r="M136" s="60"/>
      <c r="N136" s="60"/>
      <c r="O136" s="44"/>
    </row>
    <row r="137" spans="3:15" ht="20.100000000000001" customHeight="1" x14ac:dyDescent="0.25">
      <c r="C137" s="57"/>
      <c r="D137" s="60"/>
      <c r="E137" s="60"/>
      <c r="F137" s="71"/>
      <c r="G137" s="71"/>
      <c r="H137" s="60"/>
      <c r="I137" s="71"/>
      <c r="J137" s="71"/>
      <c r="K137" s="71"/>
      <c r="L137" s="60"/>
      <c r="M137" s="60"/>
      <c r="N137" s="60"/>
      <c r="O137" s="44"/>
    </row>
    <row r="138" spans="3:15" ht="20.100000000000001" customHeight="1" x14ac:dyDescent="0.25">
      <c r="C138" s="57"/>
      <c r="D138" s="60"/>
      <c r="E138" s="60"/>
      <c r="F138" s="71"/>
      <c r="G138" s="71"/>
      <c r="H138" s="60"/>
      <c r="I138" s="71"/>
      <c r="J138" s="71"/>
      <c r="K138" s="71"/>
      <c r="L138" s="60"/>
      <c r="M138" s="60"/>
      <c r="N138" s="60"/>
      <c r="O138" s="44"/>
    </row>
    <row r="139" spans="3:15" ht="20.100000000000001" customHeight="1" x14ac:dyDescent="0.25">
      <c r="C139" s="57"/>
      <c r="D139" s="60"/>
      <c r="E139" s="60"/>
      <c r="F139" s="71"/>
      <c r="G139" s="71"/>
      <c r="H139" s="60"/>
      <c r="I139" s="71"/>
      <c r="J139" s="71"/>
      <c r="K139" s="71"/>
      <c r="L139" s="60"/>
      <c r="M139" s="60"/>
      <c r="N139" s="60"/>
      <c r="O139" s="44"/>
    </row>
    <row r="140" spans="3:15" ht="20.100000000000001" customHeight="1" x14ac:dyDescent="0.25">
      <c r="C140" s="57"/>
      <c r="D140" s="60"/>
      <c r="E140" s="60"/>
      <c r="F140" s="71"/>
      <c r="G140" s="71"/>
      <c r="H140" s="60"/>
      <c r="I140" s="71"/>
      <c r="J140" s="71"/>
      <c r="K140" s="71"/>
      <c r="L140" s="60"/>
      <c r="M140" s="60"/>
      <c r="N140" s="60"/>
      <c r="O140" s="44"/>
    </row>
    <row r="141" spans="3:15" ht="20.100000000000001" customHeight="1" x14ac:dyDescent="0.25">
      <c r="C141" s="57"/>
      <c r="D141" s="60"/>
      <c r="E141" s="60"/>
      <c r="F141" s="71"/>
      <c r="G141" s="71"/>
      <c r="H141" s="60"/>
      <c r="I141" s="71"/>
      <c r="J141" s="71"/>
      <c r="K141" s="71"/>
      <c r="L141" s="60"/>
      <c r="M141" s="60"/>
      <c r="N141" s="60"/>
      <c r="O141" s="44"/>
    </row>
    <row r="142" spans="3:15" ht="20.100000000000001" customHeight="1" x14ac:dyDescent="0.25">
      <c r="C142" s="57"/>
      <c r="D142" s="60"/>
      <c r="E142" s="60"/>
      <c r="F142" s="71"/>
      <c r="G142" s="71"/>
      <c r="H142" s="60"/>
      <c r="I142" s="71"/>
      <c r="J142" s="71"/>
      <c r="K142" s="71"/>
      <c r="L142" s="60"/>
      <c r="M142" s="60"/>
      <c r="N142" s="60"/>
      <c r="O142" s="44"/>
    </row>
    <row r="143" spans="3:15" ht="20.100000000000001" customHeight="1" x14ac:dyDescent="0.25">
      <c r="C143" s="57"/>
      <c r="D143" s="60"/>
      <c r="E143" s="60"/>
      <c r="F143" s="71"/>
      <c r="G143" s="71"/>
      <c r="H143" s="60"/>
      <c r="I143" s="71"/>
      <c r="J143" s="71"/>
      <c r="K143" s="71"/>
      <c r="L143" s="60"/>
      <c r="M143" s="60"/>
      <c r="N143" s="60"/>
      <c r="O143" s="44"/>
    </row>
    <row r="144" spans="3:15" ht="20.100000000000001" customHeight="1" x14ac:dyDescent="0.25">
      <c r="C144" s="57"/>
      <c r="D144" s="60"/>
      <c r="E144" s="60"/>
      <c r="F144" s="71"/>
      <c r="G144" s="71"/>
      <c r="H144" s="60"/>
      <c r="I144" s="71"/>
      <c r="J144" s="71"/>
      <c r="K144" s="71"/>
      <c r="L144" s="60"/>
      <c r="M144" s="60"/>
      <c r="N144" s="60"/>
      <c r="O144" s="44"/>
    </row>
    <row r="145" spans="3:15" ht="20.100000000000001" customHeight="1" x14ac:dyDescent="0.25">
      <c r="C145" s="57"/>
      <c r="D145" s="60"/>
      <c r="E145" s="60"/>
      <c r="F145" s="71"/>
      <c r="G145" s="71"/>
      <c r="H145" s="60"/>
      <c r="I145" s="71"/>
      <c r="J145" s="71"/>
      <c r="K145" s="71"/>
      <c r="L145" s="60"/>
      <c r="M145" s="60"/>
      <c r="N145" s="60"/>
      <c r="O145" s="44"/>
    </row>
    <row r="146" spans="3:15" ht="20.100000000000001" customHeight="1" x14ac:dyDescent="0.25">
      <c r="C146" s="57"/>
      <c r="D146" s="60"/>
      <c r="E146" s="60"/>
      <c r="F146" s="71"/>
      <c r="G146" s="71"/>
      <c r="H146" s="60"/>
      <c r="I146" s="71"/>
      <c r="J146" s="71"/>
      <c r="K146" s="71"/>
      <c r="L146" s="60"/>
      <c r="M146" s="60"/>
      <c r="N146" s="60"/>
      <c r="O146" s="44"/>
    </row>
    <row r="147" spans="3:15" ht="20.100000000000001" customHeight="1" x14ac:dyDescent="0.25">
      <c r="C147" s="57"/>
      <c r="D147" s="60"/>
      <c r="E147" s="60"/>
      <c r="F147" s="71"/>
      <c r="G147" s="71"/>
      <c r="H147" s="60"/>
      <c r="I147" s="71"/>
      <c r="J147" s="71"/>
      <c r="K147" s="71"/>
      <c r="L147" s="60"/>
      <c r="M147" s="60"/>
      <c r="N147" s="60"/>
      <c r="O147" s="44"/>
    </row>
    <row r="148" spans="3:15" ht="20.100000000000001" customHeight="1" x14ac:dyDescent="0.25">
      <c r="C148" s="57"/>
      <c r="D148" s="60"/>
      <c r="E148" s="60"/>
      <c r="F148" s="71"/>
      <c r="G148" s="71"/>
      <c r="H148" s="60"/>
      <c r="I148" s="71"/>
      <c r="J148" s="71"/>
      <c r="K148" s="71"/>
      <c r="L148" s="60"/>
      <c r="M148" s="60"/>
      <c r="N148" s="60"/>
      <c r="O148" s="44"/>
    </row>
    <row r="149" spans="3:15" ht="20.100000000000001" customHeight="1" x14ac:dyDescent="0.25">
      <c r="C149" s="57"/>
      <c r="D149" s="60"/>
      <c r="E149" s="60"/>
      <c r="F149" s="71"/>
      <c r="G149" s="71"/>
      <c r="H149" s="60"/>
      <c r="I149" s="71"/>
      <c r="J149" s="71"/>
      <c r="K149" s="71"/>
      <c r="L149" s="60"/>
      <c r="M149" s="60"/>
      <c r="N149" s="60"/>
      <c r="O149" s="44"/>
    </row>
    <row r="150" spans="3:15" ht="20.100000000000001" customHeight="1" x14ac:dyDescent="0.25">
      <c r="C150" s="57"/>
      <c r="D150" s="60"/>
      <c r="E150" s="60"/>
      <c r="F150" s="71"/>
      <c r="G150" s="71"/>
      <c r="H150" s="60"/>
      <c r="I150" s="71"/>
      <c r="J150" s="71"/>
      <c r="K150" s="71"/>
      <c r="L150" s="60"/>
      <c r="M150" s="60"/>
      <c r="N150" s="60"/>
      <c r="O150" s="44"/>
    </row>
    <row r="151" spans="3:15" ht="20.100000000000001" customHeight="1" x14ac:dyDescent="0.25">
      <c r="C151" s="57"/>
      <c r="D151" s="60"/>
      <c r="E151" s="60"/>
      <c r="F151" s="71"/>
      <c r="G151" s="71"/>
      <c r="H151" s="60"/>
      <c r="I151" s="71"/>
      <c r="J151" s="71"/>
      <c r="K151" s="71"/>
      <c r="L151" s="60"/>
      <c r="M151" s="60"/>
      <c r="N151" s="60"/>
      <c r="O151" s="44"/>
    </row>
    <row r="152" spans="3:15" ht="20.100000000000001" customHeight="1" x14ac:dyDescent="0.25">
      <c r="C152" s="57"/>
      <c r="D152" s="60"/>
      <c r="E152" s="60"/>
      <c r="F152" s="71"/>
      <c r="G152" s="71"/>
      <c r="H152" s="60"/>
      <c r="I152" s="71"/>
      <c r="J152" s="71"/>
      <c r="K152" s="71"/>
      <c r="L152" s="60"/>
      <c r="M152" s="60"/>
      <c r="N152" s="60"/>
      <c r="O152" s="44"/>
    </row>
    <row r="153" spans="3:15" ht="20.100000000000001" customHeight="1" x14ac:dyDescent="0.25">
      <c r="C153" s="57"/>
      <c r="D153" s="60"/>
      <c r="E153" s="60"/>
      <c r="F153" s="71"/>
      <c r="G153" s="71"/>
      <c r="H153" s="60"/>
      <c r="I153" s="71"/>
      <c r="J153" s="71"/>
      <c r="K153" s="71"/>
      <c r="L153" s="60"/>
      <c r="M153" s="60"/>
      <c r="N153" s="60"/>
      <c r="O153" s="44"/>
    </row>
    <row r="154" spans="3:15" ht="20.100000000000001" customHeight="1" x14ac:dyDescent="0.25">
      <c r="C154" s="57"/>
      <c r="D154" s="60"/>
      <c r="E154" s="60"/>
      <c r="F154" s="71"/>
      <c r="G154" s="71"/>
      <c r="H154" s="60"/>
      <c r="I154" s="71"/>
      <c r="J154" s="71"/>
      <c r="K154" s="71"/>
      <c r="L154" s="60"/>
      <c r="M154" s="60"/>
      <c r="N154" s="60"/>
      <c r="O154" s="44"/>
    </row>
    <row r="155" spans="3:15" ht="20.100000000000001" customHeight="1" x14ac:dyDescent="0.25">
      <c r="C155" s="57"/>
      <c r="D155" s="60"/>
      <c r="E155" s="60"/>
      <c r="F155" s="71"/>
      <c r="G155" s="71"/>
      <c r="H155" s="60"/>
      <c r="I155" s="71"/>
      <c r="J155" s="71"/>
      <c r="K155" s="71"/>
      <c r="L155" s="60"/>
      <c r="M155" s="60"/>
      <c r="N155" s="60"/>
      <c r="O155" s="44"/>
    </row>
    <row r="156" spans="3:15" ht="20.100000000000001" customHeight="1" x14ac:dyDescent="0.25">
      <c r="C156" s="57"/>
      <c r="D156" s="60"/>
      <c r="E156" s="60"/>
      <c r="F156" s="71"/>
      <c r="G156" s="71"/>
      <c r="H156" s="60"/>
      <c r="I156" s="71"/>
      <c r="J156" s="71"/>
      <c r="K156" s="71"/>
      <c r="L156" s="60"/>
      <c r="M156" s="60"/>
      <c r="N156" s="60"/>
      <c r="O156" s="44"/>
    </row>
    <row r="157" spans="3:15" ht="20.100000000000001" customHeight="1" x14ac:dyDescent="0.25">
      <c r="C157" s="57"/>
      <c r="D157" s="60"/>
      <c r="E157" s="60"/>
      <c r="F157" s="71"/>
      <c r="G157" s="71"/>
      <c r="H157" s="60"/>
      <c r="I157" s="71"/>
      <c r="J157" s="71"/>
      <c r="K157" s="71"/>
      <c r="L157" s="60"/>
      <c r="M157" s="60"/>
      <c r="N157" s="60"/>
      <c r="O157" s="44"/>
    </row>
    <row r="158" spans="3:15" ht="20.100000000000001" customHeight="1" x14ac:dyDescent="0.25">
      <c r="C158" s="57"/>
      <c r="D158" s="60"/>
      <c r="E158" s="60"/>
      <c r="F158" s="71"/>
      <c r="G158" s="71"/>
      <c r="H158" s="60"/>
      <c r="I158" s="71"/>
      <c r="J158" s="71"/>
      <c r="K158" s="71"/>
      <c r="L158" s="60"/>
      <c r="M158" s="60"/>
      <c r="N158" s="60"/>
      <c r="O158" s="44"/>
    </row>
    <row r="159" spans="3:15" ht="20.100000000000001" customHeight="1" x14ac:dyDescent="0.25">
      <c r="C159" s="57"/>
      <c r="D159" s="60"/>
      <c r="E159" s="60"/>
      <c r="F159" s="71"/>
      <c r="G159" s="71"/>
      <c r="H159" s="60"/>
      <c r="I159" s="71"/>
      <c r="J159" s="71"/>
      <c r="K159" s="71"/>
      <c r="L159" s="60"/>
      <c r="M159" s="60"/>
      <c r="N159" s="60"/>
      <c r="O159" s="44"/>
    </row>
    <row r="160" spans="3:15" ht="20.100000000000001" customHeight="1" x14ac:dyDescent="0.25">
      <c r="C160" s="57"/>
      <c r="D160" s="60"/>
      <c r="E160" s="60"/>
      <c r="F160" s="71"/>
      <c r="G160" s="71"/>
      <c r="H160" s="60"/>
      <c r="I160" s="71"/>
      <c r="J160" s="71"/>
      <c r="K160" s="71"/>
      <c r="L160" s="60"/>
      <c r="M160" s="60"/>
      <c r="N160" s="60"/>
      <c r="O160" s="44"/>
    </row>
    <row r="161" spans="3:15" ht="20.100000000000001" customHeight="1" x14ac:dyDescent="0.25">
      <c r="C161" s="57"/>
      <c r="D161" s="60"/>
      <c r="E161" s="60"/>
      <c r="F161" s="71"/>
      <c r="G161" s="71"/>
      <c r="H161" s="60"/>
      <c r="I161" s="71"/>
      <c r="J161" s="71"/>
      <c r="K161" s="71"/>
      <c r="L161" s="60"/>
      <c r="M161" s="60"/>
      <c r="N161" s="60"/>
      <c r="O161" s="44"/>
    </row>
    <row r="162" spans="3:15" ht="20.100000000000001" customHeight="1" x14ac:dyDescent="0.25">
      <c r="C162" s="57"/>
      <c r="D162" s="60"/>
      <c r="E162" s="60"/>
      <c r="F162" s="71"/>
      <c r="G162" s="71"/>
      <c r="H162" s="60"/>
      <c r="I162" s="71"/>
      <c r="J162" s="71"/>
      <c r="K162" s="71"/>
      <c r="L162" s="60"/>
      <c r="M162" s="60"/>
      <c r="N162" s="60"/>
      <c r="O162" s="44"/>
    </row>
    <row r="163" spans="3:15" ht="20.100000000000001" customHeight="1" x14ac:dyDescent="0.25">
      <c r="C163" s="57"/>
      <c r="D163" s="60"/>
      <c r="E163" s="60"/>
      <c r="F163" s="71"/>
      <c r="G163" s="71"/>
      <c r="H163" s="60"/>
      <c r="I163" s="71"/>
      <c r="J163" s="71"/>
      <c r="K163" s="71"/>
      <c r="L163" s="60"/>
      <c r="M163" s="60"/>
      <c r="N163" s="60"/>
      <c r="O163" s="44"/>
    </row>
    <row r="164" spans="3:15" ht="20.100000000000001" customHeight="1" x14ac:dyDescent="0.25">
      <c r="C164" s="57"/>
      <c r="D164" s="60"/>
      <c r="E164" s="60"/>
      <c r="F164" s="71"/>
      <c r="G164" s="71"/>
      <c r="H164" s="60"/>
      <c r="I164" s="71"/>
      <c r="J164" s="71"/>
      <c r="K164" s="71"/>
      <c r="L164" s="60"/>
      <c r="M164" s="60"/>
      <c r="N164" s="60"/>
      <c r="O164" s="44"/>
    </row>
    <row r="165" spans="3:15" ht="20.100000000000001" customHeight="1" x14ac:dyDescent="0.25">
      <c r="C165" s="57"/>
      <c r="D165" s="60"/>
      <c r="E165" s="60"/>
      <c r="F165" s="71"/>
      <c r="G165" s="71"/>
      <c r="H165" s="60"/>
      <c r="I165" s="71"/>
      <c r="J165" s="71"/>
      <c r="K165" s="71"/>
      <c r="L165" s="60"/>
      <c r="M165" s="60"/>
      <c r="N165" s="60"/>
      <c r="O165" s="44"/>
    </row>
    <row r="166" spans="3:15" ht="20.100000000000001" customHeight="1" x14ac:dyDescent="0.25">
      <c r="C166" s="57"/>
      <c r="D166" s="60"/>
      <c r="E166" s="60"/>
      <c r="F166" s="71"/>
      <c r="G166" s="71"/>
      <c r="H166" s="60"/>
      <c r="I166" s="71"/>
      <c r="J166" s="71"/>
      <c r="K166" s="71"/>
      <c r="L166" s="60"/>
      <c r="M166" s="60"/>
      <c r="N166" s="60"/>
      <c r="O166" s="44"/>
    </row>
    <row r="167" spans="3:15" ht="20.100000000000001" customHeight="1" x14ac:dyDescent="0.25">
      <c r="C167" s="57"/>
      <c r="D167" s="60"/>
      <c r="E167" s="60"/>
      <c r="F167" s="71"/>
      <c r="G167" s="71"/>
      <c r="H167" s="60"/>
      <c r="I167" s="71"/>
      <c r="J167" s="71"/>
      <c r="K167" s="71"/>
      <c r="L167" s="60"/>
      <c r="M167" s="60"/>
      <c r="N167" s="60"/>
      <c r="O167" s="44"/>
    </row>
    <row r="168" spans="3:15" ht="20.100000000000001" customHeight="1" x14ac:dyDescent="0.25">
      <c r="C168" s="57"/>
      <c r="D168" s="60"/>
      <c r="E168" s="60"/>
      <c r="F168" s="71"/>
      <c r="G168" s="71"/>
      <c r="H168" s="60"/>
      <c r="I168" s="71"/>
      <c r="J168" s="71"/>
      <c r="K168" s="71"/>
      <c r="L168" s="60"/>
      <c r="M168" s="60"/>
      <c r="N168" s="60"/>
      <c r="O168" s="44"/>
    </row>
    <row r="169" spans="3:15" ht="20.100000000000001" customHeight="1" x14ac:dyDescent="0.25">
      <c r="C169" s="57"/>
      <c r="D169" s="60"/>
      <c r="E169" s="60"/>
      <c r="F169" s="71"/>
      <c r="G169" s="71"/>
      <c r="H169" s="60"/>
      <c r="I169" s="71"/>
      <c r="J169" s="71"/>
      <c r="K169" s="71"/>
      <c r="L169" s="60"/>
      <c r="M169" s="60"/>
      <c r="N169" s="60"/>
      <c r="O169" s="44"/>
    </row>
    <row r="170" spans="3:15" ht="20.100000000000001" customHeight="1" x14ac:dyDescent="0.25">
      <c r="C170" s="57"/>
      <c r="D170" s="60"/>
      <c r="E170" s="60"/>
      <c r="F170" s="71"/>
      <c r="G170" s="71"/>
      <c r="H170" s="60"/>
      <c r="I170" s="71"/>
      <c r="J170" s="71"/>
      <c r="K170" s="71"/>
      <c r="L170" s="60"/>
      <c r="M170" s="60"/>
      <c r="N170" s="60"/>
      <c r="O170" s="44"/>
    </row>
    <row r="171" spans="3:15" ht="20.100000000000001" customHeight="1" x14ac:dyDescent="0.25">
      <c r="C171" s="57"/>
      <c r="D171" s="60"/>
      <c r="E171" s="60"/>
      <c r="F171" s="71"/>
      <c r="G171" s="71"/>
      <c r="H171" s="60"/>
      <c r="I171" s="71"/>
      <c r="J171" s="71"/>
      <c r="K171" s="71"/>
      <c r="L171" s="60"/>
      <c r="M171" s="60"/>
      <c r="N171" s="60"/>
      <c r="O171" s="44"/>
    </row>
    <row r="172" spans="3:15" ht="20.100000000000001" customHeight="1" x14ac:dyDescent="0.25">
      <c r="C172" s="57"/>
      <c r="D172" s="60"/>
      <c r="E172" s="60"/>
      <c r="F172" s="71"/>
      <c r="G172" s="71"/>
      <c r="H172" s="60"/>
      <c r="I172" s="71"/>
      <c r="J172" s="71"/>
      <c r="K172" s="71"/>
      <c r="L172" s="60"/>
      <c r="M172" s="60"/>
      <c r="N172" s="60"/>
      <c r="O172" s="44"/>
    </row>
    <row r="173" spans="3:15" ht="20.100000000000001" customHeight="1" x14ac:dyDescent="0.25">
      <c r="C173" s="57"/>
      <c r="D173" s="60"/>
      <c r="E173" s="60"/>
      <c r="F173" s="71"/>
      <c r="G173" s="71"/>
      <c r="H173" s="60"/>
      <c r="I173" s="71"/>
      <c r="J173" s="71"/>
      <c r="K173" s="71"/>
      <c r="L173" s="60"/>
      <c r="M173" s="60"/>
      <c r="N173" s="60"/>
      <c r="O173" s="44"/>
    </row>
    <row r="174" spans="3:15" ht="20.100000000000001" customHeight="1" x14ac:dyDescent="0.25">
      <c r="C174" s="57"/>
      <c r="D174" s="60"/>
      <c r="E174" s="60"/>
      <c r="F174" s="71"/>
      <c r="G174" s="71"/>
      <c r="H174" s="60"/>
      <c r="I174" s="71"/>
      <c r="J174" s="71"/>
      <c r="K174" s="71"/>
      <c r="L174" s="60"/>
      <c r="M174" s="60"/>
      <c r="N174" s="60"/>
      <c r="O174" s="44"/>
    </row>
    <row r="175" spans="3:15" ht="20.100000000000001" customHeight="1" x14ac:dyDescent="0.25">
      <c r="C175" s="57"/>
      <c r="D175" s="60"/>
      <c r="E175" s="60"/>
      <c r="F175" s="71"/>
      <c r="G175" s="71"/>
      <c r="H175" s="60"/>
      <c r="I175" s="71"/>
      <c r="J175" s="71"/>
      <c r="K175" s="71"/>
      <c r="L175" s="60"/>
      <c r="M175" s="60"/>
      <c r="N175" s="60"/>
      <c r="O175" s="44"/>
    </row>
    <row r="176" spans="3:15" ht="20.100000000000001" customHeight="1" x14ac:dyDescent="0.25">
      <c r="C176" s="57"/>
      <c r="D176" s="60"/>
      <c r="E176" s="60"/>
      <c r="F176" s="71"/>
      <c r="G176" s="71"/>
      <c r="H176" s="60"/>
      <c r="I176" s="71"/>
      <c r="J176" s="71"/>
      <c r="K176" s="71"/>
      <c r="L176" s="60"/>
      <c r="M176" s="60"/>
      <c r="N176" s="60"/>
      <c r="O176" s="44"/>
    </row>
    <row r="177" spans="3:15" ht="20.100000000000001" customHeight="1" x14ac:dyDescent="0.25">
      <c r="C177" s="57"/>
      <c r="D177" s="60"/>
      <c r="E177" s="60"/>
      <c r="F177" s="71"/>
      <c r="G177" s="71"/>
      <c r="H177" s="60"/>
      <c r="I177" s="71"/>
      <c r="J177" s="71"/>
      <c r="K177" s="71"/>
      <c r="L177" s="60"/>
      <c r="M177" s="60"/>
      <c r="N177" s="60"/>
      <c r="O177" s="44"/>
    </row>
    <row r="178" spans="3:15" ht="20.100000000000001" customHeight="1" x14ac:dyDescent="0.25">
      <c r="C178" s="57"/>
      <c r="D178" s="60"/>
      <c r="E178" s="60"/>
      <c r="F178" s="71"/>
      <c r="G178" s="71"/>
      <c r="H178" s="60"/>
      <c r="I178" s="71"/>
      <c r="J178" s="71"/>
      <c r="K178" s="71"/>
      <c r="L178" s="60"/>
      <c r="M178" s="60"/>
      <c r="N178" s="60"/>
      <c r="O178" s="44"/>
    </row>
    <row r="179" spans="3:15" ht="20.100000000000001" customHeight="1" x14ac:dyDescent="0.25">
      <c r="C179" s="57"/>
      <c r="D179" s="60"/>
      <c r="E179" s="60"/>
      <c r="F179" s="71"/>
      <c r="G179" s="71"/>
      <c r="H179" s="60"/>
      <c r="I179" s="71"/>
      <c r="J179" s="71"/>
      <c r="K179" s="71"/>
      <c r="L179" s="60"/>
      <c r="M179" s="60"/>
      <c r="N179" s="60"/>
      <c r="O179" s="44"/>
    </row>
    <row r="180" spans="3:15" ht="20.100000000000001" customHeight="1" x14ac:dyDescent="0.25">
      <c r="C180" s="57"/>
      <c r="D180" s="60"/>
      <c r="E180" s="60"/>
      <c r="F180" s="71"/>
      <c r="G180" s="71"/>
      <c r="H180" s="60"/>
      <c r="I180" s="71"/>
      <c r="J180" s="71"/>
      <c r="K180" s="71"/>
      <c r="L180" s="60"/>
      <c r="M180" s="60"/>
      <c r="N180" s="60"/>
      <c r="O180" s="44"/>
    </row>
    <row r="181" spans="3:15" ht="20.100000000000001" customHeight="1" x14ac:dyDescent="0.25">
      <c r="C181" s="57"/>
      <c r="D181" s="60"/>
      <c r="E181" s="60"/>
      <c r="F181" s="71"/>
      <c r="G181" s="71"/>
      <c r="H181" s="60"/>
      <c r="I181" s="71"/>
      <c r="J181" s="71"/>
      <c r="K181" s="71"/>
      <c r="L181" s="60"/>
      <c r="M181" s="60"/>
      <c r="N181" s="60"/>
      <c r="O181" s="44"/>
    </row>
    <row r="182" spans="3:15" ht="20.100000000000001" customHeight="1" x14ac:dyDescent="0.25">
      <c r="C182" s="57"/>
      <c r="D182" s="60"/>
      <c r="E182" s="60"/>
      <c r="F182" s="71"/>
      <c r="G182" s="71"/>
      <c r="H182" s="60"/>
      <c r="I182" s="71"/>
      <c r="J182" s="71"/>
      <c r="K182" s="71"/>
      <c r="L182" s="60"/>
      <c r="M182" s="60"/>
      <c r="N182" s="60"/>
      <c r="O182" s="44"/>
    </row>
    <row r="183" spans="3:15" ht="20.100000000000001" customHeight="1" x14ac:dyDescent="0.25">
      <c r="C183" s="57"/>
      <c r="D183" s="60"/>
      <c r="E183" s="60"/>
      <c r="F183" s="71"/>
      <c r="G183" s="71"/>
      <c r="H183" s="60"/>
      <c r="I183" s="71"/>
      <c r="J183" s="71"/>
      <c r="K183" s="71"/>
      <c r="L183" s="60"/>
      <c r="M183" s="60"/>
      <c r="N183" s="60"/>
      <c r="O183" s="44"/>
    </row>
    <row r="184" spans="3:15" ht="20.100000000000001" customHeight="1" x14ac:dyDescent="0.25">
      <c r="C184" s="57"/>
      <c r="D184" s="60"/>
      <c r="E184" s="60"/>
      <c r="F184" s="71"/>
      <c r="G184" s="71"/>
      <c r="H184" s="60"/>
      <c r="I184" s="71"/>
      <c r="J184" s="71"/>
      <c r="K184" s="71"/>
      <c r="L184" s="60"/>
      <c r="M184" s="60"/>
      <c r="N184" s="60"/>
      <c r="O184" s="44"/>
    </row>
    <row r="185" spans="3:15" ht="20.100000000000001" customHeight="1" x14ac:dyDescent="0.25">
      <c r="C185" s="57"/>
      <c r="D185" s="60"/>
      <c r="E185" s="60"/>
      <c r="F185" s="71"/>
      <c r="G185" s="71"/>
      <c r="H185" s="60"/>
      <c r="I185" s="71"/>
      <c r="J185" s="71"/>
      <c r="K185" s="71"/>
      <c r="L185" s="60"/>
      <c r="M185" s="60"/>
      <c r="N185" s="60"/>
      <c r="O185" s="44"/>
    </row>
    <row r="186" spans="3:15" ht="20.100000000000001" customHeight="1" x14ac:dyDescent="0.25">
      <c r="C186" s="57"/>
      <c r="D186" s="60"/>
      <c r="E186" s="60"/>
      <c r="F186" s="71"/>
      <c r="G186" s="71"/>
      <c r="H186" s="60"/>
      <c r="I186" s="71"/>
      <c r="J186" s="71"/>
      <c r="K186" s="71"/>
      <c r="L186" s="60"/>
      <c r="M186" s="60"/>
      <c r="N186" s="60"/>
      <c r="O186" s="44"/>
    </row>
    <row r="187" spans="3:15" ht="20.100000000000001" customHeight="1" x14ac:dyDescent="0.25">
      <c r="C187" s="57"/>
      <c r="D187" s="60"/>
      <c r="E187" s="60"/>
      <c r="F187" s="71"/>
      <c r="G187" s="71"/>
      <c r="H187" s="60"/>
      <c r="I187" s="71"/>
      <c r="J187" s="71"/>
      <c r="K187" s="71"/>
      <c r="L187" s="60"/>
      <c r="M187" s="60"/>
      <c r="N187" s="60"/>
      <c r="O187" s="44"/>
    </row>
    <row r="188" spans="3:15" ht="20.100000000000001" customHeight="1" x14ac:dyDescent="0.25">
      <c r="C188" s="57"/>
      <c r="D188" s="60"/>
      <c r="E188" s="60"/>
      <c r="F188" s="71"/>
      <c r="G188" s="71"/>
      <c r="H188" s="60"/>
      <c r="I188" s="71"/>
      <c r="J188" s="71"/>
      <c r="K188" s="71"/>
      <c r="L188" s="60"/>
      <c r="M188" s="60"/>
      <c r="N188" s="60"/>
      <c r="O188" s="44"/>
    </row>
    <row r="189" spans="3:15" ht="20.100000000000001" customHeight="1" x14ac:dyDescent="0.25">
      <c r="C189" s="57"/>
      <c r="D189" s="60"/>
      <c r="E189" s="60"/>
      <c r="F189" s="71"/>
      <c r="G189" s="71"/>
      <c r="H189" s="60"/>
      <c r="I189" s="71"/>
      <c r="J189" s="71"/>
      <c r="K189" s="71"/>
      <c r="L189" s="60"/>
      <c r="M189" s="60"/>
      <c r="N189" s="60"/>
      <c r="O189" s="44"/>
    </row>
    <row r="190" spans="3:15" ht="20.100000000000001" customHeight="1" x14ac:dyDescent="0.25">
      <c r="C190" s="57"/>
      <c r="D190" s="60"/>
      <c r="E190" s="60"/>
      <c r="F190" s="71"/>
      <c r="G190" s="71"/>
      <c r="H190" s="60"/>
      <c r="I190" s="71"/>
      <c r="J190" s="71"/>
      <c r="K190" s="71"/>
      <c r="L190" s="60"/>
      <c r="M190" s="60"/>
      <c r="N190" s="60"/>
      <c r="O190" s="44"/>
    </row>
    <row r="191" spans="3:15" ht="20.100000000000001" customHeight="1" x14ac:dyDescent="0.25">
      <c r="C191" s="57"/>
      <c r="D191" s="60"/>
      <c r="E191" s="60"/>
      <c r="F191" s="71"/>
      <c r="G191" s="71"/>
      <c r="H191" s="60"/>
      <c r="I191" s="71"/>
      <c r="J191" s="71"/>
      <c r="K191" s="71"/>
      <c r="L191" s="60"/>
      <c r="M191" s="60"/>
      <c r="N191" s="60"/>
      <c r="O191" s="44"/>
    </row>
    <row r="192" spans="3:15" ht="20.100000000000001" customHeight="1" x14ac:dyDescent="0.25">
      <c r="C192" s="57"/>
      <c r="D192" s="60"/>
      <c r="E192" s="60"/>
      <c r="F192" s="71"/>
      <c r="G192" s="71"/>
      <c r="H192" s="60"/>
      <c r="I192" s="71"/>
      <c r="J192" s="71"/>
      <c r="K192" s="71"/>
      <c r="L192" s="60"/>
      <c r="M192" s="60"/>
      <c r="N192" s="60"/>
      <c r="O192" s="44"/>
    </row>
    <row r="193" spans="3:15" ht="20.100000000000001" customHeight="1" x14ac:dyDescent="0.25">
      <c r="C193" s="57"/>
      <c r="D193" s="60"/>
      <c r="E193" s="60"/>
      <c r="F193" s="71"/>
      <c r="G193" s="71"/>
      <c r="H193" s="60"/>
      <c r="I193" s="71"/>
      <c r="J193" s="71"/>
      <c r="K193" s="71"/>
      <c r="L193" s="60"/>
      <c r="M193" s="60"/>
      <c r="N193" s="60"/>
      <c r="O193" s="44"/>
    </row>
    <row r="194" spans="3:15" ht="20.100000000000001" customHeight="1" x14ac:dyDescent="0.25">
      <c r="C194" s="57"/>
      <c r="D194" s="60"/>
      <c r="E194" s="60"/>
      <c r="F194" s="71"/>
      <c r="G194" s="71"/>
      <c r="H194" s="60"/>
      <c r="I194" s="71"/>
      <c r="J194" s="71"/>
      <c r="K194" s="71"/>
      <c r="L194" s="60"/>
      <c r="M194" s="60"/>
      <c r="N194" s="60"/>
      <c r="O194" s="44"/>
    </row>
    <row r="195" spans="3:15" ht="20.100000000000001" customHeight="1" x14ac:dyDescent="0.25">
      <c r="C195" s="57"/>
      <c r="D195" s="60"/>
      <c r="E195" s="60"/>
      <c r="F195" s="71"/>
      <c r="G195" s="71"/>
      <c r="H195" s="60"/>
      <c r="I195" s="71"/>
      <c r="J195" s="71"/>
      <c r="K195" s="71"/>
      <c r="L195" s="60"/>
      <c r="M195" s="60"/>
      <c r="N195" s="60"/>
      <c r="O195" s="44"/>
    </row>
    <row r="196" spans="3:15" ht="20.100000000000001" customHeight="1" x14ac:dyDescent="0.25">
      <c r="C196" s="57"/>
      <c r="D196" s="60"/>
      <c r="E196" s="60"/>
      <c r="F196" s="71"/>
      <c r="G196" s="71"/>
      <c r="H196" s="60"/>
      <c r="I196" s="71"/>
      <c r="J196" s="71"/>
      <c r="K196" s="71"/>
      <c r="L196" s="60"/>
      <c r="M196" s="60"/>
      <c r="N196" s="60"/>
      <c r="O196" s="44"/>
    </row>
    <row r="197" spans="3:15" ht="20.100000000000001" customHeight="1" x14ac:dyDescent="0.25">
      <c r="C197" s="57"/>
      <c r="D197" s="60"/>
      <c r="E197" s="60"/>
      <c r="F197" s="71"/>
      <c r="G197" s="71"/>
      <c r="H197" s="60"/>
      <c r="I197" s="71"/>
      <c r="J197" s="71"/>
      <c r="K197" s="71"/>
      <c r="L197" s="60"/>
      <c r="M197" s="60"/>
      <c r="N197" s="60"/>
      <c r="O197" s="44"/>
    </row>
    <row r="198" spans="3:15" ht="20.100000000000001" customHeight="1" x14ac:dyDescent="0.25">
      <c r="C198" s="57"/>
      <c r="D198" s="60"/>
      <c r="E198" s="60"/>
      <c r="F198" s="71"/>
      <c r="G198" s="71"/>
      <c r="H198" s="60"/>
      <c r="I198" s="71"/>
      <c r="J198" s="71"/>
      <c r="K198" s="71"/>
      <c r="L198" s="60"/>
      <c r="M198" s="60"/>
      <c r="N198" s="60"/>
      <c r="O198" s="44"/>
    </row>
    <row r="199" spans="3:15" ht="20.100000000000001" customHeight="1" x14ac:dyDescent="0.25">
      <c r="C199" s="57"/>
      <c r="D199" s="60"/>
      <c r="E199" s="60"/>
      <c r="F199" s="71"/>
      <c r="G199" s="71"/>
      <c r="H199" s="60"/>
      <c r="I199" s="71"/>
      <c r="J199" s="71"/>
      <c r="K199" s="71"/>
      <c r="L199" s="60"/>
      <c r="M199" s="60"/>
      <c r="N199" s="60"/>
      <c r="O199" s="44"/>
    </row>
    <row r="200" spans="3:15" ht="20.100000000000001" customHeight="1" x14ac:dyDescent="0.25">
      <c r="C200" s="57"/>
      <c r="D200" s="60"/>
      <c r="E200" s="60"/>
      <c r="F200" s="71"/>
      <c r="G200" s="71"/>
      <c r="H200" s="60"/>
      <c r="I200" s="71"/>
      <c r="J200" s="71"/>
      <c r="K200" s="71"/>
      <c r="L200" s="60"/>
      <c r="M200" s="60"/>
      <c r="N200" s="60"/>
      <c r="O200" s="44"/>
    </row>
    <row r="201" spans="3:15" ht="20.100000000000001" customHeight="1" x14ac:dyDescent="0.25">
      <c r="C201" s="57"/>
      <c r="D201" s="60"/>
      <c r="E201" s="60"/>
      <c r="F201" s="71"/>
      <c r="G201" s="71"/>
      <c r="H201" s="60"/>
      <c r="I201" s="71"/>
      <c r="J201" s="71"/>
      <c r="K201" s="71"/>
      <c r="L201" s="60"/>
      <c r="M201" s="60"/>
      <c r="N201" s="60"/>
      <c r="O201" s="44"/>
    </row>
    <row r="202" spans="3:15" ht="20.100000000000001" customHeight="1" x14ac:dyDescent="0.25">
      <c r="C202" s="57"/>
      <c r="D202" s="60"/>
      <c r="E202" s="60"/>
      <c r="F202" s="71"/>
      <c r="G202" s="71"/>
      <c r="H202" s="60"/>
      <c r="I202" s="71"/>
      <c r="J202" s="71"/>
      <c r="K202" s="71"/>
      <c r="L202" s="60"/>
      <c r="M202" s="60"/>
      <c r="N202" s="60"/>
      <c r="O202" s="44"/>
    </row>
    <row r="203" spans="3:15" ht="20.100000000000001" customHeight="1" x14ac:dyDescent="0.25">
      <c r="C203" s="57"/>
      <c r="D203" s="60"/>
      <c r="E203" s="60"/>
      <c r="F203" s="71"/>
      <c r="G203" s="71"/>
      <c r="H203" s="60"/>
      <c r="I203" s="71"/>
      <c r="J203" s="71"/>
      <c r="K203" s="71"/>
      <c r="L203" s="60"/>
      <c r="M203" s="60"/>
      <c r="N203" s="60"/>
      <c r="O203" s="44"/>
    </row>
    <row r="204" spans="3:15" ht="20.100000000000001" customHeight="1" x14ac:dyDescent="0.25">
      <c r="C204" s="57"/>
      <c r="D204" s="60"/>
      <c r="E204" s="60"/>
      <c r="F204" s="71"/>
      <c r="G204" s="71"/>
      <c r="H204" s="60"/>
      <c r="I204" s="71"/>
      <c r="J204" s="71"/>
      <c r="K204" s="71"/>
      <c r="L204" s="60"/>
      <c r="M204" s="60"/>
      <c r="N204" s="60"/>
      <c r="O204" s="44"/>
    </row>
    <row r="205" spans="3:15" ht="20.100000000000001" customHeight="1" x14ac:dyDescent="0.25">
      <c r="C205" s="57"/>
      <c r="D205" s="60"/>
      <c r="E205" s="60"/>
      <c r="F205" s="71"/>
      <c r="G205" s="71"/>
      <c r="H205" s="60"/>
      <c r="I205" s="71"/>
      <c r="J205" s="71"/>
      <c r="K205" s="71"/>
      <c r="L205" s="60"/>
      <c r="M205" s="60"/>
      <c r="N205" s="60"/>
      <c r="O205" s="44"/>
    </row>
    <row r="206" spans="3:15" ht="20.100000000000001" customHeight="1" x14ac:dyDescent="0.25">
      <c r="C206" s="57"/>
      <c r="D206" s="60"/>
      <c r="E206" s="60"/>
      <c r="F206" s="71"/>
      <c r="G206" s="71"/>
      <c r="H206" s="60"/>
      <c r="I206" s="71"/>
      <c r="J206" s="71"/>
      <c r="K206" s="71"/>
      <c r="L206" s="60"/>
      <c r="M206" s="60"/>
      <c r="N206" s="60"/>
      <c r="O206" s="44"/>
    </row>
    <row r="207" spans="3:15" ht="20.100000000000001" customHeight="1" x14ac:dyDescent="0.25">
      <c r="C207" s="57"/>
      <c r="D207" s="60"/>
      <c r="E207" s="60"/>
      <c r="F207" s="71"/>
      <c r="G207" s="71"/>
      <c r="H207" s="60"/>
      <c r="I207" s="71"/>
      <c r="J207" s="71"/>
      <c r="K207" s="71"/>
      <c r="L207" s="60"/>
      <c r="M207" s="60"/>
      <c r="N207" s="60"/>
      <c r="O207" s="44"/>
    </row>
    <row r="208" spans="3:15" ht="20.100000000000001" customHeight="1" x14ac:dyDescent="0.25">
      <c r="C208" s="57"/>
      <c r="D208" s="60"/>
      <c r="E208" s="60"/>
      <c r="F208" s="71"/>
      <c r="G208" s="71"/>
      <c r="H208" s="60"/>
      <c r="I208" s="71"/>
      <c r="J208" s="71"/>
      <c r="K208" s="71"/>
      <c r="L208" s="60"/>
      <c r="M208" s="60"/>
      <c r="N208" s="60"/>
      <c r="O208" s="44"/>
    </row>
    <row r="209" spans="3:15" ht="20.100000000000001" customHeight="1" x14ac:dyDescent="0.25">
      <c r="C209" s="57"/>
      <c r="D209" s="60"/>
      <c r="E209" s="60"/>
      <c r="F209" s="71"/>
      <c r="G209" s="71"/>
      <c r="H209" s="60"/>
      <c r="I209" s="71"/>
      <c r="J209" s="71"/>
      <c r="K209" s="71"/>
      <c r="L209" s="60"/>
      <c r="M209" s="60"/>
      <c r="N209" s="60"/>
      <c r="O209" s="44"/>
    </row>
    <row r="210" spans="3:15" ht="20.100000000000001" customHeight="1" x14ac:dyDescent="0.25">
      <c r="C210" s="57"/>
      <c r="D210" s="60"/>
      <c r="E210" s="60"/>
      <c r="F210" s="71"/>
      <c r="G210" s="71"/>
      <c r="H210" s="60"/>
      <c r="I210" s="71"/>
      <c r="J210" s="71"/>
      <c r="K210" s="71"/>
      <c r="L210" s="60"/>
      <c r="M210" s="60"/>
      <c r="N210" s="60"/>
      <c r="O210" s="44"/>
    </row>
    <row r="211" spans="3:15" ht="20.100000000000001" customHeight="1" x14ac:dyDescent="0.25">
      <c r="C211" s="57"/>
      <c r="D211" s="60"/>
      <c r="E211" s="60"/>
      <c r="F211" s="71"/>
      <c r="G211" s="71"/>
      <c r="H211" s="60"/>
      <c r="I211" s="71"/>
      <c r="J211" s="71"/>
      <c r="K211" s="71"/>
      <c r="L211" s="60"/>
      <c r="M211" s="60"/>
      <c r="N211" s="60"/>
      <c r="O211" s="44"/>
    </row>
    <row r="212" spans="3:15" ht="20.100000000000001" customHeight="1" x14ac:dyDescent="0.25">
      <c r="C212" s="57"/>
      <c r="D212" s="60"/>
      <c r="E212" s="60"/>
      <c r="F212" s="71"/>
      <c r="G212" s="71"/>
      <c r="H212" s="60"/>
      <c r="I212" s="71"/>
      <c r="J212" s="71"/>
      <c r="K212" s="71"/>
      <c r="L212" s="60"/>
      <c r="M212" s="60"/>
      <c r="N212" s="60"/>
      <c r="O212" s="44"/>
    </row>
    <row r="213" spans="3:15" ht="20.100000000000001" customHeight="1" x14ac:dyDescent="0.25">
      <c r="C213" s="57"/>
      <c r="D213" s="60"/>
      <c r="E213" s="60"/>
      <c r="F213" s="71"/>
      <c r="G213" s="71"/>
      <c r="H213" s="60"/>
      <c r="I213" s="71"/>
      <c r="J213" s="71"/>
      <c r="K213" s="71"/>
      <c r="L213" s="60"/>
      <c r="M213" s="60"/>
      <c r="N213" s="60"/>
      <c r="O213" s="44"/>
    </row>
    <row r="214" spans="3:15" ht="20.100000000000001" customHeight="1" x14ac:dyDescent="0.25">
      <c r="C214" s="57"/>
      <c r="D214" s="60"/>
      <c r="E214" s="60"/>
      <c r="F214" s="71"/>
      <c r="G214" s="71"/>
      <c r="H214" s="60"/>
      <c r="I214" s="71"/>
      <c r="J214" s="71"/>
      <c r="K214" s="71"/>
      <c r="L214" s="60"/>
      <c r="M214" s="60"/>
      <c r="N214" s="60"/>
      <c r="O214" s="44"/>
    </row>
    <row r="215" spans="3:15" ht="20.100000000000001" customHeight="1" x14ac:dyDescent="0.25">
      <c r="C215" s="57"/>
      <c r="D215" s="60"/>
      <c r="E215" s="60"/>
      <c r="F215" s="71"/>
      <c r="G215" s="71"/>
      <c r="H215" s="60"/>
      <c r="I215" s="71"/>
      <c r="J215" s="71"/>
      <c r="K215" s="71"/>
      <c r="L215" s="60"/>
      <c r="M215" s="60"/>
      <c r="N215" s="60"/>
      <c r="O215" s="44"/>
    </row>
    <row r="216" spans="3:15" ht="20.100000000000001" customHeight="1" x14ac:dyDescent="0.25">
      <c r="C216" s="57"/>
      <c r="D216" s="60"/>
      <c r="E216" s="60"/>
      <c r="F216" s="71"/>
      <c r="G216" s="71"/>
      <c r="H216" s="60"/>
      <c r="I216" s="71"/>
      <c r="J216" s="71"/>
      <c r="K216" s="71"/>
      <c r="L216" s="60"/>
      <c r="M216" s="60"/>
      <c r="N216" s="60"/>
      <c r="O216" s="44"/>
    </row>
    <row r="217" spans="3:15" ht="20.100000000000001" customHeight="1" x14ac:dyDescent="0.25">
      <c r="C217" s="57"/>
      <c r="D217" s="60"/>
      <c r="E217" s="60"/>
      <c r="F217" s="71"/>
      <c r="G217" s="71"/>
      <c r="H217" s="60"/>
      <c r="I217" s="71"/>
      <c r="J217" s="71"/>
      <c r="K217" s="71"/>
      <c r="L217" s="60"/>
      <c r="M217" s="60"/>
      <c r="N217" s="60"/>
      <c r="O217" s="44"/>
    </row>
    <row r="218" spans="3:15" ht="20.100000000000001" customHeight="1" x14ac:dyDescent="0.25">
      <c r="C218" s="57"/>
      <c r="D218" s="60"/>
      <c r="E218" s="60"/>
      <c r="F218" s="71"/>
      <c r="G218" s="71"/>
      <c r="H218" s="60"/>
      <c r="I218" s="71"/>
      <c r="J218" s="71"/>
      <c r="K218" s="71"/>
      <c r="L218" s="60"/>
      <c r="M218" s="60"/>
      <c r="N218" s="60"/>
      <c r="O218" s="44"/>
    </row>
    <row r="219" spans="3:15" ht="20.100000000000001" customHeight="1" x14ac:dyDescent="0.25">
      <c r="C219" s="57"/>
      <c r="D219" s="60"/>
      <c r="E219" s="60"/>
      <c r="F219" s="71"/>
      <c r="G219" s="71"/>
      <c r="H219" s="60"/>
      <c r="I219" s="71"/>
      <c r="J219" s="71"/>
      <c r="K219" s="71"/>
      <c r="L219" s="60"/>
      <c r="M219" s="60"/>
      <c r="N219" s="60"/>
      <c r="O219" s="44"/>
    </row>
    <row r="220" spans="3:15" ht="20.100000000000001" customHeight="1" x14ac:dyDescent="0.25">
      <c r="C220" s="57"/>
      <c r="D220" s="60"/>
      <c r="E220" s="60"/>
      <c r="F220" s="71"/>
      <c r="G220" s="71"/>
      <c r="H220" s="60"/>
      <c r="I220" s="71"/>
      <c r="J220" s="71"/>
      <c r="K220" s="71"/>
      <c r="L220" s="60"/>
      <c r="M220" s="60"/>
      <c r="N220" s="60"/>
      <c r="O220" s="44"/>
    </row>
    <row r="221" spans="3:15" ht="20.100000000000001" customHeight="1" x14ac:dyDescent="0.25">
      <c r="C221" s="57"/>
      <c r="D221" s="60"/>
      <c r="E221" s="60"/>
      <c r="F221" s="71"/>
      <c r="G221" s="71"/>
      <c r="H221" s="60"/>
      <c r="I221" s="71"/>
      <c r="J221" s="71"/>
      <c r="K221" s="71"/>
      <c r="L221" s="60"/>
      <c r="M221" s="60"/>
      <c r="N221" s="60"/>
      <c r="O221" s="44"/>
    </row>
    <row r="222" spans="3:15" ht="20.100000000000001" customHeight="1" x14ac:dyDescent="0.25">
      <c r="C222" s="57"/>
      <c r="D222" s="60"/>
      <c r="E222" s="60"/>
      <c r="F222" s="71"/>
      <c r="G222" s="71"/>
      <c r="H222" s="60"/>
      <c r="I222" s="71"/>
      <c r="J222" s="71"/>
      <c r="K222" s="71"/>
      <c r="L222" s="60"/>
      <c r="M222" s="60"/>
      <c r="N222" s="60"/>
      <c r="O222" s="44"/>
    </row>
    <row r="223" spans="3:15" ht="20.100000000000001" customHeight="1" x14ac:dyDescent="0.25">
      <c r="C223" s="57"/>
      <c r="D223" s="60"/>
      <c r="E223" s="60"/>
      <c r="F223" s="71"/>
      <c r="G223" s="71"/>
      <c r="H223" s="60"/>
      <c r="I223" s="71"/>
      <c r="J223" s="71"/>
      <c r="K223" s="71"/>
      <c r="L223" s="60"/>
      <c r="M223" s="60"/>
      <c r="N223" s="60"/>
      <c r="O223" s="44"/>
    </row>
    <row r="224" spans="3:15" ht="20.100000000000001" customHeight="1" x14ac:dyDescent="0.25">
      <c r="C224" s="57"/>
      <c r="D224" s="60"/>
      <c r="E224" s="60"/>
      <c r="F224" s="71"/>
      <c r="G224" s="71"/>
      <c r="H224" s="60"/>
      <c r="I224" s="71"/>
      <c r="J224" s="71"/>
      <c r="K224" s="71"/>
      <c r="L224" s="60"/>
      <c r="M224" s="60"/>
      <c r="N224" s="60"/>
      <c r="O224" s="44"/>
    </row>
    <row r="225" spans="3:15" ht="20.100000000000001" customHeight="1" x14ac:dyDescent="0.25">
      <c r="C225" s="57"/>
      <c r="D225" s="60"/>
      <c r="E225" s="60"/>
      <c r="F225" s="71"/>
      <c r="G225" s="71"/>
      <c r="H225" s="60"/>
      <c r="I225" s="71"/>
      <c r="J225" s="71"/>
      <c r="K225" s="71"/>
      <c r="L225" s="60"/>
      <c r="M225" s="60"/>
      <c r="N225" s="60"/>
      <c r="O225" s="44"/>
    </row>
    <row r="226" spans="3:15" ht="20.100000000000001" customHeight="1" x14ac:dyDescent="0.25">
      <c r="C226" s="57"/>
      <c r="D226" s="60"/>
      <c r="E226" s="60"/>
      <c r="F226" s="71"/>
      <c r="G226" s="71"/>
      <c r="H226" s="60"/>
      <c r="I226" s="71"/>
      <c r="J226" s="71"/>
      <c r="K226" s="71"/>
      <c r="L226" s="60"/>
      <c r="M226" s="60"/>
      <c r="N226" s="60"/>
      <c r="O226" s="44"/>
    </row>
    <row r="227" spans="3:15" ht="20.100000000000001" customHeight="1" x14ac:dyDescent="0.25">
      <c r="C227" s="57"/>
      <c r="D227" s="60"/>
      <c r="E227" s="60"/>
      <c r="F227" s="71"/>
      <c r="G227" s="71"/>
      <c r="H227" s="60"/>
      <c r="I227" s="71"/>
      <c r="J227" s="71"/>
      <c r="K227" s="71"/>
      <c r="L227" s="60"/>
      <c r="M227" s="60"/>
      <c r="N227" s="60"/>
      <c r="O227" s="44"/>
    </row>
    <row r="228" spans="3:15" ht="20.100000000000001" customHeight="1" x14ac:dyDescent="0.25">
      <c r="C228" s="57"/>
      <c r="D228" s="60"/>
      <c r="E228" s="60"/>
      <c r="F228" s="71"/>
      <c r="G228" s="71"/>
      <c r="H228" s="60"/>
      <c r="I228" s="71"/>
      <c r="J228" s="71"/>
      <c r="K228" s="71"/>
      <c r="L228" s="60"/>
      <c r="M228" s="60"/>
      <c r="N228" s="60"/>
      <c r="O228" s="44"/>
    </row>
    <row r="229" spans="3:15" ht="20.100000000000001" customHeight="1" x14ac:dyDescent="0.25">
      <c r="C229" s="57"/>
      <c r="D229" s="60"/>
      <c r="E229" s="60"/>
      <c r="F229" s="71"/>
      <c r="G229" s="71"/>
      <c r="H229" s="60"/>
      <c r="I229" s="71"/>
      <c r="J229" s="71"/>
      <c r="K229" s="71"/>
      <c r="L229" s="60"/>
      <c r="M229" s="60"/>
      <c r="N229" s="60"/>
      <c r="O229" s="44"/>
    </row>
    <row r="230" spans="3:15" ht="20.100000000000001" customHeight="1" x14ac:dyDescent="0.25">
      <c r="C230" s="57"/>
      <c r="D230" s="60"/>
      <c r="E230" s="60"/>
      <c r="F230" s="71"/>
      <c r="G230" s="71"/>
      <c r="H230" s="60"/>
      <c r="I230" s="71"/>
      <c r="J230" s="71"/>
      <c r="K230" s="71"/>
      <c r="L230" s="60"/>
      <c r="M230" s="60"/>
      <c r="N230" s="60"/>
      <c r="O230" s="44"/>
    </row>
    <row r="231" spans="3:15" ht="20.100000000000001" customHeight="1" x14ac:dyDescent="0.25">
      <c r="C231" s="57"/>
      <c r="D231" s="60"/>
      <c r="E231" s="60"/>
      <c r="F231" s="71"/>
      <c r="G231" s="71"/>
      <c r="H231" s="60"/>
      <c r="I231" s="71"/>
      <c r="J231" s="71"/>
      <c r="K231" s="71"/>
      <c r="L231" s="60"/>
      <c r="M231" s="60"/>
      <c r="N231" s="60"/>
      <c r="O231" s="44"/>
    </row>
    <row r="232" spans="3:15" ht="20.100000000000001" customHeight="1" x14ac:dyDescent="0.25">
      <c r="C232" s="57"/>
      <c r="D232" s="60"/>
      <c r="E232" s="60"/>
      <c r="F232" s="71"/>
      <c r="G232" s="71"/>
      <c r="H232" s="60"/>
      <c r="I232" s="71"/>
      <c r="J232" s="71"/>
      <c r="K232" s="71"/>
      <c r="L232" s="60"/>
      <c r="M232" s="60"/>
      <c r="N232" s="60"/>
      <c r="O232" s="44"/>
    </row>
    <row r="233" spans="3:15" ht="20.100000000000001" customHeight="1" x14ac:dyDescent="0.25">
      <c r="C233" s="57"/>
      <c r="D233" s="60"/>
      <c r="E233" s="60"/>
      <c r="F233" s="71"/>
      <c r="G233" s="71"/>
      <c r="H233" s="60"/>
      <c r="I233" s="71"/>
      <c r="J233" s="71"/>
      <c r="K233" s="71"/>
      <c r="L233" s="60"/>
      <c r="M233" s="60"/>
      <c r="N233" s="60"/>
      <c r="O233" s="44"/>
    </row>
    <row r="234" spans="3:15" ht="20.100000000000001" customHeight="1" x14ac:dyDescent="0.25">
      <c r="C234" s="57"/>
      <c r="D234" s="60"/>
      <c r="E234" s="60"/>
      <c r="F234" s="71"/>
      <c r="G234" s="71"/>
      <c r="H234" s="60"/>
      <c r="I234" s="71"/>
      <c r="J234" s="71"/>
      <c r="K234" s="71"/>
      <c r="L234" s="60"/>
      <c r="M234" s="60"/>
      <c r="N234" s="60"/>
      <c r="O234" s="44"/>
    </row>
    <row r="235" spans="3:15" ht="20.100000000000001" customHeight="1" x14ac:dyDescent="0.25">
      <c r="C235" s="57"/>
      <c r="D235" s="60"/>
      <c r="E235" s="60"/>
      <c r="F235" s="71"/>
      <c r="G235" s="71"/>
      <c r="H235" s="60"/>
      <c r="I235" s="71"/>
      <c r="J235" s="71"/>
      <c r="K235" s="71"/>
      <c r="L235" s="60"/>
      <c r="M235" s="60"/>
      <c r="N235" s="60"/>
      <c r="O235" s="44"/>
    </row>
    <row r="236" spans="3:15" ht="20.100000000000001" customHeight="1" x14ac:dyDescent="0.25">
      <c r="C236" s="57"/>
      <c r="D236" s="60"/>
      <c r="E236" s="60"/>
      <c r="F236" s="71"/>
      <c r="G236" s="71"/>
      <c r="H236" s="60"/>
      <c r="I236" s="71"/>
      <c r="J236" s="71"/>
      <c r="K236" s="71"/>
      <c r="L236" s="60"/>
      <c r="M236" s="60"/>
      <c r="N236" s="60"/>
      <c r="O236" s="44"/>
    </row>
    <row r="237" spans="3:15" ht="20.100000000000001" customHeight="1" x14ac:dyDescent="0.25">
      <c r="C237" s="57"/>
      <c r="D237" s="60"/>
      <c r="E237" s="60"/>
      <c r="F237" s="71"/>
      <c r="G237" s="71"/>
      <c r="H237" s="60"/>
      <c r="I237" s="71"/>
      <c r="J237" s="71"/>
      <c r="K237" s="71"/>
      <c r="L237" s="60"/>
      <c r="M237" s="60"/>
      <c r="N237" s="60"/>
      <c r="O237" s="44"/>
    </row>
    <row r="238" spans="3:15" ht="20.100000000000001" customHeight="1" x14ac:dyDescent="0.25">
      <c r="C238" s="57"/>
      <c r="D238" s="60"/>
      <c r="E238" s="60"/>
      <c r="F238" s="71"/>
      <c r="G238" s="71"/>
      <c r="H238" s="60"/>
      <c r="I238" s="71"/>
      <c r="J238" s="71"/>
      <c r="K238" s="71"/>
      <c r="L238" s="60"/>
      <c r="M238" s="60"/>
      <c r="N238" s="60"/>
      <c r="O238" s="44"/>
    </row>
    <row r="239" spans="3:15" ht="20.100000000000001" customHeight="1" x14ac:dyDescent="0.25">
      <c r="C239" s="57"/>
      <c r="D239" s="60"/>
      <c r="E239" s="60"/>
      <c r="F239" s="71"/>
      <c r="G239" s="71"/>
      <c r="H239" s="60"/>
      <c r="I239" s="71"/>
      <c r="J239" s="71"/>
      <c r="K239" s="71"/>
      <c r="L239" s="60"/>
      <c r="M239" s="60"/>
      <c r="N239" s="60"/>
      <c r="O239" s="44"/>
    </row>
    <row r="240" spans="3:15" ht="20.100000000000001" customHeight="1" x14ac:dyDescent="0.25">
      <c r="C240" s="57"/>
      <c r="D240" s="60"/>
      <c r="E240" s="60"/>
      <c r="F240" s="71"/>
      <c r="G240" s="71"/>
      <c r="H240" s="60"/>
      <c r="I240" s="71"/>
      <c r="J240" s="71"/>
      <c r="K240" s="71"/>
      <c r="L240" s="60"/>
      <c r="M240" s="60"/>
      <c r="N240" s="60"/>
      <c r="O240" s="44"/>
    </row>
    <row r="241" spans="3:15" ht="20.100000000000001" customHeight="1" x14ac:dyDescent="0.25">
      <c r="C241" s="57"/>
      <c r="D241" s="60"/>
      <c r="E241" s="60"/>
      <c r="F241" s="71"/>
      <c r="G241" s="71"/>
      <c r="H241" s="60"/>
      <c r="I241" s="71"/>
      <c r="J241" s="71"/>
      <c r="K241" s="71"/>
      <c r="L241" s="60"/>
      <c r="M241" s="60"/>
      <c r="N241" s="60"/>
      <c r="O241" s="44"/>
    </row>
    <row r="242" spans="3:15" ht="20.100000000000001" customHeight="1" x14ac:dyDescent="0.25">
      <c r="C242" s="57"/>
      <c r="D242" s="60"/>
      <c r="E242" s="60"/>
      <c r="F242" s="71"/>
      <c r="G242" s="71"/>
      <c r="H242" s="60"/>
      <c r="I242" s="71"/>
      <c r="J242" s="71"/>
      <c r="K242" s="71"/>
      <c r="L242" s="60"/>
      <c r="M242" s="60"/>
      <c r="N242" s="60"/>
      <c r="O242" s="44"/>
    </row>
    <row r="243" spans="3:15" ht="20.100000000000001" customHeight="1" x14ac:dyDescent="0.25">
      <c r="C243" s="57"/>
      <c r="D243" s="60"/>
      <c r="E243" s="60"/>
      <c r="F243" s="71"/>
      <c r="G243" s="71"/>
      <c r="H243" s="60"/>
      <c r="I243" s="71"/>
      <c r="J243" s="71"/>
      <c r="K243" s="71"/>
      <c r="L243" s="60"/>
      <c r="M243" s="60"/>
      <c r="N243" s="60"/>
      <c r="O243" s="44"/>
    </row>
    <row r="244" spans="3:15" ht="20.100000000000001" customHeight="1" x14ac:dyDescent="0.25">
      <c r="C244" s="57"/>
      <c r="D244" s="60"/>
      <c r="E244" s="60"/>
      <c r="F244" s="71"/>
      <c r="G244" s="71"/>
      <c r="H244" s="60"/>
      <c r="I244" s="71"/>
      <c r="J244" s="71"/>
      <c r="K244" s="71"/>
      <c r="L244" s="60"/>
      <c r="M244" s="60"/>
      <c r="N244" s="60"/>
      <c r="O244" s="44"/>
    </row>
    <row r="245" spans="3:15" ht="20.100000000000001" customHeight="1" x14ac:dyDescent="0.25">
      <c r="C245" s="57"/>
      <c r="D245" s="60"/>
      <c r="E245" s="60"/>
      <c r="F245" s="71"/>
      <c r="G245" s="71"/>
      <c r="H245" s="60"/>
      <c r="I245" s="71"/>
      <c r="J245" s="71"/>
      <c r="K245" s="71"/>
      <c r="L245" s="60"/>
      <c r="M245" s="60"/>
      <c r="N245" s="60"/>
      <c r="O245" s="44"/>
    </row>
    <row r="246" spans="3:15" ht="20.100000000000001" customHeight="1" x14ac:dyDescent="0.25">
      <c r="C246" s="57"/>
      <c r="D246" s="60"/>
      <c r="E246" s="60"/>
      <c r="F246" s="71"/>
      <c r="G246" s="71"/>
      <c r="H246" s="60"/>
      <c r="I246" s="71"/>
      <c r="J246" s="71"/>
      <c r="K246" s="71"/>
      <c r="L246" s="60"/>
      <c r="M246" s="60"/>
      <c r="N246" s="60"/>
      <c r="O246" s="44"/>
    </row>
    <row r="247" spans="3:15" ht="20.100000000000001" customHeight="1" x14ac:dyDescent="0.25">
      <c r="C247" s="57"/>
      <c r="D247" s="60"/>
      <c r="E247" s="60"/>
      <c r="F247" s="71"/>
      <c r="G247" s="71"/>
      <c r="H247" s="60"/>
      <c r="I247" s="71"/>
      <c r="J247" s="71"/>
      <c r="K247" s="71"/>
      <c r="L247" s="60"/>
      <c r="M247" s="60"/>
      <c r="N247" s="60"/>
      <c r="O247" s="44"/>
    </row>
    <row r="248" spans="3:15" ht="20.100000000000001" customHeight="1" x14ac:dyDescent="0.25">
      <c r="C248" s="57"/>
      <c r="D248" s="60"/>
      <c r="E248" s="60"/>
      <c r="F248" s="71"/>
      <c r="G248" s="71"/>
      <c r="H248" s="60"/>
      <c r="I248" s="71"/>
      <c r="J248" s="71"/>
      <c r="K248" s="71"/>
      <c r="L248" s="60"/>
      <c r="M248" s="60"/>
      <c r="N248" s="60"/>
      <c r="O248" s="44"/>
    </row>
    <row r="249" spans="3:15" ht="20.100000000000001" customHeight="1" x14ac:dyDescent="0.25">
      <c r="C249" s="57"/>
      <c r="D249" s="60"/>
      <c r="E249" s="60"/>
      <c r="F249" s="71"/>
      <c r="G249" s="71"/>
      <c r="H249" s="60"/>
      <c r="I249" s="71"/>
      <c r="J249" s="71"/>
      <c r="K249" s="71"/>
      <c r="L249" s="60"/>
      <c r="M249" s="60"/>
      <c r="N249" s="60"/>
      <c r="O249" s="44"/>
    </row>
    <row r="250" spans="3:15" ht="20.100000000000001" customHeight="1" x14ac:dyDescent="0.25">
      <c r="C250" s="57"/>
      <c r="D250" s="60"/>
      <c r="E250" s="60"/>
      <c r="F250" s="71"/>
      <c r="G250" s="71"/>
      <c r="H250" s="60"/>
      <c r="I250" s="71"/>
      <c r="J250" s="71"/>
      <c r="K250" s="71"/>
      <c r="L250" s="60"/>
      <c r="M250" s="60"/>
      <c r="N250" s="60"/>
      <c r="O250" s="44"/>
    </row>
    <row r="251" spans="3:15" ht="20.100000000000001" customHeight="1" x14ac:dyDescent="0.25">
      <c r="C251" s="57"/>
      <c r="D251" s="60"/>
      <c r="E251" s="60"/>
      <c r="F251" s="71"/>
      <c r="G251" s="71"/>
      <c r="H251" s="60"/>
      <c r="I251" s="71"/>
      <c r="J251" s="71"/>
      <c r="K251" s="71"/>
      <c r="L251" s="60"/>
      <c r="M251" s="60"/>
      <c r="N251" s="60"/>
      <c r="O251" s="44"/>
    </row>
    <row r="252" spans="3:15" ht="20.100000000000001" customHeight="1" x14ac:dyDescent="0.25">
      <c r="C252" s="57"/>
      <c r="D252" s="60"/>
      <c r="E252" s="60"/>
      <c r="F252" s="71"/>
      <c r="G252" s="71"/>
      <c r="H252" s="60"/>
      <c r="I252" s="71"/>
      <c r="J252" s="71"/>
      <c r="K252" s="71"/>
      <c r="L252" s="60"/>
      <c r="M252" s="60"/>
      <c r="N252" s="60"/>
      <c r="O252" s="44"/>
    </row>
    <row r="253" spans="3:15" ht="20.100000000000001" customHeight="1" x14ac:dyDescent="0.25">
      <c r="C253" s="57"/>
      <c r="D253" s="60"/>
      <c r="E253" s="60"/>
      <c r="F253" s="71"/>
      <c r="G253" s="71"/>
      <c r="H253" s="60"/>
      <c r="I253" s="71"/>
      <c r="J253" s="71"/>
      <c r="K253" s="71"/>
      <c r="L253" s="60"/>
      <c r="M253" s="60"/>
      <c r="N253" s="60"/>
      <c r="O253" s="44"/>
    </row>
    <row r="254" spans="3:15" ht="20.100000000000001" customHeight="1" x14ac:dyDescent="0.25">
      <c r="C254" s="57"/>
      <c r="D254" s="60"/>
      <c r="E254" s="60"/>
      <c r="F254" s="71"/>
      <c r="G254" s="71"/>
      <c r="H254" s="60"/>
      <c r="I254" s="71"/>
      <c r="J254" s="71"/>
      <c r="K254" s="71"/>
      <c r="L254" s="60"/>
      <c r="M254" s="60"/>
      <c r="N254" s="60"/>
      <c r="O254" s="44"/>
    </row>
    <row r="255" spans="3:15" ht="20.100000000000001" customHeight="1" x14ac:dyDescent="0.25">
      <c r="C255" s="57"/>
      <c r="D255" s="60"/>
      <c r="E255" s="60"/>
      <c r="F255" s="71"/>
      <c r="G255" s="71"/>
      <c r="H255" s="60"/>
      <c r="I255" s="71"/>
      <c r="J255" s="71"/>
      <c r="K255" s="71"/>
      <c r="L255" s="60"/>
      <c r="M255" s="60"/>
      <c r="N255" s="60"/>
      <c r="O255" s="44"/>
    </row>
    <row r="256" spans="3:15" ht="20.100000000000001" customHeight="1" x14ac:dyDescent="0.25">
      <c r="C256" s="57"/>
      <c r="D256" s="60"/>
      <c r="E256" s="60"/>
      <c r="F256" s="71"/>
      <c r="G256" s="71"/>
      <c r="H256" s="60"/>
      <c r="I256" s="71"/>
      <c r="J256" s="71"/>
      <c r="K256" s="71"/>
      <c r="L256" s="60"/>
      <c r="M256" s="60"/>
      <c r="N256" s="60"/>
      <c r="O256" s="44"/>
    </row>
    <row r="257" spans="3:15" ht="20.100000000000001" customHeight="1" x14ac:dyDescent="0.25">
      <c r="C257" s="57"/>
      <c r="D257" s="60"/>
      <c r="E257" s="60"/>
      <c r="F257" s="71"/>
      <c r="G257" s="71"/>
      <c r="H257" s="60"/>
      <c r="I257" s="71"/>
      <c r="J257" s="71"/>
      <c r="K257" s="71"/>
      <c r="L257" s="60"/>
      <c r="M257" s="60"/>
      <c r="N257" s="60"/>
      <c r="O257" s="44"/>
    </row>
    <row r="258" spans="3:15" ht="20.100000000000001" customHeight="1" x14ac:dyDescent="0.25">
      <c r="C258" s="57"/>
      <c r="D258" s="60"/>
      <c r="E258" s="60"/>
      <c r="F258" s="71"/>
      <c r="G258" s="71"/>
      <c r="H258" s="60"/>
      <c r="I258" s="71"/>
      <c r="J258" s="71"/>
      <c r="K258" s="71"/>
      <c r="L258" s="60"/>
      <c r="M258" s="60"/>
      <c r="N258" s="60"/>
      <c r="O258" s="44"/>
    </row>
    <row r="259" spans="3:15" ht="20.100000000000001" customHeight="1" x14ac:dyDescent="0.25">
      <c r="C259" s="57"/>
      <c r="D259" s="60"/>
      <c r="E259" s="60"/>
      <c r="F259" s="71"/>
      <c r="G259" s="71"/>
      <c r="H259" s="60"/>
      <c r="I259" s="71"/>
      <c r="J259" s="71"/>
      <c r="K259" s="71"/>
      <c r="L259" s="60"/>
      <c r="M259" s="60"/>
      <c r="N259" s="60"/>
      <c r="O259" s="44"/>
    </row>
    <row r="260" spans="3:15" ht="20.100000000000001" customHeight="1" x14ac:dyDescent="0.25">
      <c r="C260" s="57"/>
      <c r="D260" s="60"/>
      <c r="E260" s="60"/>
      <c r="F260" s="71"/>
      <c r="G260" s="71"/>
      <c r="H260" s="60"/>
      <c r="I260" s="71"/>
      <c r="J260" s="71"/>
      <c r="K260" s="71"/>
      <c r="L260" s="60"/>
      <c r="M260" s="60"/>
      <c r="N260" s="60"/>
      <c r="O260" s="44"/>
    </row>
    <row r="261" spans="3:15" ht="20.100000000000001" customHeight="1" x14ac:dyDescent="0.25">
      <c r="C261" s="57"/>
      <c r="D261" s="60"/>
      <c r="E261" s="60"/>
      <c r="F261" s="71"/>
      <c r="G261" s="71"/>
      <c r="H261" s="60"/>
      <c r="I261" s="71"/>
      <c r="J261" s="71"/>
      <c r="K261" s="71"/>
      <c r="L261" s="60"/>
      <c r="M261" s="60"/>
      <c r="N261" s="60"/>
      <c r="O261" s="44"/>
    </row>
    <row r="262" spans="3:15" ht="20.100000000000001" customHeight="1" x14ac:dyDescent="0.25">
      <c r="C262" s="57"/>
      <c r="D262" s="60"/>
      <c r="E262" s="60"/>
      <c r="F262" s="71"/>
      <c r="G262" s="71"/>
      <c r="H262" s="60"/>
      <c r="I262" s="71"/>
      <c r="J262" s="71"/>
      <c r="K262" s="71"/>
      <c r="L262" s="60"/>
      <c r="M262" s="60"/>
      <c r="N262" s="60"/>
      <c r="O262" s="44"/>
    </row>
    <row r="263" spans="3:15" ht="20.100000000000001" customHeight="1" x14ac:dyDescent="0.25">
      <c r="C263" s="57"/>
      <c r="D263" s="60"/>
      <c r="E263" s="60"/>
      <c r="F263" s="71"/>
      <c r="G263" s="71"/>
      <c r="H263" s="60"/>
      <c r="I263" s="71"/>
      <c r="J263" s="71"/>
      <c r="K263" s="71"/>
      <c r="L263" s="60"/>
      <c r="M263" s="60"/>
      <c r="N263" s="60"/>
      <c r="O263" s="44"/>
    </row>
    <row r="264" spans="3:15" ht="20.100000000000001" customHeight="1" x14ac:dyDescent="0.25">
      <c r="C264" s="57"/>
      <c r="D264" s="60"/>
      <c r="E264" s="60"/>
      <c r="F264" s="71"/>
      <c r="G264" s="71"/>
      <c r="H264" s="60"/>
      <c r="I264" s="71"/>
      <c r="J264" s="71"/>
      <c r="K264" s="71"/>
      <c r="L264" s="60"/>
      <c r="M264" s="60"/>
      <c r="N264" s="60"/>
      <c r="O264" s="44"/>
    </row>
    <row r="265" spans="3:15" ht="20.100000000000001" customHeight="1" x14ac:dyDescent="0.25">
      <c r="C265" s="57"/>
      <c r="D265" s="60"/>
      <c r="E265" s="60"/>
      <c r="F265" s="71"/>
      <c r="G265" s="71"/>
      <c r="H265" s="60"/>
      <c r="I265" s="71"/>
      <c r="J265" s="71"/>
      <c r="K265" s="71"/>
      <c r="L265" s="60"/>
      <c r="M265" s="60"/>
      <c r="N265" s="60"/>
      <c r="O265" s="44"/>
    </row>
    <row r="266" spans="3:15" ht="20.100000000000001" customHeight="1" x14ac:dyDescent="0.25">
      <c r="C266" s="57"/>
      <c r="D266" s="60"/>
      <c r="E266" s="60"/>
      <c r="F266" s="71"/>
      <c r="G266" s="71"/>
      <c r="H266" s="60"/>
      <c r="I266" s="71"/>
      <c r="J266" s="71"/>
      <c r="K266" s="71"/>
      <c r="L266" s="60"/>
      <c r="M266" s="60"/>
      <c r="N266" s="60"/>
      <c r="O266" s="44"/>
    </row>
    <row r="267" spans="3:15" ht="20.100000000000001" customHeight="1" x14ac:dyDescent="0.25">
      <c r="C267" s="57"/>
      <c r="D267" s="60"/>
      <c r="E267" s="60"/>
      <c r="F267" s="71"/>
      <c r="G267" s="71"/>
      <c r="H267" s="60"/>
      <c r="I267" s="71"/>
      <c r="J267" s="71"/>
      <c r="K267" s="71"/>
      <c r="L267" s="60"/>
      <c r="M267" s="60"/>
      <c r="N267" s="60"/>
      <c r="O267" s="44"/>
    </row>
    <row r="268" spans="3:15" ht="20.100000000000001" customHeight="1" x14ac:dyDescent="0.25">
      <c r="C268" s="57"/>
      <c r="D268" s="60"/>
      <c r="E268" s="60"/>
      <c r="F268" s="71"/>
      <c r="G268" s="71"/>
      <c r="H268" s="60"/>
      <c r="I268" s="71"/>
      <c r="J268" s="71"/>
      <c r="K268" s="71"/>
      <c r="L268" s="60"/>
      <c r="M268" s="60"/>
      <c r="N268" s="60"/>
      <c r="O268" s="44"/>
    </row>
    <row r="269" spans="3:15" ht="20.100000000000001" customHeight="1" x14ac:dyDescent="0.25">
      <c r="C269" s="57"/>
      <c r="D269" s="60"/>
      <c r="E269" s="60"/>
      <c r="F269" s="71"/>
      <c r="G269" s="71"/>
      <c r="H269" s="60"/>
      <c r="I269" s="71"/>
      <c r="J269" s="71"/>
      <c r="K269" s="71"/>
      <c r="L269" s="60"/>
      <c r="M269" s="60"/>
      <c r="N269" s="60"/>
      <c r="O269" s="44"/>
    </row>
    <row r="270" spans="3:15" ht="20.100000000000001" customHeight="1" x14ac:dyDescent="0.25">
      <c r="C270" s="57"/>
      <c r="D270" s="60"/>
      <c r="E270" s="60"/>
      <c r="F270" s="71"/>
      <c r="G270" s="71"/>
      <c r="H270" s="60"/>
      <c r="I270" s="71"/>
      <c r="J270" s="71"/>
      <c r="K270" s="71"/>
      <c r="L270" s="60"/>
      <c r="M270" s="60"/>
      <c r="N270" s="60"/>
      <c r="O270" s="44"/>
    </row>
    <row r="271" spans="3:15" ht="20.100000000000001" customHeight="1" x14ac:dyDescent="0.25">
      <c r="C271" s="57"/>
      <c r="D271" s="60"/>
      <c r="E271" s="60"/>
      <c r="F271" s="71"/>
      <c r="G271" s="71"/>
      <c r="H271" s="60"/>
      <c r="I271" s="71"/>
      <c r="J271" s="71"/>
      <c r="K271" s="71"/>
      <c r="L271" s="60"/>
      <c r="M271" s="60"/>
      <c r="N271" s="60"/>
      <c r="O271" s="44"/>
    </row>
    <row r="272" spans="3:15" ht="20.100000000000001" customHeight="1" x14ac:dyDescent="0.25">
      <c r="C272" s="57"/>
      <c r="D272" s="60"/>
      <c r="E272" s="60"/>
      <c r="F272" s="71"/>
      <c r="G272" s="71"/>
      <c r="H272" s="60"/>
      <c r="I272" s="71"/>
      <c r="J272" s="71"/>
      <c r="K272" s="71"/>
      <c r="L272" s="60"/>
      <c r="M272" s="60"/>
      <c r="N272" s="60"/>
      <c r="O272" s="44"/>
    </row>
    <row r="273" spans="3:15" ht="20.100000000000001" customHeight="1" x14ac:dyDescent="0.25">
      <c r="C273" s="57"/>
      <c r="D273" s="60"/>
      <c r="E273" s="60"/>
      <c r="F273" s="71"/>
      <c r="G273" s="71"/>
      <c r="H273" s="60"/>
      <c r="I273" s="71"/>
      <c r="J273" s="71"/>
      <c r="K273" s="71"/>
      <c r="L273" s="60"/>
      <c r="M273" s="60"/>
      <c r="N273" s="60"/>
      <c r="O273" s="44"/>
    </row>
    <row r="274" spans="3:15" ht="20.100000000000001" customHeight="1" x14ac:dyDescent="0.25">
      <c r="C274" s="57"/>
      <c r="D274" s="60"/>
      <c r="E274" s="60"/>
      <c r="F274" s="71"/>
      <c r="G274" s="71"/>
      <c r="H274" s="60"/>
      <c r="I274" s="71"/>
      <c r="J274" s="71"/>
      <c r="K274" s="71"/>
      <c r="L274" s="60"/>
      <c r="M274" s="60"/>
      <c r="N274" s="60"/>
      <c r="O274" s="44"/>
    </row>
    <row r="275" spans="3:15" ht="20.100000000000001" customHeight="1" x14ac:dyDescent="0.25">
      <c r="C275" s="57"/>
      <c r="D275" s="60"/>
      <c r="E275" s="60"/>
      <c r="F275" s="71"/>
      <c r="G275" s="71"/>
      <c r="H275" s="60"/>
      <c r="I275" s="71"/>
      <c r="J275" s="71"/>
      <c r="K275" s="71"/>
      <c r="L275" s="60"/>
      <c r="M275" s="60"/>
      <c r="N275" s="60"/>
      <c r="O275" s="44"/>
    </row>
    <row r="276" spans="3:15" ht="20.100000000000001" customHeight="1" x14ac:dyDescent="0.25">
      <c r="C276" s="57"/>
      <c r="D276" s="60"/>
      <c r="E276" s="60"/>
      <c r="F276" s="71"/>
      <c r="G276" s="71"/>
      <c r="H276" s="60"/>
      <c r="I276" s="71"/>
      <c r="J276" s="71"/>
      <c r="K276" s="71"/>
      <c r="L276" s="60"/>
      <c r="M276" s="60"/>
      <c r="N276" s="60"/>
      <c r="O276" s="44"/>
    </row>
    <row r="277" spans="3:15" ht="20.100000000000001" customHeight="1" x14ac:dyDescent="0.25">
      <c r="C277" s="57"/>
      <c r="D277" s="60"/>
      <c r="E277" s="60"/>
      <c r="F277" s="71"/>
      <c r="G277" s="71"/>
      <c r="H277" s="60"/>
      <c r="I277" s="71"/>
      <c r="J277" s="71"/>
      <c r="K277" s="71"/>
      <c r="L277" s="60"/>
      <c r="M277" s="60"/>
      <c r="N277" s="60"/>
      <c r="O277" s="44"/>
    </row>
    <row r="278" spans="3:15" ht="20.100000000000001" customHeight="1" x14ac:dyDescent="0.25">
      <c r="C278" s="57"/>
      <c r="D278" s="60"/>
      <c r="E278" s="60"/>
      <c r="F278" s="71"/>
      <c r="G278" s="71"/>
      <c r="H278" s="60"/>
      <c r="I278" s="71"/>
      <c r="J278" s="71"/>
      <c r="K278" s="71"/>
      <c r="L278" s="60"/>
      <c r="M278" s="60"/>
      <c r="N278" s="60"/>
      <c r="O278" s="44"/>
    </row>
    <row r="279" spans="3:15" ht="20.100000000000001" customHeight="1" x14ac:dyDescent="0.25">
      <c r="C279" s="57"/>
      <c r="D279" s="60"/>
      <c r="E279" s="60"/>
      <c r="F279" s="71"/>
      <c r="G279" s="71"/>
      <c r="H279" s="60"/>
      <c r="I279" s="71"/>
      <c r="J279" s="71"/>
      <c r="K279" s="71"/>
      <c r="L279" s="60"/>
      <c r="M279" s="60"/>
      <c r="N279" s="60"/>
      <c r="O279" s="44"/>
    </row>
    <row r="280" spans="3:15" ht="20.100000000000001" customHeight="1" x14ac:dyDescent="0.25">
      <c r="C280" s="57"/>
      <c r="D280" s="60"/>
      <c r="E280" s="60"/>
      <c r="F280" s="71"/>
      <c r="G280" s="71"/>
      <c r="H280" s="60"/>
      <c r="I280" s="71"/>
      <c r="J280" s="71"/>
      <c r="K280" s="71"/>
      <c r="L280" s="60"/>
      <c r="M280" s="60"/>
      <c r="N280" s="60"/>
      <c r="O280" s="44"/>
    </row>
    <row r="281" spans="3:15" ht="20.100000000000001" customHeight="1" x14ac:dyDescent="0.25">
      <c r="C281" s="57"/>
      <c r="D281" s="60"/>
      <c r="E281" s="60"/>
      <c r="F281" s="71"/>
      <c r="G281" s="71"/>
      <c r="H281" s="60"/>
      <c r="I281" s="71"/>
      <c r="J281" s="71"/>
      <c r="K281" s="71"/>
      <c r="L281" s="60"/>
      <c r="M281" s="60"/>
      <c r="N281" s="60"/>
      <c r="O281" s="44"/>
    </row>
    <row r="282" spans="3:15" ht="20.100000000000001" customHeight="1" x14ac:dyDescent="0.25">
      <c r="C282" s="57"/>
      <c r="D282" s="60"/>
      <c r="E282" s="60"/>
      <c r="F282" s="71"/>
      <c r="G282" s="71"/>
      <c r="H282" s="60"/>
      <c r="I282" s="71"/>
      <c r="J282" s="71"/>
      <c r="K282" s="71"/>
      <c r="L282" s="60"/>
      <c r="M282" s="60"/>
      <c r="N282" s="60"/>
      <c r="O282" s="44"/>
    </row>
    <row r="283" spans="3:15" ht="20.100000000000001" customHeight="1" x14ac:dyDescent="0.25">
      <c r="C283" s="57"/>
      <c r="D283" s="60"/>
      <c r="E283" s="60"/>
      <c r="F283" s="71"/>
      <c r="G283" s="71"/>
      <c r="H283" s="60"/>
      <c r="I283" s="71"/>
      <c r="J283" s="71"/>
      <c r="K283" s="71"/>
      <c r="L283" s="60"/>
      <c r="M283" s="60"/>
      <c r="N283" s="60"/>
      <c r="O283" s="44"/>
    </row>
    <row r="284" spans="3:15" ht="20.100000000000001" customHeight="1" x14ac:dyDescent="0.25">
      <c r="C284" s="57"/>
      <c r="D284" s="60"/>
      <c r="E284" s="60"/>
      <c r="F284" s="71"/>
      <c r="G284" s="71"/>
      <c r="H284" s="60"/>
      <c r="I284" s="71"/>
      <c r="J284" s="71"/>
      <c r="K284" s="71"/>
      <c r="L284" s="60"/>
      <c r="M284" s="60"/>
      <c r="N284" s="60"/>
      <c r="O284" s="44"/>
    </row>
    <row r="285" spans="3:15" ht="20.100000000000001" customHeight="1" x14ac:dyDescent="0.25">
      <c r="C285" s="57"/>
      <c r="D285" s="60"/>
      <c r="E285" s="60"/>
      <c r="F285" s="71"/>
      <c r="G285" s="71"/>
      <c r="H285" s="60"/>
      <c r="I285" s="71"/>
      <c r="J285" s="71"/>
      <c r="K285" s="71"/>
      <c r="L285" s="60"/>
      <c r="M285" s="60"/>
      <c r="N285" s="60"/>
      <c r="O285" s="44"/>
    </row>
    <row r="286" spans="3:15" ht="20.100000000000001" customHeight="1" x14ac:dyDescent="0.25">
      <c r="C286" s="57"/>
      <c r="D286" s="60"/>
      <c r="E286" s="60"/>
      <c r="F286" s="71"/>
      <c r="G286" s="71"/>
      <c r="H286" s="60"/>
      <c r="I286" s="71"/>
      <c r="J286" s="71"/>
      <c r="K286" s="71"/>
      <c r="L286" s="60"/>
      <c r="M286" s="60"/>
      <c r="N286" s="60"/>
      <c r="O286" s="44"/>
    </row>
    <row r="287" spans="3:15" ht="20.100000000000001" customHeight="1" x14ac:dyDescent="0.25">
      <c r="C287" s="57"/>
      <c r="D287" s="60"/>
      <c r="E287" s="60"/>
      <c r="F287" s="71"/>
      <c r="G287" s="71"/>
      <c r="H287" s="60"/>
      <c r="I287" s="71"/>
      <c r="J287" s="71"/>
      <c r="K287" s="71"/>
      <c r="L287" s="60"/>
      <c r="M287" s="60"/>
      <c r="N287" s="60"/>
      <c r="O287" s="44"/>
    </row>
    <row r="288" spans="3:15" ht="20.100000000000001" customHeight="1" x14ac:dyDescent="0.25">
      <c r="C288" s="57"/>
      <c r="D288" s="60"/>
      <c r="E288" s="60"/>
      <c r="F288" s="71"/>
      <c r="G288" s="71"/>
      <c r="H288" s="60"/>
      <c r="I288" s="71"/>
      <c r="J288" s="71"/>
      <c r="K288" s="71"/>
      <c r="L288" s="60"/>
      <c r="M288" s="60"/>
      <c r="N288" s="60"/>
      <c r="O288" s="44"/>
    </row>
    <row r="289" spans="3:15" ht="20.100000000000001" customHeight="1" x14ac:dyDescent="0.25">
      <c r="C289" s="57"/>
      <c r="D289" s="60"/>
      <c r="E289" s="60"/>
      <c r="F289" s="71"/>
      <c r="G289" s="71"/>
      <c r="H289" s="60"/>
      <c r="I289" s="71"/>
      <c r="J289" s="71"/>
      <c r="K289" s="71"/>
      <c r="L289" s="60"/>
      <c r="M289" s="60"/>
      <c r="N289" s="60"/>
      <c r="O289" s="44"/>
    </row>
    <row r="290" spans="3:15" ht="20.100000000000001" customHeight="1" x14ac:dyDescent="0.25">
      <c r="C290" s="57"/>
      <c r="D290" s="60"/>
      <c r="E290" s="60"/>
      <c r="F290" s="71"/>
      <c r="G290" s="71"/>
      <c r="H290" s="60"/>
      <c r="I290" s="71"/>
      <c r="J290" s="71"/>
      <c r="K290" s="71"/>
      <c r="L290" s="60"/>
      <c r="M290" s="60"/>
      <c r="N290" s="60"/>
      <c r="O290" s="44"/>
    </row>
    <row r="291" spans="3:15" ht="20.100000000000001" customHeight="1" x14ac:dyDescent="0.25">
      <c r="C291" s="57"/>
      <c r="D291" s="60"/>
      <c r="E291" s="60"/>
      <c r="F291" s="71"/>
      <c r="G291" s="71"/>
      <c r="H291" s="60"/>
      <c r="I291" s="71"/>
      <c r="J291" s="71"/>
      <c r="K291" s="71"/>
      <c r="L291" s="60"/>
      <c r="M291" s="60"/>
      <c r="N291" s="60"/>
      <c r="O291" s="44"/>
    </row>
    <row r="292" spans="3:15" ht="20.100000000000001" customHeight="1" x14ac:dyDescent="0.25">
      <c r="C292" s="57"/>
      <c r="D292" s="60"/>
      <c r="E292" s="60"/>
      <c r="F292" s="71"/>
      <c r="G292" s="71"/>
      <c r="H292" s="60"/>
      <c r="I292" s="71"/>
      <c r="J292" s="71"/>
      <c r="K292" s="71"/>
      <c r="L292" s="60"/>
      <c r="M292" s="60"/>
      <c r="N292" s="60"/>
      <c r="O292" s="44"/>
    </row>
    <row r="293" spans="3:15" ht="20.100000000000001" customHeight="1" x14ac:dyDescent="0.25">
      <c r="C293" s="57"/>
      <c r="D293" s="60"/>
      <c r="E293" s="60"/>
      <c r="F293" s="71"/>
      <c r="G293" s="71"/>
      <c r="H293" s="60"/>
      <c r="I293" s="71"/>
      <c r="J293" s="71"/>
      <c r="K293" s="71"/>
      <c r="L293" s="60"/>
      <c r="M293" s="60"/>
      <c r="N293" s="60"/>
      <c r="O293" s="44"/>
    </row>
    <row r="294" spans="3:15" ht="20.100000000000001" customHeight="1" x14ac:dyDescent="0.25">
      <c r="C294" s="57"/>
      <c r="D294" s="60"/>
      <c r="E294" s="60"/>
      <c r="F294" s="71"/>
      <c r="G294" s="71"/>
      <c r="H294" s="60"/>
      <c r="I294" s="71"/>
      <c r="J294" s="71"/>
      <c r="K294" s="71"/>
      <c r="L294" s="60"/>
      <c r="M294" s="60"/>
      <c r="N294" s="60"/>
      <c r="O294" s="44"/>
    </row>
    <row r="295" spans="3:15" ht="20.100000000000001" customHeight="1" x14ac:dyDescent="0.25">
      <c r="C295" s="57"/>
      <c r="D295" s="60"/>
      <c r="E295" s="60"/>
      <c r="F295" s="71"/>
      <c r="G295" s="71"/>
      <c r="H295" s="60"/>
      <c r="I295" s="71"/>
      <c r="J295" s="71"/>
      <c r="K295" s="71"/>
      <c r="L295" s="60"/>
      <c r="M295" s="60"/>
      <c r="N295" s="60"/>
      <c r="O295" s="44"/>
    </row>
    <row r="296" spans="3:15" ht="20.100000000000001" customHeight="1" x14ac:dyDescent="0.25">
      <c r="C296" s="57"/>
      <c r="D296" s="60"/>
      <c r="E296" s="60"/>
      <c r="F296" s="71"/>
      <c r="G296" s="71"/>
      <c r="H296" s="60"/>
      <c r="I296" s="71"/>
      <c r="J296" s="71"/>
      <c r="K296" s="71"/>
      <c r="L296" s="60"/>
      <c r="M296" s="60"/>
      <c r="N296" s="60"/>
      <c r="O296" s="44"/>
    </row>
    <row r="297" spans="3:15" ht="20.100000000000001" customHeight="1" x14ac:dyDescent="0.25">
      <c r="C297" s="57"/>
      <c r="D297" s="60"/>
      <c r="E297" s="60"/>
      <c r="F297" s="71"/>
      <c r="G297" s="71"/>
      <c r="H297" s="60"/>
      <c r="I297" s="71"/>
      <c r="J297" s="71"/>
      <c r="K297" s="71"/>
      <c r="L297" s="60"/>
      <c r="M297" s="60"/>
      <c r="N297" s="60"/>
      <c r="O297" s="44"/>
    </row>
    <row r="298" spans="3:15" ht="20.100000000000001" customHeight="1" x14ac:dyDescent="0.25">
      <c r="C298" s="57"/>
      <c r="D298" s="60"/>
      <c r="E298" s="60"/>
      <c r="F298" s="71"/>
      <c r="G298" s="71"/>
      <c r="H298" s="60"/>
      <c r="I298" s="71"/>
      <c r="J298" s="71"/>
      <c r="K298" s="71"/>
      <c r="L298" s="60"/>
      <c r="M298" s="60"/>
      <c r="N298" s="60"/>
      <c r="O298" s="44"/>
    </row>
    <row r="299" spans="3:15" ht="20.100000000000001" customHeight="1" x14ac:dyDescent="0.25">
      <c r="C299" s="57"/>
      <c r="D299" s="60"/>
      <c r="E299" s="60"/>
      <c r="F299" s="71"/>
      <c r="G299" s="71"/>
      <c r="H299" s="60"/>
      <c r="I299" s="71"/>
      <c r="J299" s="71"/>
      <c r="K299" s="71"/>
      <c r="L299" s="60"/>
      <c r="M299" s="60"/>
      <c r="N299" s="60"/>
      <c r="O299" s="44"/>
    </row>
    <row r="300" spans="3:15" ht="20.100000000000001" customHeight="1" x14ac:dyDescent="0.25">
      <c r="C300" s="57"/>
      <c r="D300" s="60"/>
      <c r="E300" s="60"/>
      <c r="F300" s="71"/>
      <c r="G300" s="71"/>
      <c r="H300" s="60"/>
      <c r="I300" s="71"/>
      <c r="J300" s="71"/>
      <c r="K300" s="71"/>
      <c r="L300" s="60"/>
      <c r="M300" s="60"/>
      <c r="N300" s="60"/>
      <c r="O300" s="44"/>
    </row>
    <row r="301" spans="3:15" ht="20.100000000000001" customHeight="1" x14ac:dyDescent="0.25">
      <c r="C301" s="57"/>
      <c r="D301" s="60"/>
      <c r="E301" s="60"/>
      <c r="F301" s="71"/>
      <c r="G301" s="71"/>
      <c r="H301" s="60"/>
      <c r="I301" s="71"/>
      <c r="J301" s="71"/>
      <c r="K301" s="71"/>
      <c r="L301" s="60"/>
      <c r="M301" s="60"/>
      <c r="N301" s="60"/>
      <c r="O301" s="44"/>
    </row>
    <row r="302" spans="3:15" ht="20.100000000000001" customHeight="1" x14ac:dyDescent="0.25">
      <c r="C302" s="57"/>
      <c r="D302" s="60"/>
      <c r="E302" s="60"/>
      <c r="F302" s="71"/>
      <c r="G302" s="71"/>
      <c r="H302" s="60"/>
      <c r="I302" s="71"/>
      <c r="J302" s="71"/>
      <c r="K302" s="71"/>
      <c r="L302" s="60"/>
      <c r="M302" s="60"/>
      <c r="N302" s="60"/>
      <c r="O302" s="44"/>
    </row>
    <row r="303" spans="3:15" ht="20.100000000000001" customHeight="1" x14ac:dyDescent="0.25">
      <c r="C303" s="57"/>
      <c r="D303" s="60"/>
      <c r="E303" s="60"/>
      <c r="F303" s="71"/>
      <c r="G303" s="71"/>
      <c r="H303" s="60"/>
      <c r="I303" s="71"/>
      <c r="J303" s="71"/>
      <c r="K303" s="71"/>
      <c r="L303" s="60"/>
      <c r="M303" s="60"/>
      <c r="N303" s="60"/>
      <c r="O303" s="44"/>
    </row>
    <row r="304" spans="3:15" ht="20.100000000000001" customHeight="1" x14ac:dyDescent="0.25">
      <c r="C304" s="57"/>
      <c r="D304" s="60"/>
      <c r="E304" s="60"/>
      <c r="F304" s="71"/>
      <c r="G304" s="71"/>
      <c r="H304" s="60"/>
      <c r="I304" s="71"/>
      <c r="J304" s="71"/>
      <c r="K304" s="71"/>
      <c r="L304" s="60"/>
      <c r="M304" s="60"/>
      <c r="N304" s="60"/>
      <c r="O304" s="44"/>
    </row>
    <row r="305" spans="3:15" ht="20.100000000000001" customHeight="1" x14ac:dyDescent="0.25">
      <c r="C305" s="57"/>
      <c r="D305" s="60"/>
      <c r="E305" s="60"/>
      <c r="F305" s="71"/>
      <c r="G305" s="71"/>
      <c r="H305" s="60"/>
      <c r="I305" s="71"/>
      <c r="J305" s="71"/>
      <c r="K305" s="71"/>
      <c r="L305" s="60"/>
      <c r="M305" s="60"/>
      <c r="N305" s="60"/>
      <c r="O305" s="44"/>
    </row>
    <row r="306" spans="3:15" ht="20.100000000000001" customHeight="1" x14ac:dyDescent="0.25">
      <c r="C306" s="57"/>
      <c r="D306" s="60"/>
      <c r="E306" s="60"/>
      <c r="F306" s="71"/>
      <c r="G306" s="71"/>
      <c r="H306" s="60"/>
      <c r="I306" s="71"/>
      <c r="J306" s="71"/>
      <c r="K306" s="71"/>
      <c r="L306" s="60"/>
      <c r="M306" s="60"/>
      <c r="N306" s="60"/>
      <c r="O306" s="44"/>
    </row>
    <row r="307" spans="3:15" ht="20.100000000000001" customHeight="1" x14ac:dyDescent="0.25">
      <c r="C307" s="57"/>
      <c r="D307" s="60"/>
      <c r="E307" s="60"/>
      <c r="F307" s="71"/>
      <c r="G307" s="71"/>
      <c r="H307" s="60"/>
      <c r="I307" s="71"/>
      <c r="J307" s="71"/>
      <c r="K307" s="71"/>
      <c r="L307" s="60"/>
      <c r="M307" s="60"/>
      <c r="N307" s="60"/>
      <c r="O307" s="44"/>
    </row>
    <row r="308" spans="3:15" ht="20.100000000000001" customHeight="1" x14ac:dyDescent="0.25">
      <c r="C308" s="57"/>
      <c r="D308" s="60"/>
      <c r="E308" s="60"/>
      <c r="F308" s="71"/>
      <c r="G308" s="71"/>
      <c r="H308" s="60"/>
      <c r="I308" s="71"/>
      <c r="J308" s="71"/>
      <c r="K308" s="71"/>
      <c r="L308" s="60"/>
      <c r="M308" s="60"/>
      <c r="N308" s="60"/>
      <c r="O308" s="44"/>
    </row>
    <row r="309" spans="3:15" ht="20.100000000000001" customHeight="1" x14ac:dyDescent="0.25">
      <c r="C309" s="57"/>
      <c r="D309" s="60"/>
      <c r="E309" s="60"/>
      <c r="F309" s="71"/>
      <c r="G309" s="71"/>
      <c r="H309" s="60"/>
      <c r="I309" s="71"/>
      <c r="J309" s="71"/>
      <c r="K309" s="71"/>
      <c r="L309" s="60"/>
      <c r="M309" s="60"/>
      <c r="N309" s="60"/>
      <c r="O309" s="44"/>
    </row>
    <row r="310" spans="3:15" ht="20.100000000000001" customHeight="1" x14ac:dyDescent="0.25">
      <c r="C310" s="57"/>
      <c r="D310" s="60"/>
      <c r="E310" s="60"/>
      <c r="F310" s="71"/>
      <c r="G310" s="71"/>
      <c r="H310" s="60"/>
      <c r="I310" s="71"/>
      <c r="J310" s="71"/>
      <c r="K310" s="71"/>
      <c r="L310" s="60"/>
      <c r="M310" s="60"/>
      <c r="N310" s="60"/>
      <c r="O310" s="44"/>
    </row>
    <row r="311" spans="3:15" ht="20.100000000000001" customHeight="1" x14ac:dyDescent="0.25">
      <c r="C311" s="57"/>
      <c r="D311" s="60"/>
      <c r="E311" s="60"/>
      <c r="F311" s="71"/>
      <c r="G311" s="71"/>
      <c r="H311" s="60"/>
      <c r="I311" s="71"/>
      <c r="J311" s="71"/>
      <c r="K311" s="71"/>
      <c r="L311" s="60"/>
      <c r="M311" s="60"/>
      <c r="N311" s="60"/>
      <c r="O311" s="44"/>
    </row>
    <row r="312" spans="3:15" ht="20.100000000000001" customHeight="1" x14ac:dyDescent="0.25">
      <c r="C312" s="57"/>
      <c r="D312" s="60"/>
      <c r="E312" s="60"/>
      <c r="F312" s="71"/>
      <c r="G312" s="71"/>
      <c r="H312" s="60"/>
      <c r="I312" s="71"/>
      <c r="J312" s="71"/>
      <c r="K312" s="71"/>
      <c r="L312" s="60"/>
      <c r="M312" s="60"/>
      <c r="N312" s="60"/>
      <c r="O312" s="44"/>
    </row>
    <row r="313" spans="3:15" ht="20.100000000000001" customHeight="1" x14ac:dyDescent="0.25">
      <c r="C313" s="57"/>
      <c r="D313" s="60"/>
      <c r="E313" s="60"/>
      <c r="F313" s="71"/>
      <c r="G313" s="71"/>
      <c r="H313" s="60"/>
      <c r="I313" s="71"/>
      <c r="J313" s="71"/>
      <c r="K313" s="71"/>
      <c r="L313" s="60"/>
      <c r="M313" s="60"/>
      <c r="N313" s="60"/>
      <c r="O313" s="44"/>
    </row>
    <row r="314" spans="3:15" ht="20.100000000000001" customHeight="1" x14ac:dyDescent="0.25">
      <c r="C314" s="57"/>
      <c r="D314" s="60"/>
      <c r="E314" s="60"/>
      <c r="F314" s="71"/>
      <c r="G314" s="71"/>
      <c r="H314" s="60"/>
      <c r="I314" s="71"/>
      <c r="J314" s="71"/>
      <c r="K314" s="71"/>
      <c r="L314" s="60"/>
      <c r="M314" s="60"/>
      <c r="N314" s="60"/>
      <c r="O314" s="44"/>
    </row>
    <row r="315" spans="3:15" ht="20.100000000000001" customHeight="1" x14ac:dyDescent="0.25">
      <c r="C315" s="57"/>
      <c r="D315" s="60"/>
      <c r="E315" s="60"/>
      <c r="F315" s="71"/>
      <c r="G315" s="71"/>
      <c r="H315" s="60"/>
      <c r="I315" s="71"/>
      <c r="J315" s="71"/>
      <c r="K315" s="71"/>
      <c r="L315" s="60"/>
      <c r="M315" s="60"/>
      <c r="N315" s="60"/>
      <c r="O315" s="44"/>
    </row>
    <row r="316" spans="3:15" ht="20.100000000000001" customHeight="1" x14ac:dyDescent="0.25">
      <c r="C316" s="57"/>
      <c r="D316" s="60"/>
      <c r="E316" s="60"/>
      <c r="F316" s="71"/>
      <c r="G316" s="71"/>
      <c r="H316" s="60"/>
      <c r="I316" s="71"/>
      <c r="J316" s="71"/>
      <c r="K316" s="71"/>
      <c r="L316" s="60"/>
      <c r="M316" s="60"/>
      <c r="N316" s="60"/>
      <c r="O316" s="44"/>
    </row>
    <row r="317" spans="3:15" ht="20.100000000000001" customHeight="1" x14ac:dyDescent="0.25">
      <c r="C317" s="57"/>
      <c r="D317" s="60"/>
      <c r="E317" s="60"/>
      <c r="F317" s="71"/>
      <c r="G317" s="71"/>
      <c r="H317" s="60"/>
      <c r="I317" s="71"/>
      <c r="J317" s="71"/>
      <c r="K317" s="71"/>
      <c r="L317" s="60"/>
      <c r="M317" s="60"/>
      <c r="N317" s="60"/>
      <c r="O317" s="44"/>
    </row>
    <row r="318" spans="3:15" ht="20.100000000000001" customHeight="1" x14ac:dyDescent="0.25">
      <c r="C318" s="57"/>
      <c r="D318" s="60"/>
      <c r="E318" s="60"/>
      <c r="F318" s="71"/>
      <c r="G318" s="71"/>
      <c r="H318" s="60"/>
      <c r="I318" s="71"/>
      <c r="J318" s="71"/>
      <c r="K318" s="71"/>
      <c r="L318" s="60"/>
      <c r="M318" s="60"/>
      <c r="N318" s="60"/>
      <c r="O318" s="44"/>
    </row>
    <row r="319" spans="3:15" ht="20.100000000000001" customHeight="1" x14ac:dyDescent="0.25">
      <c r="C319" s="57"/>
      <c r="D319" s="60"/>
      <c r="E319" s="60"/>
      <c r="F319" s="71"/>
      <c r="G319" s="71"/>
      <c r="H319" s="60"/>
      <c r="I319" s="71"/>
      <c r="J319" s="71"/>
      <c r="K319" s="71"/>
      <c r="L319" s="60"/>
      <c r="M319" s="60"/>
      <c r="N319" s="60"/>
      <c r="O319" s="44"/>
    </row>
    <row r="320" spans="3:15" ht="20.100000000000001" customHeight="1" x14ac:dyDescent="0.25">
      <c r="C320" s="57"/>
      <c r="D320" s="60"/>
      <c r="E320" s="60"/>
      <c r="F320" s="71"/>
      <c r="G320" s="71"/>
      <c r="H320" s="60"/>
      <c r="I320" s="71"/>
      <c r="J320" s="71"/>
      <c r="K320" s="71"/>
      <c r="L320" s="60"/>
      <c r="M320" s="60"/>
      <c r="N320" s="60"/>
      <c r="O320" s="44"/>
    </row>
    <row r="321" spans="3:15" ht="20.100000000000001" customHeight="1" x14ac:dyDescent="0.25">
      <c r="C321" s="57"/>
      <c r="D321" s="60"/>
      <c r="E321" s="60"/>
      <c r="F321" s="71"/>
      <c r="G321" s="71"/>
      <c r="H321" s="60"/>
      <c r="I321" s="71"/>
      <c r="J321" s="71"/>
      <c r="K321" s="71"/>
      <c r="L321" s="60"/>
      <c r="M321" s="60"/>
      <c r="N321" s="60"/>
      <c r="O321" s="44"/>
    </row>
    <row r="322" spans="3:15" ht="20.100000000000001" customHeight="1" x14ac:dyDescent="0.25">
      <c r="C322" s="57"/>
      <c r="D322" s="60"/>
      <c r="E322" s="60"/>
      <c r="F322" s="71"/>
      <c r="G322" s="71"/>
      <c r="H322" s="60"/>
      <c r="I322" s="71"/>
      <c r="J322" s="71"/>
      <c r="K322" s="71"/>
      <c r="L322" s="60"/>
      <c r="M322" s="60"/>
      <c r="N322" s="60"/>
      <c r="O322" s="44"/>
    </row>
    <row r="323" spans="3:15" ht="20.100000000000001" customHeight="1" x14ac:dyDescent="0.25">
      <c r="C323" s="57"/>
      <c r="D323" s="60"/>
      <c r="E323" s="60"/>
      <c r="F323" s="71"/>
      <c r="G323" s="71"/>
      <c r="H323" s="60"/>
      <c r="I323" s="71"/>
      <c r="J323" s="71"/>
      <c r="K323" s="71"/>
      <c r="L323" s="60"/>
      <c r="M323" s="60"/>
      <c r="N323" s="60"/>
      <c r="O323" s="44"/>
    </row>
    <row r="324" spans="3:15" ht="20.100000000000001" customHeight="1" x14ac:dyDescent="0.25">
      <c r="C324" s="57"/>
      <c r="D324" s="60"/>
      <c r="E324" s="60"/>
      <c r="F324" s="71"/>
      <c r="G324" s="71"/>
      <c r="H324" s="60"/>
      <c r="I324" s="71"/>
      <c r="J324" s="71"/>
      <c r="K324" s="71"/>
      <c r="L324" s="60"/>
      <c r="M324" s="60"/>
      <c r="N324" s="60"/>
      <c r="O324" s="44"/>
    </row>
    <row r="325" spans="3:15" ht="20.100000000000001" customHeight="1" x14ac:dyDescent="0.25">
      <c r="C325" s="57"/>
      <c r="D325" s="60"/>
      <c r="E325" s="60"/>
      <c r="F325" s="71"/>
      <c r="G325" s="71"/>
      <c r="H325" s="60"/>
      <c r="I325" s="71"/>
      <c r="J325" s="71"/>
      <c r="K325" s="71"/>
      <c r="L325" s="60"/>
      <c r="M325" s="60"/>
      <c r="N325" s="60"/>
      <c r="O325" s="44"/>
    </row>
    <row r="326" spans="3:15" ht="20.100000000000001" customHeight="1" x14ac:dyDescent="0.25">
      <c r="C326" s="57"/>
      <c r="D326" s="60"/>
      <c r="E326" s="60"/>
      <c r="F326" s="71"/>
      <c r="G326" s="71"/>
      <c r="H326" s="60"/>
      <c r="I326" s="71"/>
      <c r="J326" s="71"/>
      <c r="K326" s="71"/>
      <c r="L326" s="60"/>
      <c r="M326" s="60"/>
      <c r="N326" s="60"/>
      <c r="O326" s="44"/>
    </row>
    <row r="327" spans="3:15" ht="20.100000000000001" customHeight="1" x14ac:dyDescent="0.25">
      <c r="C327" s="57"/>
      <c r="D327" s="60"/>
      <c r="E327" s="60"/>
      <c r="F327" s="71"/>
      <c r="G327" s="71"/>
      <c r="H327" s="60"/>
      <c r="I327" s="71"/>
      <c r="J327" s="71"/>
      <c r="K327" s="71"/>
      <c r="L327" s="60"/>
      <c r="M327" s="60"/>
      <c r="N327" s="60"/>
      <c r="O327" s="44"/>
    </row>
    <row r="328" spans="3:15" ht="20.100000000000001" customHeight="1" x14ac:dyDescent="0.25">
      <c r="C328" s="57"/>
      <c r="D328" s="60"/>
      <c r="E328" s="60"/>
      <c r="F328" s="71"/>
      <c r="G328" s="71"/>
      <c r="H328" s="60"/>
      <c r="I328" s="71"/>
      <c r="J328" s="71"/>
      <c r="K328" s="71"/>
      <c r="L328" s="60"/>
      <c r="M328" s="60"/>
      <c r="N328" s="60"/>
      <c r="O328" s="44"/>
    </row>
    <row r="329" spans="3:15" ht="20.100000000000001" customHeight="1" x14ac:dyDescent="0.25">
      <c r="C329" s="57"/>
      <c r="D329" s="60"/>
      <c r="E329" s="60"/>
      <c r="F329" s="71"/>
      <c r="G329" s="71"/>
      <c r="H329" s="60"/>
      <c r="I329" s="71"/>
      <c r="J329" s="71"/>
      <c r="K329" s="71"/>
      <c r="L329" s="60"/>
      <c r="M329" s="60"/>
      <c r="N329" s="60"/>
      <c r="O329" s="44"/>
    </row>
    <row r="330" spans="3:15" ht="20.100000000000001" customHeight="1" x14ac:dyDescent="0.25">
      <c r="C330" s="57"/>
      <c r="D330" s="60"/>
      <c r="E330" s="60"/>
      <c r="F330" s="71"/>
      <c r="G330" s="71"/>
      <c r="H330" s="60"/>
      <c r="I330" s="71"/>
      <c r="J330" s="71"/>
      <c r="K330" s="71"/>
      <c r="L330" s="60"/>
      <c r="M330" s="60"/>
      <c r="N330" s="60"/>
      <c r="O330" s="44"/>
    </row>
    <row r="331" spans="3:15" ht="20.100000000000001" customHeight="1" x14ac:dyDescent="0.25">
      <c r="C331" s="57"/>
      <c r="D331" s="60"/>
      <c r="E331" s="60"/>
      <c r="F331" s="71"/>
      <c r="G331" s="71"/>
      <c r="H331" s="60"/>
      <c r="I331" s="71"/>
      <c r="J331" s="71"/>
      <c r="K331" s="71"/>
      <c r="L331" s="60"/>
      <c r="M331" s="60"/>
      <c r="N331" s="60"/>
      <c r="O331" s="44"/>
    </row>
    <row r="332" spans="3:15" ht="20.100000000000001" customHeight="1" x14ac:dyDescent="0.25">
      <c r="C332" s="57"/>
      <c r="D332" s="60"/>
      <c r="E332" s="60"/>
      <c r="F332" s="71"/>
      <c r="G332" s="71"/>
      <c r="H332" s="60"/>
      <c r="I332" s="71"/>
      <c r="J332" s="71"/>
      <c r="K332" s="71"/>
      <c r="L332" s="60"/>
      <c r="M332" s="60"/>
      <c r="N332" s="60"/>
      <c r="O332" s="44"/>
    </row>
    <row r="333" spans="3:15" ht="20.100000000000001" customHeight="1" x14ac:dyDescent="0.25">
      <c r="C333" s="57"/>
      <c r="D333" s="60"/>
      <c r="E333" s="60"/>
      <c r="F333" s="71"/>
      <c r="G333" s="71"/>
      <c r="H333" s="60"/>
      <c r="I333" s="71"/>
      <c r="J333" s="71"/>
      <c r="K333" s="71"/>
      <c r="L333" s="60"/>
      <c r="M333" s="60"/>
      <c r="N333" s="60"/>
      <c r="O333" s="44"/>
    </row>
    <row r="334" spans="3:15" ht="20.100000000000001" customHeight="1" x14ac:dyDescent="0.25">
      <c r="C334" s="57"/>
      <c r="D334" s="60"/>
      <c r="E334" s="60"/>
      <c r="F334" s="71"/>
      <c r="G334" s="71"/>
      <c r="H334" s="60"/>
      <c r="I334" s="71"/>
      <c r="J334" s="71"/>
      <c r="K334" s="71"/>
      <c r="L334" s="60"/>
      <c r="M334" s="60"/>
      <c r="N334" s="60"/>
      <c r="O334" s="44"/>
    </row>
    <row r="335" spans="3:15" ht="20.100000000000001" customHeight="1" x14ac:dyDescent="0.25">
      <c r="C335" s="57"/>
      <c r="D335" s="60"/>
      <c r="E335" s="60"/>
      <c r="F335" s="71"/>
      <c r="G335" s="71"/>
      <c r="H335" s="60"/>
      <c r="I335" s="71"/>
      <c r="J335" s="71"/>
      <c r="K335" s="71"/>
      <c r="L335" s="60"/>
      <c r="M335" s="60"/>
      <c r="N335" s="60"/>
      <c r="O335" s="44"/>
    </row>
    <row r="336" spans="3:15" ht="20.100000000000001" customHeight="1" x14ac:dyDescent="0.25">
      <c r="C336" s="57"/>
      <c r="D336" s="60"/>
      <c r="E336" s="60"/>
      <c r="F336" s="71"/>
      <c r="G336" s="71"/>
      <c r="H336" s="60"/>
      <c r="I336" s="71"/>
      <c r="J336" s="71"/>
      <c r="K336" s="71"/>
      <c r="L336" s="60"/>
      <c r="M336" s="60"/>
      <c r="N336" s="60"/>
      <c r="O336" s="44"/>
    </row>
    <row r="337" spans="3:15" ht="20.100000000000001" customHeight="1" x14ac:dyDescent="0.25">
      <c r="C337" s="57"/>
      <c r="D337" s="60"/>
      <c r="E337" s="60"/>
      <c r="F337" s="71"/>
      <c r="G337" s="71"/>
      <c r="H337" s="60"/>
      <c r="I337" s="71"/>
      <c r="J337" s="71"/>
      <c r="K337" s="71"/>
      <c r="L337" s="60"/>
      <c r="M337" s="60"/>
      <c r="N337" s="60"/>
      <c r="O337" s="44"/>
    </row>
    <row r="338" spans="3:15" ht="20.100000000000001" customHeight="1" x14ac:dyDescent="0.25">
      <c r="C338" s="57"/>
      <c r="D338" s="60"/>
      <c r="E338" s="60"/>
      <c r="F338" s="71"/>
      <c r="G338" s="71"/>
      <c r="H338" s="60"/>
      <c r="I338" s="71"/>
      <c r="J338" s="71"/>
      <c r="K338" s="71"/>
      <c r="L338" s="60"/>
      <c r="M338" s="60"/>
      <c r="N338" s="60"/>
      <c r="O338" s="44"/>
    </row>
    <row r="339" spans="3:15" ht="20.100000000000001" customHeight="1" x14ac:dyDescent="0.25">
      <c r="C339" s="57"/>
      <c r="D339" s="60"/>
      <c r="E339" s="60"/>
      <c r="F339" s="71"/>
      <c r="G339" s="71"/>
      <c r="H339" s="60"/>
      <c r="I339" s="71"/>
      <c r="J339" s="71"/>
      <c r="K339" s="71"/>
      <c r="L339" s="60"/>
      <c r="M339" s="60"/>
      <c r="N339" s="60"/>
      <c r="O339" s="44"/>
    </row>
    <row r="340" spans="3:15" ht="20.100000000000001" customHeight="1" x14ac:dyDescent="0.25">
      <c r="C340" s="57"/>
      <c r="D340" s="60"/>
      <c r="E340" s="60"/>
      <c r="F340" s="71"/>
      <c r="G340" s="71"/>
      <c r="H340" s="60"/>
      <c r="I340" s="71"/>
      <c r="J340" s="71"/>
      <c r="K340" s="71"/>
      <c r="L340" s="60"/>
      <c r="M340" s="60"/>
      <c r="N340" s="60"/>
      <c r="O340" s="44"/>
    </row>
    <row r="341" spans="3:15" ht="20.100000000000001" customHeight="1" x14ac:dyDescent="0.25">
      <c r="C341" s="57"/>
      <c r="D341" s="60"/>
      <c r="E341" s="60"/>
      <c r="F341" s="71"/>
      <c r="G341" s="71"/>
      <c r="H341" s="60"/>
      <c r="I341" s="71"/>
      <c r="J341" s="71"/>
      <c r="K341" s="71"/>
      <c r="L341" s="60"/>
      <c r="M341" s="60"/>
      <c r="N341" s="60"/>
      <c r="O341" s="44"/>
    </row>
    <row r="342" spans="3:15" ht="20.100000000000001" customHeight="1" x14ac:dyDescent="0.25">
      <c r="C342" s="57"/>
      <c r="D342" s="60"/>
      <c r="E342" s="60"/>
      <c r="F342" s="71"/>
      <c r="G342" s="71"/>
      <c r="H342" s="60"/>
      <c r="I342" s="71"/>
      <c r="J342" s="71"/>
      <c r="K342" s="71"/>
      <c r="L342" s="60"/>
      <c r="M342" s="60"/>
      <c r="N342" s="60"/>
      <c r="O342" s="44"/>
    </row>
    <row r="343" spans="3:15" ht="20.100000000000001" customHeight="1" x14ac:dyDescent="0.25">
      <c r="C343" s="57"/>
      <c r="D343" s="60"/>
      <c r="E343" s="60"/>
      <c r="F343" s="71"/>
      <c r="G343" s="71"/>
      <c r="H343" s="60"/>
      <c r="I343" s="71"/>
      <c r="J343" s="71"/>
      <c r="K343" s="71"/>
      <c r="L343" s="60"/>
      <c r="M343" s="60"/>
      <c r="N343" s="60"/>
      <c r="O343" s="44"/>
    </row>
    <row r="344" spans="3:15" ht="20.100000000000001" customHeight="1" x14ac:dyDescent="0.25">
      <c r="C344" s="57"/>
      <c r="D344" s="60"/>
      <c r="E344" s="60"/>
      <c r="F344" s="71"/>
      <c r="G344" s="71"/>
      <c r="H344" s="60"/>
      <c r="I344" s="71"/>
      <c r="J344" s="71"/>
      <c r="K344" s="71"/>
      <c r="L344" s="60"/>
      <c r="M344" s="60"/>
      <c r="N344" s="60"/>
      <c r="O344" s="44"/>
    </row>
    <row r="345" spans="3:15" ht="20.100000000000001" customHeight="1" x14ac:dyDescent="0.25">
      <c r="C345" s="57"/>
      <c r="D345" s="60"/>
      <c r="E345" s="60"/>
      <c r="F345" s="71"/>
      <c r="G345" s="71"/>
      <c r="H345" s="60"/>
      <c r="I345" s="71"/>
      <c r="J345" s="71"/>
      <c r="K345" s="71"/>
      <c r="L345" s="60"/>
      <c r="M345" s="60"/>
      <c r="N345" s="60"/>
      <c r="O345" s="44"/>
    </row>
    <row r="346" spans="3:15" ht="20.100000000000001" customHeight="1" x14ac:dyDescent="0.25">
      <c r="C346" s="57"/>
      <c r="D346" s="60"/>
      <c r="E346" s="60"/>
      <c r="F346" s="71"/>
      <c r="G346" s="71"/>
      <c r="H346" s="60"/>
      <c r="I346" s="71"/>
      <c r="J346" s="71"/>
      <c r="K346" s="71"/>
      <c r="L346" s="60"/>
      <c r="M346" s="60"/>
      <c r="N346" s="60"/>
      <c r="O346" s="44"/>
    </row>
    <row r="347" spans="3:15" ht="20.100000000000001" customHeight="1" x14ac:dyDescent="0.25">
      <c r="C347" s="57"/>
      <c r="D347" s="60"/>
      <c r="E347" s="60"/>
      <c r="F347" s="71"/>
      <c r="G347" s="71"/>
      <c r="H347" s="60"/>
      <c r="I347" s="71"/>
      <c r="J347" s="71"/>
      <c r="K347" s="71"/>
      <c r="L347" s="60"/>
      <c r="M347" s="60"/>
      <c r="N347" s="60"/>
      <c r="O347" s="44"/>
    </row>
    <row r="348" spans="3:15" ht="20.100000000000001" customHeight="1" x14ac:dyDescent="0.25">
      <c r="C348" s="57"/>
      <c r="D348" s="60"/>
      <c r="E348" s="60"/>
      <c r="F348" s="71"/>
      <c r="G348" s="71"/>
      <c r="H348" s="60"/>
      <c r="I348" s="71"/>
      <c r="J348" s="71"/>
      <c r="K348" s="71"/>
      <c r="L348" s="60"/>
      <c r="M348" s="60"/>
      <c r="N348" s="60"/>
      <c r="O348" s="44"/>
    </row>
    <row r="349" spans="3:15" ht="20.100000000000001" customHeight="1" x14ac:dyDescent="0.25">
      <c r="C349" s="57"/>
      <c r="D349" s="60"/>
      <c r="E349" s="60"/>
      <c r="F349" s="71"/>
      <c r="G349" s="71"/>
      <c r="H349" s="60"/>
      <c r="I349" s="71"/>
      <c r="J349" s="71"/>
      <c r="K349" s="71"/>
      <c r="L349" s="60"/>
      <c r="M349" s="60"/>
      <c r="N349" s="60"/>
      <c r="O349" s="44"/>
    </row>
    <row r="350" spans="3:15" ht="20.100000000000001" customHeight="1" x14ac:dyDescent="0.25">
      <c r="C350" s="57"/>
      <c r="D350" s="60"/>
      <c r="E350" s="60"/>
      <c r="F350" s="71"/>
      <c r="G350" s="71"/>
      <c r="H350" s="60"/>
      <c r="I350" s="71"/>
      <c r="J350" s="71"/>
      <c r="K350" s="71"/>
      <c r="L350" s="60"/>
      <c r="M350" s="60"/>
      <c r="N350" s="60"/>
      <c r="O350" s="44"/>
    </row>
    <row r="351" spans="3:15" ht="20.100000000000001" customHeight="1" x14ac:dyDescent="0.25">
      <c r="C351" s="57"/>
      <c r="D351" s="60"/>
      <c r="E351" s="60"/>
      <c r="F351" s="71"/>
      <c r="G351" s="71"/>
      <c r="H351" s="60"/>
      <c r="I351" s="71"/>
      <c r="J351" s="71"/>
      <c r="K351" s="71"/>
      <c r="L351" s="60"/>
      <c r="M351" s="60"/>
      <c r="N351" s="60"/>
      <c r="O351" s="44"/>
    </row>
    <row r="352" spans="3:15" ht="20.100000000000001" customHeight="1" x14ac:dyDescent="0.25">
      <c r="C352" s="57"/>
      <c r="D352" s="60"/>
      <c r="E352" s="60"/>
      <c r="F352" s="71"/>
      <c r="G352" s="71"/>
      <c r="H352" s="60"/>
      <c r="I352" s="71"/>
      <c r="J352" s="71"/>
      <c r="K352" s="71"/>
      <c r="L352" s="60"/>
      <c r="M352" s="60"/>
      <c r="N352" s="60"/>
      <c r="O352" s="44"/>
    </row>
    <row r="353" spans="3:15" ht="20.100000000000001" customHeight="1" x14ac:dyDescent="0.25">
      <c r="C353" s="57"/>
      <c r="D353" s="60"/>
      <c r="E353" s="60"/>
      <c r="F353" s="71"/>
      <c r="G353" s="71"/>
      <c r="H353" s="60"/>
      <c r="I353" s="71"/>
      <c r="J353" s="71"/>
      <c r="K353" s="71"/>
      <c r="L353" s="60"/>
      <c r="M353" s="60"/>
      <c r="N353" s="60"/>
      <c r="O353" s="44"/>
    </row>
    <row r="354" spans="3:15" ht="20.100000000000001" customHeight="1" x14ac:dyDescent="0.25">
      <c r="C354" s="57"/>
      <c r="D354" s="60"/>
      <c r="E354" s="60"/>
      <c r="F354" s="71"/>
      <c r="G354" s="71"/>
      <c r="H354" s="60"/>
      <c r="I354" s="71"/>
      <c r="J354" s="71"/>
      <c r="K354" s="71"/>
      <c r="L354" s="60"/>
      <c r="M354" s="60"/>
      <c r="N354" s="60"/>
      <c r="O354" s="44"/>
    </row>
    <row r="355" spans="3:15" ht="20.100000000000001" customHeight="1" x14ac:dyDescent="0.25">
      <c r="C355" s="57"/>
      <c r="D355" s="60"/>
      <c r="E355" s="60"/>
      <c r="F355" s="71"/>
      <c r="G355" s="71"/>
      <c r="H355" s="60"/>
      <c r="I355" s="71"/>
      <c r="J355" s="71"/>
      <c r="K355" s="71"/>
      <c r="L355" s="60"/>
      <c r="M355" s="60"/>
      <c r="N355" s="60"/>
      <c r="O355" s="44"/>
    </row>
    <row r="356" spans="3:15" ht="20.100000000000001" customHeight="1" x14ac:dyDescent="0.25">
      <c r="C356" s="57"/>
      <c r="D356" s="60"/>
      <c r="E356" s="60"/>
      <c r="F356" s="71"/>
      <c r="G356" s="71"/>
      <c r="H356" s="60"/>
      <c r="I356" s="71"/>
      <c r="J356" s="71"/>
      <c r="K356" s="71"/>
      <c r="L356" s="60"/>
      <c r="M356" s="60"/>
      <c r="N356" s="60"/>
      <c r="O356" s="44"/>
    </row>
    <row r="357" spans="3:15" ht="20.100000000000001" customHeight="1" x14ac:dyDescent="0.25">
      <c r="C357" s="57"/>
      <c r="D357" s="60"/>
      <c r="E357" s="60"/>
      <c r="F357" s="71"/>
      <c r="G357" s="71"/>
      <c r="H357" s="60"/>
      <c r="I357" s="71"/>
      <c r="J357" s="71"/>
      <c r="K357" s="71"/>
      <c r="L357" s="60"/>
      <c r="M357" s="60"/>
      <c r="N357" s="60"/>
      <c r="O357" s="44"/>
    </row>
    <row r="358" spans="3:15" ht="20.100000000000001" customHeight="1" x14ac:dyDescent="0.25">
      <c r="C358" s="57"/>
      <c r="D358" s="60"/>
      <c r="E358" s="60"/>
      <c r="F358" s="71"/>
      <c r="G358" s="71"/>
      <c r="H358" s="60"/>
      <c r="I358" s="71"/>
      <c r="J358" s="71"/>
      <c r="K358" s="71"/>
      <c r="L358" s="60"/>
      <c r="M358" s="60"/>
      <c r="N358" s="60"/>
      <c r="O358" s="44"/>
    </row>
    <row r="359" spans="3:15" ht="20.100000000000001" customHeight="1" x14ac:dyDescent="0.25">
      <c r="C359" s="57"/>
      <c r="D359" s="60"/>
      <c r="E359" s="60"/>
      <c r="F359" s="71"/>
      <c r="G359" s="71"/>
      <c r="H359" s="60"/>
      <c r="I359" s="71"/>
      <c r="J359" s="71"/>
      <c r="K359" s="71"/>
      <c r="L359" s="60"/>
      <c r="M359" s="60"/>
      <c r="N359" s="60"/>
      <c r="O359" s="44"/>
    </row>
    <row r="360" spans="3:15" ht="20.100000000000001" customHeight="1" x14ac:dyDescent="0.25">
      <c r="C360" s="57"/>
      <c r="D360" s="60"/>
      <c r="E360" s="60"/>
      <c r="F360" s="71"/>
      <c r="G360" s="71"/>
      <c r="H360" s="60"/>
      <c r="I360" s="71"/>
      <c r="J360" s="71"/>
      <c r="K360" s="71"/>
      <c r="L360" s="60"/>
      <c r="M360" s="60"/>
      <c r="N360" s="60"/>
      <c r="O360" s="44"/>
    </row>
    <row r="361" spans="3:15" ht="20.100000000000001" customHeight="1" x14ac:dyDescent="0.25">
      <c r="C361" s="57"/>
      <c r="D361" s="60"/>
      <c r="E361" s="60"/>
      <c r="F361" s="71"/>
      <c r="G361" s="71"/>
      <c r="H361" s="60"/>
      <c r="I361" s="71"/>
      <c r="J361" s="71"/>
      <c r="K361" s="71"/>
      <c r="L361" s="60"/>
      <c r="M361" s="60"/>
      <c r="N361" s="60"/>
      <c r="O361" s="44"/>
    </row>
    <row r="362" spans="3:15" ht="20.100000000000001" customHeight="1" x14ac:dyDescent="0.25">
      <c r="C362" s="57"/>
      <c r="D362" s="60"/>
      <c r="E362" s="60"/>
      <c r="F362" s="71"/>
      <c r="G362" s="71"/>
      <c r="H362" s="60"/>
      <c r="I362" s="71"/>
      <c r="J362" s="71"/>
      <c r="K362" s="71"/>
      <c r="L362" s="60"/>
      <c r="M362" s="60"/>
      <c r="N362" s="60"/>
      <c r="O362" s="44"/>
    </row>
    <row r="363" spans="3:15" ht="20.100000000000001" customHeight="1" x14ac:dyDescent="0.25">
      <c r="C363" s="57"/>
      <c r="D363" s="60"/>
      <c r="E363" s="60"/>
      <c r="F363" s="71"/>
      <c r="G363" s="71"/>
      <c r="H363" s="60"/>
      <c r="I363" s="71"/>
      <c r="J363" s="71"/>
      <c r="K363" s="71"/>
      <c r="L363" s="60"/>
      <c r="M363" s="60"/>
      <c r="N363" s="60"/>
      <c r="O363" s="44"/>
    </row>
    <row r="364" spans="3:15" ht="20.100000000000001" customHeight="1" x14ac:dyDescent="0.25">
      <c r="C364" s="57"/>
      <c r="D364" s="60"/>
      <c r="E364" s="60"/>
      <c r="F364" s="71"/>
      <c r="G364" s="71"/>
      <c r="H364" s="60"/>
      <c r="I364" s="71"/>
      <c r="J364" s="71"/>
      <c r="K364" s="71"/>
      <c r="L364" s="60"/>
      <c r="M364" s="60"/>
      <c r="N364" s="60"/>
      <c r="O364" s="44"/>
    </row>
    <row r="365" spans="3:15" ht="20.100000000000001" customHeight="1" x14ac:dyDescent="0.25">
      <c r="C365" s="57"/>
      <c r="D365" s="60"/>
      <c r="E365" s="60"/>
      <c r="F365" s="71"/>
      <c r="G365" s="71"/>
      <c r="H365" s="60"/>
      <c r="I365" s="71"/>
      <c r="J365" s="71"/>
      <c r="K365" s="71"/>
      <c r="L365" s="60"/>
      <c r="M365" s="60"/>
      <c r="N365" s="60"/>
      <c r="O365" s="44"/>
    </row>
    <row r="366" spans="3:15" ht="20.100000000000001" customHeight="1" x14ac:dyDescent="0.25">
      <c r="C366" s="57"/>
      <c r="D366" s="60"/>
      <c r="E366" s="60"/>
      <c r="F366" s="71"/>
      <c r="G366" s="71"/>
      <c r="H366" s="60"/>
      <c r="I366" s="71"/>
      <c r="J366" s="71"/>
      <c r="K366" s="71"/>
      <c r="L366" s="60"/>
      <c r="M366" s="60"/>
      <c r="N366" s="60"/>
      <c r="O366" s="44"/>
    </row>
    <row r="367" spans="3:15" ht="20.100000000000001" customHeight="1" x14ac:dyDescent="0.25">
      <c r="C367" s="57"/>
      <c r="D367" s="60"/>
      <c r="E367" s="60"/>
      <c r="F367" s="71"/>
      <c r="G367" s="71"/>
      <c r="H367" s="60"/>
      <c r="I367" s="71"/>
      <c r="J367" s="71"/>
      <c r="K367" s="71"/>
      <c r="L367" s="60"/>
      <c r="M367" s="60"/>
      <c r="N367" s="60"/>
      <c r="O367" s="44"/>
    </row>
    <row r="368" spans="3:15" ht="20.100000000000001" customHeight="1" x14ac:dyDescent="0.25">
      <c r="C368" s="57"/>
      <c r="D368" s="60"/>
      <c r="E368" s="60"/>
      <c r="F368" s="71"/>
      <c r="G368" s="71"/>
      <c r="H368" s="60"/>
      <c r="I368" s="71"/>
      <c r="J368" s="71"/>
      <c r="K368" s="71"/>
      <c r="L368" s="60"/>
      <c r="M368" s="60"/>
      <c r="N368" s="60"/>
      <c r="O368" s="44"/>
    </row>
    <row r="369" spans="3:15" ht="20.100000000000001" customHeight="1" x14ac:dyDescent="0.25">
      <c r="C369" s="57"/>
      <c r="D369" s="60"/>
      <c r="E369" s="60"/>
      <c r="F369" s="71"/>
      <c r="G369" s="71"/>
      <c r="H369" s="60"/>
      <c r="I369" s="71"/>
      <c r="J369" s="71"/>
      <c r="K369" s="71"/>
      <c r="L369" s="60"/>
      <c r="M369" s="60"/>
      <c r="N369" s="60"/>
      <c r="O369" s="44"/>
    </row>
    <row r="370" spans="3:15" ht="20.100000000000001" customHeight="1" x14ac:dyDescent="0.25">
      <c r="C370" s="57"/>
      <c r="D370" s="60"/>
      <c r="E370" s="60"/>
      <c r="F370" s="71"/>
      <c r="G370" s="71"/>
      <c r="H370" s="60"/>
      <c r="I370" s="71"/>
      <c r="J370" s="71"/>
      <c r="K370" s="71"/>
      <c r="L370" s="60"/>
      <c r="M370" s="60"/>
      <c r="N370" s="60"/>
      <c r="O370" s="44"/>
    </row>
    <row r="371" spans="3:15" ht="20.100000000000001" customHeight="1" x14ac:dyDescent="0.25">
      <c r="C371" s="57"/>
      <c r="D371" s="60"/>
      <c r="E371" s="60"/>
      <c r="F371" s="71"/>
      <c r="G371" s="71"/>
      <c r="H371" s="60"/>
      <c r="I371" s="71"/>
      <c r="J371" s="71"/>
      <c r="K371" s="71"/>
      <c r="L371" s="60"/>
      <c r="M371" s="60"/>
      <c r="N371" s="60"/>
      <c r="O371" s="44"/>
    </row>
    <row r="372" spans="3:15" ht="20.100000000000001" customHeight="1" x14ac:dyDescent="0.25">
      <c r="C372" s="57"/>
      <c r="D372" s="60"/>
      <c r="E372" s="60"/>
      <c r="F372" s="71"/>
      <c r="G372" s="71"/>
      <c r="H372" s="60"/>
      <c r="I372" s="71"/>
      <c r="J372" s="71"/>
      <c r="K372" s="71"/>
      <c r="L372" s="60"/>
      <c r="M372" s="60"/>
      <c r="N372" s="60"/>
      <c r="O372" s="44"/>
    </row>
    <row r="373" spans="3:15" ht="20.100000000000001" customHeight="1" x14ac:dyDescent="0.25">
      <c r="C373" s="57"/>
      <c r="D373" s="60"/>
      <c r="E373" s="60"/>
      <c r="F373" s="71"/>
      <c r="G373" s="71"/>
      <c r="H373" s="60"/>
      <c r="I373" s="71"/>
      <c r="J373" s="71"/>
      <c r="K373" s="71"/>
      <c r="L373" s="60"/>
      <c r="M373" s="60"/>
      <c r="N373" s="60"/>
      <c r="O373" s="44"/>
    </row>
    <row r="374" spans="3:15" ht="20.100000000000001" customHeight="1" x14ac:dyDescent="0.25">
      <c r="C374" s="57"/>
      <c r="D374" s="60"/>
      <c r="E374" s="60"/>
      <c r="F374" s="71"/>
      <c r="G374" s="71"/>
      <c r="H374" s="60"/>
      <c r="I374" s="71"/>
      <c r="J374" s="71"/>
      <c r="K374" s="71"/>
      <c r="L374" s="60"/>
      <c r="M374" s="60"/>
      <c r="N374" s="60"/>
      <c r="O374" s="44"/>
    </row>
    <row r="375" spans="3:15" ht="20.100000000000001" customHeight="1" x14ac:dyDescent="0.25">
      <c r="C375" s="57"/>
      <c r="D375" s="60"/>
      <c r="E375" s="60"/>
      <c r="F375" s="71"/>
      <c r="G375" s="71"/>
      <c r="H375" s="60"/>
      <c r="I375" s="71"/>
      <c r="J375" s="71"/>
      <c r="K375" s="71"/>
      <c r="L375" s="60"/>
      <c r="M375" s="60"/>
      <c r="N375" s="60"/>
      <c r="O375" s="44"/>
    </row>
    <row r="376" spans="3:15" ht="20.100000000000001" customHeight="1" x14ac:dyDescent="0.25">
      <c r="C376" s="57"/>
      <c r="D376" s="60"/>
      <c r="E376" s="60"/>
      <c r="F376" s="71"/>
      <c r="G376" s="71"/>
      <c r="H376" s="60"/>
      <c r="I376" s="71"/>
      <c r="J376" s="71"/>
      <c r="K376" s="71"/>
      <c r="L376" s="60"/>
      <c r="M376" s="60"/>
      <c r="N376" s="60"/>
      <c r="O376" s="44"/>
    </row>
    <row r="377" spans="3:15" ht="20.100000000000001" customHeight="1" x14ac:dyDescent="0.25">
      <c r="C377" s="57"/>
      <c r="D377" s="60"/>
      <c r="E377" s="60"/>
      <c r="F377" s="71"/>
      <c r="G377" s="71"/>
      <c r="H377" s="60"/>
      <c r="I377" s="71"/>
      <c r="J377" s="71"/>
      <c r="K377" s="71"/>
      <c r="L377" s="60"/>
      <c r="M377" s="60"/>
      <c r="N377" s="60"/>
      <c r="O377" s="44"/>
    </row>
    <row r="378" spans="3:15" ht="20.100000000000001" customHeight="1" x14ac:dyDescent="0.25">
      <c r="C378" s="57"/>
      <c r="D378" s="60"/>
      <c r="E378" s="60"/>
      <c r="F378" s="71"/>
      <c r="G378" s="71"/>
      <c r="H378" s="60"/>
      <c r="I378" s="71"/>
      <c r="J378" s="71"/>
      <c r="K378" s="71"/>
      <c r="L378" s="60"/>
      <c r="M378" s="60"/>
      <c r="N378" s="60"/>
      <c r="O378" s="44"/>
    </row>
    <row r="379" spans="3:15" ht="20.100000000000001" customHeight="1" x14ac:dyDescent="0.25">
      <c r="C379" s="57"/>
      <c r="D379" s="60"/>
      <c r="E379" s="60"/>
      <c r="F379" s="71"/>
      <c r="G379" s="71"/>
      <c r="H379" s="60"/>
      <c r="I379" s="71"/>
      <c r="J379" s="71"/>
      <c r="K379" s="71"/>
      <c r="L379" s="60"/>
      <c r="M379" s="60"/>
      <c r="N379" s="60"/>
      <c r="O379" s="44"/>
    </row>
    <row r="380" spans="3:15" ht="20.100000000000001" customHeight="1" x14ac:dyDescent="0.25">
      <c r="C380" s="57"/>
      <c r="D380" s="60"/>
      <c r="E380" s="60"/>
      <c r="F380" s="71"/>
      <c r="G380" s="71"/>
      <c r="H380" s="60"/>
      <c r="I380" s="71"/>
      <c r="J380" s="71"/>
      <c r="K380" s="71"/>
      <c r="L380" s="60"/>
      <c r="M380" s="60"/>
      <c r="N380" s="60"/>
      <c r="O380" s="44"/>
    </row>
    <row r="381" spans="3:15" ht="20.100000000000001" customHeight="1" x14ac:dyDescent="0.25">
      <c r="C381" s="57"/>
      <c r="D381" s="60"/>
      <c r="E381" s="60"/>
      <c r="F381" s="71"/>
      <c r="G381" s="71"/>
      <c r="H381" s="60"/>
      <c r="I381" s="71"/>
      <c r="J381" s="71"/>
      <c r="K381" s="71"/>
      <c r="L381" s="60"/>
      <c r="M381" s="60"/>
      <c r="N381" s="60"/>
      <c r="O381" s="44"/>
    </row>
    <row r="382" spans="3:15" ht="20.100000000000001" customHeight="1" x14ac:dyDescent="0.25">
      <c r="C382" s="57"/>
      <c r="D382" s="60"/>
      <c r="E382" s="60"/>
      <c r="F382" s="71"/>
      <c r="G382" s="71"/>
      <c r="H382" s="60"/>
      <c r="I382" s="71"/>
      <c r="J382" s="71"/>
      <c r="K382" s="71"/>
      <c r="L382" s="60"/>
      <c r="M382" s="60"/>
      <c r="N382" s="60"/>
      <c r="O382" s="44"/>
    </row>
    <row r="383" spans="3:15" ht="20.100000000000001" customHeight="1" x14ac:dyDescent="0.25">
      <c r="C383" s="57"/>
      <c r="D383" s="60"/>
      <c r="E383" s="60"/>
      <c r="F383" s="71"/>
      <c r="G383" s="71"/>
      <c r="H383" s="60"/>
      <c r="I383" s="71"/>
      <c r="J383" s="71"/>
      <c r="K383" s="71"/>
      <c r="L383" s="60"/>
      <c r="M383" s="60"/>
      <c r="N383" s="60"/>
      <c r="O383" s="44"/>
    </row>
    <row r="384" spans="3:15" ht="20.100000000000001" customHeight="1" x14ac:dyDescent="0.25">
      <c r="C384" s="57"/>
      <c r="D384" s="60"/>
      <c r="E384" s="60"/>
      <c r="F384" s="71"/>
      <c r="G384" s="71"/>
      <c r="H384" s="60"/>
      <c r="I384" s="71"/>
      <c r="J384" s="71"/>
      <c r="K384" s="71"/>
      <c r="L384" s="60"/>
      <c r="M384" s="60"/>
      <c r="N384" s="60"/>
      <c r="O384" s="44"/>
    </row>
    <row r="385" spans="3:15" ht="20.100000000000001" customHeight="1" x14ac:dyDescent="0.25">
      <c r="C385" s="57"/>
      <c r="D385" s="60"/>
      <c r="E385" s="60"/>
      <c r="F385" s="71"/>
      <c r="G385" s="71"/>
      <c r="H385" s="60"/>
      <c r="I385" s="71"/>
      <c r="J385" s="71"/>
      <c r="K385" s="71"/>
      <c r="L385" s="60"/>
      <c r="M385" s="60"/>
      <c r="N385" s="60"/>
      <c r="O385" s="44"/>
    </row>
    <row r="386" spans="3:15" ht="20.100000000000001" customHeight="1" x14ac:dyDescent="0.25">
      <c r="C386" s="57"/>
      <c r="D386" s="60"/>
      <c r="E386" s="60"/>
      <c r="F386" s="71"/>
      <c r="G386" s="71"/>
      <c r="H386" s="60"/>
      <c r="I386" s="71"/>
      <c r="J386" s="71"/>
      <c r="K386" s="71"/>
      <c r="L386" s="60"/>
      <c r="M386" s="60"/>
      <c r="N386" s="60"/>
      <c r="O386" s="44"/>
    </row>
    <row r="387" spans="3:15" ht="20.100000000000001" customHeight="1" x14ac:dyDescent="0.25">
      <c r="C387" s="57"/>
      <c r="D387" s="60"/>
      <c r="E387" s="60"/>
      <c r="F387" s="71"/>
      <c r="G387" s="71"/>
      <c r="H387" s="60"/>
      <c r="I387" s="71"/>
      <c r="J387" s="71"/>
      <c r="K387" s="71"/>
      <c r="L387" s="60"/>
      <c r="M387" s="60"/>
      <c r="N387" s="60"/>
      <c r="O387" s="44"/>
    </row>
    <row r="388" spans="3:15" ht="20.100000000000001" customHeight="1" x14ac:dyDescent="0.25">
      <c r="C388" s="57"/>
      <c r="D388" s="60"/>
      <c r="E388" s="60"/>
      <c r="F388" s="71"/>
      <c r="G388" s="71"/>
      <c r="H388" s="60"/>
      <c r="I388" s="71"/>
      <c r="J388" s="71"/>
      <c r="K388" s="71"/>
      <c r="L388" s="60"/>
      <c r="M388" s="60"/>
      <c r="N388" s="60"/>
      <c r="O388" s="44"/>
    </row>
    <row r="389" spans="3:15" ht="20.100000000000001" customHeight="1" x14ac:dyDescent="0.25">
      <c r="C389" s="57"/>
      <c r="D389" s="60"/>
      <c r="E389" s="60"/>
      <c r="F389" s="71"/>
      <c r="G389" s="71"/>
      <c r="H389" s="60"/>
      <c r="I389" s="71"/>
      <c r="J389" s="71"/>
      <c r="K389" s="71"/>
      <c r="L389" s="60"/>
      <c r="M389" s="60"/>
      <c r="N389" s="60"/>
      <c r="O389" s="44"/>
    </row>
    <row r="390" spans="3:15" ht="20.100000000000001" customHeight="1" x14ac:dyDescent="0.25">
      <c r="C390" s="57"/>
      <c r="D390" s="60"/>
      <c r="E390" s="60"/>
      <c r="F390" s="71"/>
      <c r="G390" s="71"/>
      <c r="H390" s="60"/>
      <c r="I390" s="71"/>
      <c r="J390" s="71"/>
      <c r="K390" s="71"/>
      <c r="L390" s="60"/>
      <c r="M390" s="60"/>
      <c r="N390" s="60"/>
      <c r="O390" s="44"/>
    </row>
    <row r="391" spans="3:15" ht="20.100000000000001" customHeight="1" x14ac:dyDescent="0.25">
      <c r="C391" s="57"/>
      <c r="D391" s="60"/>
      <c r="E391" s="60"/>
      <c r="F391" s="71"/>
      <c r="G391" s="71"/>
      <c r="H391" s="60"/>
      <c r="I391" s="71"/>
      <c r="J391" s="71"/>
      <c r="K391" s="71"/>
      <c r="L391" s="60"/>
      <c r="M391" s="60"/>
      <c r="N391" s="60"/>
      <c r="O391" s="44"/>
    </row>
    <row r="392" spans="3:15" ht="20.100000000000001" customHeight="1" x14ac:dyDescent="0.25">
      <c r="C392" s="57"/>
      <c r="D392" s="60"/>
      <c r="E392" s="60"/>
      <c r="F392" s="71"/>
      <c r="G392" s="71"/>
      <c r="H392" s="60"/>
      <c r="I392" s="71"/>
      <c r="J392" s="71"/>
      <c r="K392" s="71"/>
      <c r="L392" s="60"/>
      <c r="M392" s="60"/>
      <c r="N392" s="60"/>
      <c r="O392" s="44"/>
    </row>
    <row r="393" spans="3:15" ht="20.100000000000001" customHeight="1" x14ac:dyDescent="0.25">
      <c r="C393" s="57"/>
      <c r="D393" s="60"/>
      <c r="E393" s="60"/>
      <c r="F393" s="71"/>
      <c r="G393" s="71"/>
      <c r="H393" s="60"/>
      <c r="I393" s="71"/>
      <c r="J393" s="71"/>
      <c r="K393" s="71"/>
      <c r="L393" s="60"/>
      <c r="M393" s="60"/>
      <c r="N393" s="60"/>
      <c r="O393" s="44"/>
    </row>
    <row r="394" spans="3:15" ht="20.100000000000001" customHeight="1" x14ac:dyDescent="0.25">
      <c r="C394" s="57"/>
      <c r="D394" s="60"/>
      <c r="E394" s="60"/>
      <c r="F394" s="71"/>
      <c r="G394" s="71"/>
      <c r="H394" s="60"/>
      <c r="I394" s="71"/>
      <c r="J394" s="71"/>
      <c r="K394" s="71"/>
      <c r="L394" s="60"/>
      <c r="M394" s="60"/>
      <c r="N394" s="60"/>
      <c r="O394" s="44"/>
    </row>
    <row r="395" spans="3:15" ht="20.100000000000001" customHeight="1" x14ac:dyDescent="0.25">
      <c r="C395" s="57"/>
      <c r="D395" s="60"/>
      <c r="E395" s="60"/>
      <c r="F395" s="71"/>
      <c r="G395" s="71"/>
      <c r="H395" s="60"/>
      <c r="I395" s="71"/>
      <c r="J395" s="71"/>
      <c r="K395" s="71"/>
      <c r="L395" s="60"/>
      <c r="M395" s="60"/>
      <c r="N395" s="60"/>
      <c r="O395" s="44"/>
    </row>
    <row r="396" spans="3:15" ht="20.100000000000001" customHeight="1" x14ac:dyDescent="0.25">
      <c r="C396" s="57"/>
      <c r="D396" s="60"/>
      <c r="E396" s="60"/>
      <c r="F396" s="71"/>
      <c r="G396" s="71"/>
      <c r="H396" s="60"/>
      <c r="I396" s="71"/>
      <c r="J396" s="71"/>
      <c r="K396" s="71"/>
      <c r="L396" s="60"/>
      <c r="M396" s="60"/>
      <c r="N396" s="60"/>
      <c r="O396" s="44"/>
    </row>
    <row r="397" spans="3:15" ht="20.100000000000001" customHeight="1" x14ac:dyDescent="0.25">
      <c r="C397" s="57"/>
      <c r="D397" s="60"/>
      <c r="E397" s="60"/>
      <c r="F397" s="71"/>
      <c r="G397" s="71"/>
      <c r="H397" s="60"/>
      <c r="I397" s="71"/>
      <c r="J397" s="71"/>
      <c r="K397" s="71"/>
      <c r="L397" s="60"/>
      <c r="M397" s="60"/>
      <c r="N397" s="60"/>
      <c r="O397" s="44"/>
    </row>
    <row r="398" spans="3:15" ht="20.100000000000001" customHeight="1" x14ac:dyDescent="0.25">
      <c r="C398" s="57"/>
      <c r="D398" s="60"/>
      <c r="E398" s="60"/>
      <c r="F398" s="71"/>
      <c r="G398" s="71"/>
      <c r="H398" s="60"/>
      <c r="I398" s="71"/>
      <c r="J398" s="71"/>
      <c r="K398" s="71"/>
      <c r="L398" s="60"/>
      <c r="M398" s="60"/>
      <c r="N398" s="60"/>
      <c r="O398" s="44"/>
    </row>
    <row r="399" spans="3:15" ht="20.100000000000001" customHeight="1" x14ac:dyDescent="0.25">
      <c r="C399" s="57"/>
      <c r="D399" s="60"/>
      <c r="E399" s="60"/>
      <c r="F399" s="71"/>
      <c r="G399" s="71"/>
      <c r="H399" s="60"/>
      <c r="I399" s="71"/>
      <c r="J399" s="71"/>
      <c r="K399" s="71"/>
      <c r="L399" s="60"/>
      <c r="M399" s="60"/>
      <c r="N399" s="60"/>
      <c r="O399" s="44"/>
    </row>
    <row r="400" spans="3:15" ht="20.100000000000001" customHeight="1" x14ac:dyDescent="0.25">
      <c r="C400" s="57"/>
      <c r="D400" s="60"/>
      <c r="E400" s="60"/>
      <c r="F400" s="71"/>
      <c r="G400" s="71"/>
      <c r="H400" s="60"/>
      <c r="I400" s="71"/>
      <c r="J400" s="71"/>
      <c r="K400" s="71"/>
      <c r="L400" s="60"/>
      <c r="M400" s="60"/>
      <c r="N400" s="60"/>
      <c r="O400" s="44"/>
    </row>
    <row r="401" spans="3:15" ht="20.100000000000001" customHeight="1" x14ac:dyDescent="0.25">
      <c r="C401" s="57"/>
      <c r="D401" s="60"/>
      <c r="E401" s="60"/>
      <c r="F401" s="71"/>
      <c r="G401" s="71"/>
      <c r="H401" s="60"/>
      <c r="I401" s="71"/>
      <c r="J401" s="71"/>
      <c r="K401" s="71"/>
      <c r="L401" s="60"/>
      <c r="M401" s="60"/>
      <c r="N401" s="60"/>
      <c r="O401" s="44"/>
    </row>
    <row r="402" spans="3:15" ht="20.100000000000001" customHeight="1" x14ac:dyDescent="0.25">
      <c r="C402" s="57"/>
      <c r="D402" s="60"/>
      <c r="E402" s="60"/>
      <c r="F402" s="71"/>
      <c r="G402" s="71"/>
      <c r="H402" s="60"/>
      <c r="I402" s="71"/>
      <c r="J402" s="71"/>
      <c r="K402" s="71"/>
      <c r="L402" s="60"/>
      <c r="M402" s="60"/>
      <c r="N402" s="60"/>
      <c r="O402" s="44"/>
    </row>
    <row r="403" spans="3:15" ht="20.100000000000001" customHeight="1" x14ac:dyDescent="0.25">
      <c r="C403" s="57"/>
      <c r="D403" s="60"/>
      <c r="E403" s="60"/>
      <c r="F403" s="71"/>
      <c r="G403" s="71"/>
      <c r="H403" s="60"/>
      <c r="I403" s="71"/>
      <c r="J403" s="71"/>
      <c r="K403" s="71"/>
      <c r="L403" s="60"/>
      <c r="M403" s="60"/>
      <c r="N403" s="60"/>
      <c r="O403" s="44"/>
    </row>
    <row r="404" spans="3:15" ht="20.100000000000001" customHeight="1" x14ac:dyDescent="0.25">
      <c r="C404" s="57"/>
      <c r="D404" s="60"/>
      <c r="E404" s="60"/>
      <c r="F404" s="71"/>
      <c r="G404" s="71"/>
      <c r="H404" s="60"/>
      <c r="I404" s="71"/>
      <c r="J404" s="71"/>
      <c r="K404" s="71"/>
      <c r="L404" s="60"/>
      <c r="M404" s="60"/>
      <c r="N404" s="60"/>
      <c r="O404" s="44"/>
    </row>
    <row r="405" spans="3:15" ht="20.100000000000001" customHeight="1" x14ac:dyDescent="0.25">
      <c r="C405" s="57"/>
      <c r="D405" s="60"/>
      <c r="E405" s="60"/>
      <c r="F405" s="71"/>
      <c r="G405" s="71"/>
      <c r="H405" s="60"/>
      <c r="I405" s="71"/>
      <c r="J405" s="71"/>
      <c r="K405" s="71"/>
      <c r="L405" s="60"/>
      <c r="M405" s="60"/>
      <c r="N405" s="60"/>
      <c r="O405" s="44"/>
    </row>
    <row r="406" spans="3:15" ht="20.100000000000001" customHeight="1" x14ac:dyDescent="0.25">
      <c r="C406" s="57"/>
      <c r="D406" s="60"/>
      <c r="E406" s="60"/>
      <c r="F406" s="71"/>
      <c r="G406" s="71"/>
      <c r="H406" s="60"/>
      <c r="I406" s="71"/>
      <c r="J406" s="71"/>
      <c r="K406" s="71"/>
      <c r="L406" s="60"/>
      <c r="M406" s="60"/>
      <c r="N406" s="60"/>
      <c r="O406" s="44"/>
    </row>
    <row r="407" spans="3:15" ht="20.100000000000001" customHeight="1" x14ac:dyDescent="0.25">
      <c r="C407" s="57"/>
      <c r="D407" s="60"/>
      <c r="E407" s="60"/>
      <c r="F407" s="71"/>
      <c r="G407" s="71"/>
      <c r="H407" s="60"/>
      <c r="I407" s="71"/>
      <c r="J407" s="71"/>
      <c r="K407" s="71"/>
      <c r="L407" s="60"/>
      <c r="M407" s="60"/>
      <c r="N407" s="60"/>
      <c r="O407" s="44"/>
    </row>
    <row r="408" spans="3:15" ht="20.100000000000001" customHeight="1" x14ac:dyDescent="0.25">
      <c r="C408" s="57"/>
      <c r="D408" s="60"/>
      <c r="E408" s="60"/>
      <c r="F408" s="71"/>
      <c r="G408" s="71"/>
      <c r="H408" s="60"/>
      <c r="I408" s="71"/>
      <c r="J408" s="71"/>
      <c r="K408" s="71"/>
      <c r="L408" s="60"/>
      <c r="M408" s="60"/>
      <c r="N408" s="60"/>
      <c r="O408" s="44"/>
    </row>
    <row r="409" spans="3:15" ht="20.100000000000001" customHeight="1" x14ac:dyDescent="0.25">
      <c r="C409" s="57"/>
      <c r="D409" s="60"/>
      <c r="E409" s="60"/>
      <c r="F409" s="71"/>
      <c r="G409" s="71"/>
      <c r="H409" s="60"/>
      <c r="I409" s="71"/>
      <c r="J409" s="71"/>
      <c r="K409" s="71"/>
      <c r="L409" s="60"/>
      <c r="M409" s="60"/>
      <c r="N409" s="60"/>
      <c r="O409" s="44"/>
    </row>
    <row r="410" spans="3:15" ht="20.100000000000001" customHeight="1" x14ac:dyDescent="0.25">
      <c r="C410" s="57"/>
      <c r="D410" s="60"/>
      <c r="E410" s="60"/>
      <c r="F410" s="71"/>
      <c r="G410" s="71"/>
      <c r="H410" s="60"/>
      <c r="I410" s="71"/>
      <c r="J410" s="71"/>
      <c r="K410" s="71"/>
      <c r="L410" s="60"/>
      <c r="M410" s="60"/>
      <c r="N410" s="60"/>
      <c r="O410" s="44"/>
    </row>
    <row r="411" spans="3:15" ht="20.100000000000001" customHeight="1" x14ac:dyDescent="0.25">
      <c r="C411" s="57"/>
      <c r="D411" s="60"/>
      <c r="E411" s="60"/>
      <c r="F411" s="71"/>
      <c r="G411" s="71"/>
      <c r="H411" s="60"/>
      <c r="I411" s="71"/>
      <c r="J411" s="71"/>
      <c r="K411" s="71"/>
      <c r="L411" s="60"/>
      <c r="M411" s="60"/>
      <c r="N411" s="60"/>
      <c r="O411" s="44"/>
    </row>
    <row r="412" spans="3:15" ht="20.100000000000001" customHeight="1" x14ac:dyDescent="0.25">
      <c r="C412" s="57"/>
      <c r="D412" s="60"/>
      <c r="E412" s="60"/>
      <c r="F412" s="71"/>
      <c r="G412" s="71"/>
      <c r="H412" s="60"/>
      <c r="I412" s="71"/>
      <c r="J412" s="71"/>
      <c r="K412" s="71"/>
      <c r="L412" s="60"/>
      <c r="M412" s="60"/>
      <c r="N412" s="60"/>
      <c r="O412" s="44"/>
    </row>
    <row r="413" spans="3:15" ht="20.100000000000001" customHeight="1" x14ac:dyDescent="0.25">
      <c r="C413" s="57"/>
      <c r="D413" s="60"/>
      <c r="E413" s="60"/>
      <c r="F413" s="71"/>
      <c r="G413" s="71"/>
      <c r="H413" s="60"/>
      <c r="I413" s="71"/>
      <c r="J413" s="71"/>
      <c r="K413" s="71"/>
      <c r="L413" s="60"/>
      <c r="M413" s="60"/>
      <c r="N413" s="60"/>
      <c r="O413" s="44"/>
    </row>
    <row r="414" spans="3:15" ht="20.100000000000001" customHeight="1" x14ac:dyDescent="0.25">
      <c r="C414" s="57"/>
      <c r="D414" s="60"/>
      <c r="E414" s="60"/>
      <c r="F414" s="71"/>
      <c r="G414" s="71"/>
      <c r="H414" s="60"/>
      <c r="I414" s="71"/>
      <c r="J414" s="71"/>
      <c r="K414" s="71"/>
      <c r="L414" s="60"/>
      <c r="M414" s="60"/>
      <c r="N414" s="60"/>
      <c r="O414" s="44"/>
    </row>
    <row r="415" spans="3:15" ht="20.100000000000001" customHeight="1" x14ac:dyDescent="0.25">
      <c r="C415" s="57"/>
      <c r="D415" s="60"/>
      <c r="E415" s="60"/>
      <c r="F415" s="71"/>
      <c r="G415" s="71"/>
      <c r="H415" s="60"/>
      <c r="I415" s="71"/>
      <c r="J415" s="71"/>
      <c r="K415" s="71"/>
      <c r="L415" s="60"/>
      <c r="M415" s="60"/>
      <c r="N415" s="60"/>
      <c r="O415" s="44"/>
    </row>
    <row r="416" spans="3:15" ht="20.100000000000001" customHeight="1" x14ac:dyDescent="0.25">
      <c r="C416" s="57"/>
      <c r="D416" s="60"/>
      <c r="E416" s="60"/>
      <c r="F416" s="71"/>
      <c r="G416" s="71"/>
      <c r="H416" s="60"/>
      <c r="I416" s="71"/>
      <c r="J416" s="71"/>
      <c r="K416" s="71"/>
      <c r="L416" s="60"/>
      <c r="M416" s="60"/>
      <c r="N416" s="60"/>
      <c r="O416" s="44"/>
    </row>
    <row r="417" spans="3:15" ht="20.100000000000001" customHeight="1" x14ac:dyDescent="0.25">
      <c r="C417" s="57"/>
      <c r="D417" s="60"/>
      <c r="E417" s="60"/>
      <c r="F417" s="71"/>
      <c r="G417" s="71"/>
      <c r="H417" s="60"/>
      <c r="I417" s="71"/>
      <c r="J417" s="71"/>
      <c r="K417" s="71"/>
      <c r="L417" s="60"/>
      <c r="M417" s="60"/>
      <c r="N417" s="60"/>
      <c r="O417" s="44"/>
    </row>
    <row r="418" spans="3:15" ht="20.100000000000001" customHeight="1" x14ac:dyDescent="0.25">
      <c r="C418" s="57"/>
      <c r="D418" s="60"/>
      <c r="E418" s="60"/>
      <c r="F418" s="71"/>
      <c r="G418" s="71"/>
      <c r="H418" s="60"/>
      <c r="I418" s="71"/>
      <c r="J418" s="71"/>
      <c r="K418" s="71"/>
      <c r="L418" s="60"/>
      <c r="M418" s="60"/>
      <c r="N418" s="60"/>
      <c r="O418" s="44"/>
    </row>
    <row r="419" spans="3:15" ht="20.100000000000001" customHeight="1" x14ac:dyDescent="0.25">
      <c r="C419" s="57"/>
      <c r="D419" s="60"/>
      <c r="E419" s="60"/>
      <c r="F419" s="71"/>
      <c r="G419" s="71"/>
      <c r="H419" s="60"/>
      <c r="I419" s="71"/>
      <c r="J419" s="71"/>
      <c r="K419" s="71"/>
      <c r="L419" s="60"/>
      <c r="M419" s="60"/>
      <c r="N419" s="60"/>
      <c r="O419" s="44"/>
    </row>
    <row r="420" spans="3:15" ht="20.100000000000001" customHeight="1" x14ac:dyDescent="0.25">
      <c r="C420" s="57"/>
      <c r="D420" s="60"/>
      <c r="E420" s="60"/>
      <c r="F420" s="71"/>
      <c r="G420" s="71"/>
      <c r="H420" s="60"/>
      <c r="I420" s="71"/>
      <c r="J420" s="71"/>
      <c r="K420" s="71"/>
      <c r="L420" s="60"/>
      <c r="M420" s="60"/>
      <c r="N420" s="60"/>
      <c r="O420" s="44"/>
    </row>
    <row r="421" spans="3:15" ht="20.100000000000001" customHeight="1" x14ac:dyDescent="0.25">
      <c r="C421" s="57"/>
      <c r="D421" s="60"/>
      <c r="E421" s="60"/>
      <c r="F421" s="71"/>
      <c r="G421" s="71"/>
      <c r="H421" s="60"/>
      <c r="I421" s="71"/>
      <c r="J421" s="71"/>
      <c r="K421" s="71"/>
      <c r="L421" s="60"/>
      <c r="M421" s="60"/>
      <c r="N421" s="60"/>
      <c r="O421" s="44"/>
    </row>
    <row r="422" spans="3:15" ht="20.100000000000001" customHeight="1" x14ac:dyDescent="0.25">
      <c r="C422" s="57"/>
      <c r="D422" s="60"/>
      <c r="E422" s="60"/>
      <c r="F422" s="71"/>
      <c r="G422" s="71"/>
      <c r="H422" s="60"/>
      <c r="I422" s="71"/>
      <c r="J422" s="71"/>
      <c r="K422" s="71"/>
      <c r="L422" s="60"/>
      <c r="M422" s="60"/>
      <c r="N422" s="60"/>
      <c r="O422" s="44"/>
    </row>
    <row r="423" spans="3:15" ht="20.100000000000001" customHeight="1" x14ac:dyDescent="0.25">
      <c r="C423" s="57"/>
      <c r="D423" s="60"/>
      <c r="E423" s="60"/>
      <c r="F423" s="71"/>
      <c r="G423" s="71"/>
      <c r="H423" s="60"/>
      <c r="I423" s="71"/>
      <c r="J423" s="71"/>
      <c r="K423" s="71"/>
      <c r="L423" s="60"/>
      <c r="M423" s="60"/>
      <c r="N423" s="60"/>
      <c r="O423" s="44"/>
    </row>
    <row r="424" spans="3:15" ht="20.100000000000001" customHeight="1" x14ac:dyDescent="0.25">
      <c r="C424" s="57"/>
      <c r="D424" s="60"/>
      <c r="E424" s="60"/>
      <c r="F424" s="71"/>
      <c r="G424" s="71"/>
      <c r="H424" s="60"/>
      <c r="I424" s="71"/>
      <c r="J424" s="71"/>
      <c r="K424" s="71"/>
      <c r="L424" s="60"/>
      <c r="M424" s="60"/>
      <c r="N424" s="60"/>
      <c r="O424" s="44"/>
    </row>
    <row r="425" spans="3:15" ht="20.100000000000001" customHeight="1" x14ac:dyDescent="0.25">
      <c r="C425" s="57"/>
      <c r="D425" s="60"/>
      <c r="E425" s="60"/>
      <c r="F425" s="71"/>
      <c r="G425" s="71"/>
      <c r="H425" s="60"/>
      <c r="I425" s="71"/>
      <c r="J425" s="71"/>
      <c r="K425" s="71"/>
      <c r="L425" s="60"/>
      <c r="M425" s="60"/>
      <c r="N425" s="60"/>
      <c r="O425" s="44"/>
    </row>
    <row r="426" spans="3:15" ht="20.100000000000001" customHeight="1" x14ac:dyDescent="0.25">
      <c r="C426" s="57"/>
      <c r="D426" s="60"/>
      <c r="E426" s="60"/>
      <c r="F426" s="71"/>
      <c r="G426" s="71"/>
      <c r="H426" s="60"/>
      <c r="I426" s="71"/>
      <c r="J426" s="71"/>
      <c r="K426" s="71"/>
      <c r="L426" s="60"/>
      <c r="M426" s="60"/>
      <c r="N426" s="60"/>
      <c r="O426" s="44"/>
    </row>
    <row r="427" spans="3:15" ht="20.100000000000001" customHeight="1" x14ac:dyDescent="0.25">
      <c r="C427" s="57"/>
      <c r="D427" s="60"/>
      <c r="E427" s="60"/>
      <c r="F427" s="71"/>
      <c r="G427" s="71"/>
      <c r="H427" s="60"/>
      <c r="I427" s="71"/>
      <c r="J427" s="71"/>
      <c r="K427" s="71"/>
      <c r="L427" s="60"/>
      <c r="M427" s="60"/>
      <c r="N427" s="60"/>
      <c r="O427" s="44"/>
    </row>
    <row r="428" spans="3:15" ht="20.100000000000001" customHeight="1" x14ac:dyDescent="0.25">
      <c r="C428" s="57"/>
      <c r="D428" s="60"/>
      <c r="E428" s="60"/>
      <c r="F428" s="71"/>
      <c r="G428" s="71"/>
      <c r="H428" s="60"/>
      <c r="I428" s="71"/>
      <c r="J428" s="71"/>
      <c r="K428" s="71"/>
      <c r="L428" s="60"/>
      <c r="M428" s="60"/>
      <c r="N428" s="60"/>
      <c r="O428" s="44"/>
    </row>
    <row r="429" spans="3:15" ht="20.100000000000001" customHeight="1" x14ac:dyDescent="0.25">
      <c r="C429" s="57"/>
      <c r="D429" s="60"/>
      <c r="E429" s="60"/>
      <c r="F429" s="71"/>
      <c r="G429" s="71"/>
      <c r="H429" s="60"/>
      <c r="I429" s="71"/>
      <c r="J429" s="71"/>
      <c r="K429" s="71"/>
      <c r="L429" s="60"/>
      <c r="M429" s="60"/>
      <c r="N429" s="60"/>
      <c r="O429" s="44"/>
    </row>
    <row r="430" spans="3:15" ht="20.100000000000001" customHeight="1" x14ac:dyDescent="0.25">
      <c r="C430" s="57"/>
      <c r="D430" s="60"/>
      <c r="E430" s="60"/>
      <c r="F430" s="71"/>
      <c r="G430" s="71"/>
      <c r="H430" s="60"/>
      <c r="I430" s="71"/>
      <c r="J430" s="71"/>
      <c r="K430" s="71"/>
      <c r="L430" s="60"/>
      <c r="M430" s="60"/>
      <c r="N430" s="60"/>
      <c r="O430" s="44"/>
    </row>
    <row r="431" spans="3:15" ht="20.100000000000001" customHeight="1" x14ac:dyDescent="0.25">
      <c r="C431" s="57"/>
      <c r="D431" s="60"/>
      <c r="E431" s="60"/>
      <c r="F431" s="71"/>
      <c r="G431" s="71"/>
      <c r="H431" s="60"/>
      <c r="I431" s="71"/>
      <c r="J431" s="71"/>
      <c r="K431" s="71"/>
      <c r="L431" s="60"/>
      <c r="M431" s="60"/>
      <c r="N431" s="60"/>
      <c r="O431" s="44"/>
    </row>
    <row r="432" spans="3:15" ht="20.100000000000001" customHeight="1" x14ac:dyDescent="0.25">
      <c r="C432" s="57"/>
      <c r="D432" s="60"/>
      <c r="E432" s="60"/>
      <c r="F432" s="71"/>
      <c r="G432" s="71"/>
      <c r="H432" s="60"/>
      <c r="I432" s="71"/>
      <c r="J432" s="71"/>
      <c r="K432" s="71"/>
      <c r="L432" s="60"/>
      <c r="M432" s="60"/>
      <c r="N432" s="60"/>
      <c r="O432" s="44"/>
    </row>
    <row r="433" spans="3:15" ht="20.100000000000001" customHeight="1" x14ac:dyDescent="0.25">
      <c r="C433" s="57"/>
      <c r="D433" s="60"/>
      <c r="E433" s="60"/>
      <c r="F433" s="71"/>
      <c r="G433" s="71"/>
      <c r="H433" s="60"/>
      <c r="I433" s="71"/>
      <c r="J433" s="71"/>
      <c r="K433" s="71"/>
      <c r="L433" s="60"/>
      <c r="M433" s="60"/>
      <c r="N433" s="60"/>
      <c r="O433" s="44"/>
    </row>
    <row r="434" spans="3:15" ht="20.100000000000001" customHeight="1" x14ac:dyDescent="0.25">
      <c r="C434" s="57"/>
      <c r="D434" s="60"/>
      <c r="E434" s="60"/>
      <c r="F434" s="71"/>
      <c r="G434" s="71"/>
      <c r="H434" s="60"/>
      <c r="I434" s="71"/>
      <c r="J434" s="71"/>
      <c r="K434" s="71"/>
      <c r="L434" s="60"/>
      <c r="M434" s="60"/>
      <c r="N434" s="60"/>
      <c r="O434" s="44"/>
    </row>
    <row r="435" spans="3:15" ht="20.100000000000001" customHeight="1" x14ac:dyDescent="0.25">
      <c r="C435" s="57"/>
      <c r="D435" s="60"/>
      <c r="E435" s="60"/>
      <c r="F435" s="71"/>
      <c r="G435" s="71"/>
      <c r="H435" s="60"/>
      <c r="I435" s="71"/>
      <c r="J435" s="71"/>
      <c r="K435" s="71"/>
      <c r="L435" s="60"/>
      <c r="M435" s="60"/>
      <c r="N435" s="60"/>
      <c r="O435" s="44"/>
    </row>
    <row r="436" spans="3:15" ht="20.100000000000001" customHeight="1" x14ac:dyDescent="0.25">
      <c r="C436" s="57"/>
      <c r="D436" s="60"/>
      <c r="E436" s="60"/>
      <c r="F436" s="71"/>
      <c r="G436" s="71"/>
      <c r="H436" s="60"/>
      <c r="I436" s="71"/>
      <c r="J436" s="71"/>
      <c r="K436" s="71"/>
      <c r="L436" s="60"/>
      <c r="M436" s="60"/>
      <c r="N436" s="60"/>
      <c r="O436" s="44"/>
    </row>
    <row r="437" spans="3:15" ht="20.100000000000001" customHeight="1" x14ac:dyDescent="0.25">
      <c r="C437" s="57"/>
      <c r="D437" s="60"/>
      <c r="E437" s="60"/>
      <c r="F437" s="71"/>
      <c r="G437" s="71"/>
      <c r="H437" s="60"/>
      <c r="I437" s="71"/>
      <c r="J437" s="71"/>
      <c r="K437" s="71"/>
      <c r="L437" s="60"/>
      <c r="M437" s="60"/>
      <c r="N437" s="60"/>
      <c r="O437" s="44"/>
    </row>
    <row r="438" spans="3:15" ht="20.100000000000001" customHeight="1" x14ac:dyDescent="0.25">
      <c r="C438" s="57"/>
      <c r="D438" s="60"/>
      <c r="E438" s="60"/>
      <c r="F438" s="71"/>
      <c r="G438" s="71"/>
      <c r="H438" s="60"/>
      <c r="I438" s="71"/>
      <c r="J438" s="71"/>
      <c r="K438" s="71"/>
      <c r="L438" s="60"/>
      <c r="M438" s="60"/>
      <c r="N438" s="60"/>
      <c r="O438" s="44"/>
    </row>
    <row r="439" spans="3:15" ht="20.100000000000001" customHeight="1" x14ac:dyDescent="0.25">
      <c r="C439" s="57"/>
      <c r="D439" s="60"/>
      <c r="E439" s="60"/>
      <c r="F439" s="71"/>
      <c r="G439" s="71"/>
      <c r="H439" s="60"/>
      <c r="I439" s="71"/>
      <c r="J439" s="71"/>
      <c r="K439" s="71"/>
      <c r="L439" s="60"/>
      <c r="M439" s="60"/>
      <c r="N439" s="60"/>
      <c r="O439" s="44"/>
    </row>
    <row r="440" spans="3:15" ht="20.100000000000001" customHeight="1" x14ac:dyDescent="0.25">
      <c r="C440" s="57"/>
      <c r="D440" s="60"/>
      <c r="E440" s="60"/>
      <c r="F440" s="71"/>
      <c r="G440" s="71"/>
      <c r="H440" s="60"/>
      <c r="I440" s="71"/>
      <c r="J440" s="71"/>
      <c r="K440" s="71"/>
      <c r="L440" s="60"/>
      <c r="M440" s="60"/>
      <c r="N440" s="60"/>
      <c r="O440" s="44"/>
    </row>
    <row r="441" spans="3:15" ht="20.100000000000001" customHeight="1" x14ac:dyDescent="0.25">
      <c r="C441" s="57"/>
      <c r="D441" s="60"/>
      <c r="E441" s="60"/>
      <c r="F441" s="71"/>
      <c r="G441" s="71"/>
      <c r="H441" s="60"/>
      <c r="I441" s="71"/>
      <c r="J441" s="71"/>
      <c r="K441" s="71"/>
      <c r="L441" s="60"/>
      <c r="M441" s="60"/>
      <c r="N441" s="60"/>
      <c r="O441" s="44"/>
    </row>
    <row r="442" spans="3:15" ht="20.100000000000001" customHeight="1" x14ac:dyDescent="0.25">
      <c r="C442" s="57"/>
      <c r="D442" s="60"/>
      <c r="E442" s="60"/>
      <c r="F442" s="71"/>
      <c r="G442" s="71"/>
      <c r="H442" s="60"/>
      <c r="I442" s="71"/>
      <c r="J442" s="71"/>
      <c r="K442" s="71"/>
      <c r="L442" s="60"/>
      <c r="M442" s="60"/>
      <c r="N442" s="60"/>
      <c r="O442" s="44"/>
    </row>
    <row r="443" spans="3:15" ht="20.100000000000001" customHeight="1" x14ac:dyDescent="0.25">
      <c r="C443" s="57"/>
      <c r="D443" s="60"/>
      <c r="E443" s="60"/>
      <c r="F443" s="71"/>
      <c r="G443" s="71"/>
      <c r="H443" s="60"/>
      <c r="I443" s="71"/>
      <c r="J443" s="71"/>
      <c r="K443" s="71"/>
      <c r="L443" s="60"/>
      <c r="M443" s="60"/>
      <c r="N443" s="60"/>
      <c r="O443" s="44"/>
    </row>
    <row r="444" spans="3:15" ht="20.100000000000001" customHeight="1" x14ac:dyDescent="0.25">
      <c r="C444" s="57"/>
      <c r="D444" s="60"/>
      <c r="E444" s="60"/>
      <c r="F444" s="71"/>
      <c r="G444" s="71"/>
      <c r="H444" s="60"/>
      <c r="I444" s="71"/>
      <c r="J444" s="71"/>
      <c r="K444" s="71"/>
      <c r="L444" s="60"/>
      <c r="M444" s="60"/>
      <c r="N444" s="60"/>
      <c r="O444" s="44"/>
    </row>
    <row r="445" spans="3:15" ht="20.100000000000001" customHeight="1" x14ac:dyDescent="0.25">
      <c r="C445" s="57"/>
      <c r="D445" s="60"/>
      <c r="E445" s="60"/>
      <c r="F445" s="71"/>
      <c r="G445" s="71"/>
      <c r="H445" s="60"/>
      <c r="I445" s="71"/>
      <c r="J445" s="71"/>
      <c r="K445" s="71"/>
      <c r="L445" s="60"/>
      <c r="M445" s="60"/>
      <c r="N445" s="60"/>
      <c r="O445" s="44"/>
    </row>
    <row r="446" spans="3:15" ht="20.100000000000001" customHeight="1" x14ac:dyDescent="0.25">
      <c r="C446" s="57"/>
      <c r="D446" s="60"/>
      <c r="E446" s="60"/>
      <c r="F446" s="71"/>
      <c r="G446" s="71"/>
      <c r="H446" s="60"/>
      <c r="I446" s="71"/>
      <c r="J446" s="71"/>
      <c r="K446" s="71"/>
      <c r="L446" s="60"/>
      <c r="M446" s="60"/>
      <c r="N446" s="60"/>
      <c r="O446" s="44"/>
    </row>
    <row r="447" spans="3:15" ht="20.100000000000001" customHeight="1" x14ac:dyDescent="0.25">
      <c r="C447" s="57"/>
      <c r="D447" s="60"/>
      <c r="E447" s="60"/>
      <c r="F447" s="71"/>
      <c r="G447" s="71"/>
      <c r="H447" s="60"/>
      <c r="I447" s="71"/>
      <c r="J447" s="71"/>
      <c r="K447" s="71"/>
      <c r="L447" s="60"/>
      <c r="M447" s="60"/>
      <c r="N447" s="60"/>
      <c r="O447" s="44"/>
    </row>
    <row r="448" spans="3:15" ht="20.100000000000001" customHeight="1" x14ac:dyDescent="0.25">
      <c r="C448" s="57"/>
      <c r="D448" s="60"/>
      <c r="E448" s="60"/>
      <c r="F448" s="71"/>
      <c r="G448" s="71"/>
      <c r="H448" s="60"/>
      <c r="I448" s="71"/>
      <c r="J448" s="71"/>
      <c r="K448" s="71"/>
      <c r="L448" s="60"/>
      <c r="M448" s="60"/>
      <c r="N448" s="60"/>
      <c r="O448" s="44"/>
    </row>
    <row r="449" spans="3:15" ht="20.100000000000001" customHeight="1" x14ac:dyDescent="0.25">
      <c r="C449" s="57"/>
      <c r="D449" s="60"/>
      <c r="E449" s="60"/>
      <c r="F449" s="71"/>
      <c r="G449" s="71"/>
      <c r="H449" s="60"/>
      <c r="I449" s="71"/>
      <c r="J449" s="71"/>
      <c r="K449" s="71"/>
      <c r="L449" s="60"/>
      <c r="M449" s="60"/>
      <c r="N449" s="60"/>
      <c r="O449" s="44"/>
    </row>
    <row r="450" spans="3:15" ht="20.100000000000001" customHeight="1" x14ac:dyDescent="0.25">
      <c r="C450" s="57"/>
      <c r="D450" s="60"/>
      <c r="E450" s="60"/>
      <c r="F450" s="71"/>
      <c r="G450" s="71"/>
      <c r="H450" s="60"/>
      <c r="I450" s="71"/>
      <c r="J450" s="71"/>
      <c r="K450" s="71"/>
      <c r="L450" s="60"/>
      <c r="M450" s="60"/>
      <c r="N450" s="60"/>
      <c r="O450" s="44"/>
    </row>
    <row r="451" spans="3:15" ht="20.100000000000001" customHeight="1" x14ac:dyDescent="0.25">
      <c r="C451" s="57"/>
      <c r="D451" s="60"/>
      <c r="E451" s="60"/>
      <c r="F451" s="71"/>
      <c r="G451" s="71"/>
      <c r="H451" s="60"/>
      <c r="I451" s="71"/>
      <c r="J451" s="71"/>
      <c r="K451" s="71"/>
      <c r="L451" s="60"/>
      <c r="M451" s="60"/>
      <c r="N451" s="60"/>
      <c r="O451" s="44"/>
    </row>
    <row r="452" spans="3:15" ht="20.100000000000001" customHeight="1" x14ac:dyDescent="0.25">
      <c r="C452" s="57"/>
      <c r="D452" s="60"/>
      <c r="E452" s="60"/>
      <c r="F452" s="71"/>
      <c r="G452" s="71"/>
      <c r="H452" s="60"/>
      <c r="I452" s="71"/>
      <c r="J452" s="71"/>
      <c r="K452" s="71"/>
      <c r="L452" s="60"/>
      <c r="M452" s="60"/>
      <c r="N452" s="60"/>
      <c r="O452" s="44"/>
    </row>
    <row r="453" spans="3:15" ht="20.100000000000001" customHeight="1" x14ac:dyDescent="0.25">
      <c r="C453" s="57"/>
      <c r="D453" s="60"/>
      <c r="E453" s="60"/>
      <c r="F453" s="71"/>
      <c r="G453" s="71"/>
      <c r="H453" s="60"/>
      <c r="I453" s="71"/>
      <c r="J453" s="71"/>
      <c r="K453" s="71"/>
      <c r="L453" s="60"/>
      <c r="M453" s="60"/>
      <c r="N453" s="60"/>
      <c r="O453" s="44"/>
    </row>
    <row r="454" spans="3:15" ht="20.100000000000001" customHeight="1" x14ac:dyDescent="0.25">
      <c r="C454" s="57"/>
      <c r="D454" s="60"/>
      <c r="E454" s="60"/>
      <c r="F454" s="71"/>
      <c r="G454" s="71"/>
      <c r="H454" s="60"/>
      <c r="I454" s="71"/>
      <c r="J454" s="71"/>
      <c r="K454" s="71"/>
      <c r="L454" s="60"/>
      <c r="M454" s="60"/>
      <c r="N454" s="60"/>
      <c r="O454" s="44"/>
    </row>
    <row r="455" spans="3:15" ht="20.100000000000001" customHeight="1" x14ac:dyDescent="0.25">
      <c r="C455" s="57"/>
      <c r="D455" s="60"/>
      <c r="E455" s="60"/>
      <c r="F455" s="71"/>
      <c r="G455" s="71"/>
      <c r="H455" s="60"/>
      <c r="I455" s="71"/>
      <c r="J455" s="71"/>
      <c r="K455" s="71"/>
      <c r="L455" s="60"/>
      <c r="M455" s="60"/>
      <c r="N455" s="60"/>
      <c r="O455" s="44"/>
    </row>
    <row r="456" spans="3:15" ht="20.100000000000001" customHeight="1" x14ac:dyDescent="0.25">
      <c r="C456" s="57"/>
      <c r="D456" s="60"/>
      <c r="E456" s="60"/>
      <c r="F456" s="71"/>
      <c r="G456" s="71"/>
      <c r="H456" s="60"/>
      <c r="I456" s="71"/>
      <c r="J456" s="71"/>
      <c r="K456" s="71"/>
      <c r="L456" s="60"/>
      <c r="M456" s="60"/>
      <c r="N456" s="60"/>
      <c r="O456" s="44"/>
    </row>
    <row r="457" spans="3:15" ht="20.100000000000001" customHeight="1" x14ac:dyDescent="0.25">
      <c r="C457" s="57"/>
      <c r="D457" s="60"/>
      <c r="E457" s="60"/>
      <c r="F457" s="71"/>
      <c r="G457" s="71"/>
      <c r="H457" s="60"/>
      <c r="I457" s="71"/>
      <c r="J457" s="71"/>
      <c r="K457" s="71"/>
      <c r="L457" s="60"/>
      <c r="M457" s="60"/>
      <c r="N457" s="60"/>
      <c r="O457" s="44"/>
    </row>
    <row r="458" spans="3:15" ht="20.100000000000001" customHeight="1" x14ac:dyDescent="0.25">
      <c r="C458" s="57"/>
      <c r="D458" s="60"/>
      <c r="E458" s="60"/>
      <c r="F458" s="71"/>
      <c r="G458" s="71"/>
      <c r="H458" s="60"/>
      <c r="I458" s="71"/>
      <c r="J458" s="71"/>
      <c r="K458" s="71"/>
      <c r="L458" s="60"/>
      <c r="M458" s="60"/>
      <c r="N458" s="60"/>
      <c r="O458" s="44"/>
    </row>
    <row r="459" spans="3:15" ht="20.100000000000001" customHeight="1" x14ac:dyDescent="0.25">
      <c r="C459" s="57"/>
      <c r="D459" s="60"/>
      <c r="E459" s="60"/>
      <c r="F459" s="71"/>
      <c r="G459" s="71"/>
      <c r="H459" s="60"/>
      <c r="I459" s="71"/>
      <c r="J459" s="71"/>
      <c r="K459" s="71"/>
      <c r="L459" s="60"/>
      <c r="M459" s="60"/>
      <c r="N459" s="60"/>
      <c r="O459" s="44"/>
    </row>
    <row r="460" spans="3:15" ht="20.100000000000001" customHeight="1" x14ac:dyDescent="0.25">
      <c r="C460" s="57"/>
      <c r="D460" s="60"/>
      <c r="E460" s="60"/>
      <c r="F460" s="71"/>
      <c r="G460" s="71"/>
      <c r="H460" s="60"/>
      <c r="I460" s="71"/>
      <c r="J460" s="71"/>
      <c r="K460" s="71"/>
      <c r="L460" s="60"/>
      <c r="M460" s="60"/>
      <c r="N460" s="60"/>
      <c r="O460" s="44"/>
    </row>
    <row r="461" spans="3:15" ht="20.100000000000001" customHeight="1" x14ac:dyDescent="0.25">
      <c r="C461" s="57"/>
      <c r="D461" s="60"/>
      <c r="E461" s="60"/>
      <c r="F461" s="71"/>
      <c r="G461" s="71"/>
      <c r="H461" s="60"/>
      <c r="I461" s="71"/>
      <c r="J461" s="71"/>
      <c r="K461" s="71"/>
      <c r="L461" s="60"/>
      <c r="M461" s="60"/>
      <c r="N461" s="60"/>
      <c r="O461" s="44"/>
    </row>
    <row r="462" spans="3:15" ht="20.100000000000001" customHeight="1" x14ac:dyDescent="0.25">
      <c r="C462" s="57"/>
      <c r="D462" s="60"/>
      <c r="E462" s="60"/>
      <c r="F462" s="71"/>
      <c r="G462" s="71"/>
      <c r="H462" s="60"/>
      <c r="I462" s="71"/>
      <c r="J462" s="71"/>
      <c r="K462" s="71"/>
      <c r="L462" s="60"/>
      <c r="M462" s="60"/>
      <c r="N462" s="60"/>
      <c r="O462" s="44"/>
    </row>
    <row r="463" spans="3:15" ht="20.100000000000001" customHeight="1" x14ac:dyDescent="0.25">
      <c r="C463" s="57"/>
      <c r="D463" s="60"/>
      <c r="E463" s="60"/>
      <c r="F463" s="71"/>
      <c r="G463" s="71"/>
      <c r="H463" s="60"/>
      <c r="I463" s="71"/>
      <c r="J463" s="71"/>
      <c r="K463" s="71"/>
      <c r="L463" s="60"/>
      <c r="M463" s="60"/>
      <c r="N463" s="60"/>
      <c r="O463" s="44"/>
    </row>
    <row r="464" spans="3:15" ht="20.100000000000001" customHeight="1" x14ac:dyDescent="0.25">
      <c r="C464" s="57"/>
      <c r="D464" s="60"/>
      <c r="E464" s="60"/>
      <c r="F464" s="71"/>
      <c r="G464" s="71"/>
      <c r="H464" s="60"/>
      <c r="I464" s="71"/>
      <c r="J464" s="71"/>
      <c r="K464" s="71"/>
      <c r="L464" s="60"/>
      <c r="M464" s="60"/>
      <c r="N464" s="60"/>
      <c r="O464" s="44"/>
    </row>
    <row r="465" spans="3:15" ht="20.100000000000001" customHeight="1" x14ac:dyDescent="0.25">
      <c r="C465" s="57"/>
      <c r="D465" s="60"/>
      <c r="E465" s="60"/>
      <c r="F465" s="71"/>
      <c r="G465" s="71"/>
      <c r="H465" s="60"/>
      <c r="I465" s="71"/>
      <c r="J465" s="71"/>
      <c r="K465" s="71"/>
      <c r="L465" s="60"/>
      <c r="M465" s="60"/>
      <c r="N465" s="60"/>
      <c r="O465" s="44"/>
    </row>
    <row r="466" spans="3:15" ht="20.100000000000001" customHeight="1" x14ac:dyDescent="0.25">
      <c r="C466" s="57"/>
      <c r="D466" s="60"/>
      <c r="E466" s="60"/>
      <c r="F466" s="71"/>
      <c r="G466" s="71"/>
      <c r="H466" s="60"/>
      <c r="I466" s="71"/>
      <c r="J466" s="71"/>
      <c r="K466" s="71"/>
      <c r="L466" s="60"/>
      <c r="M466" s="60"/>
      <c r="N466" s="60"/>
      <c r="O466" s="44"/>
    </row>
    <row r="467" spans="3:15" ht="20.100000000000001" customHeight="1" x14ac:dyDescent="0.25">
      <c r="C467" s="57"/>
      <c r="D467" s="60"/>
      <c r="E467" s="60"/>
      <c r="F467" s="71"/>
      <c r="G467" s="71"/>
      <c r="H467" s="60"/>
      <c r="I467" s="71"/>
      <c r="J467" s="71"/>
      <c r="K467" s="71"/>
      <c r="L467" s="60"/>
      <c r="M467" s="60"/>
      <c r="N467" s="60"/>
      <c r="O467" s="44"/>
    </row>
    <row r="468" spans="3:15" ht="20.100000000000001" customHeight="1" x14ac:dyDescent="0.25">
      <c r="C468" s="57"/>
      <c r="D468" s="60"/>
      <c r="E468" s="60"/>
      <c r="F468" s="71"/>
      <c r="G468" s="71"/>
      <c r="H468" s="60"/>
      <c r="I468" s="71"/>
      <c r="J468" s="71"/>
      <c r="K468" s="71"/>
      <c r="L468" s="60"/>
      <c r="M468" s="60"/>
      <c r="N468" s="60"/>
      <c r="O468" s="44"/>
    </row>
    <row r="469" spans="3:15" ht="20.100000000000001" customHeight="1" x14ac:dyDescent="0.25">
      <c r="C469" s="57"/>
      <c r="D469" s="60"/>
      <c r="E469" s="60"/>
      <c r="F469" s="71"/>
      <c r="G469" s="71"/>
      <c r="H469" s="60"/>
      <c r="I469" s="71"/>
      <c r="J469" s="71"/>
      <c r="K469" s="71"/>
      <c r="L469" s="60"/>
      <c r="M469" s="60"/>
      <c r="N469" s="60"/>
      <c r="O469" s="44"/>
    </row>
    <row r="470" spans="3:15" ht="20.100000000000001" customHeight="1" x14ac:dyDescent="0.25">
      <c r="C470" s="57"/>
      <c r="D470" s="60"/>
      <c r="E470" s="60"/>
      <c r="F470" s="71"/>
      <c r="G470" s="71"/>
      <c r="H470" s="60"/>
      <c r="I470" s="71"/>
      <c r="J470" s="71"/>
      <c r="K470" s="71"/>
      <c r="L470" s="60"/>
      <c r="M470" s="60"/>
      <c r="N470" s="60"/>
      <c r="O470" s="44"/>
    </row>
    <row r="471" spans="3:15" ht="20.100000000000001" customHeight="1" x14ac:dyDescent="0.25">
      <c r="C471" s="57"/>
      <c r="D471" s="60"/>
      <c r="E471" s="60"/>
      <c r="F471" s="71"/>
      <c r="G471" s="71"/>
      <c r="H471" s="60"/>
      <c r="I471" s="71"/>
      <c r="J471" s="71"/>
      <c r="K471" s="71"/>
      <c r="L471" s="60"/>
      <c r="M471" s="60"/>
      <c r="N471" s="60"/>
      <c r="O471" s="44"/>
    </row>
    <row r="472" spans="3:15" ht="20.100000000000001" customHeight="1" x14ac:dyDescent="0.25">
      <c r="C472" s="57"/>
      <c r="D472" s="60"/>
      <c r="E472" s="60"/>
      <c r="F472" s="71"/>
      <c r="G472" s="71"/>
      <c r="H472" s="60"/>
      <c r="I472" s="71"/>
      <c r="J472" s="71"/>
      <c r="K472" s="71"/>
      <c r="L472" s="60"/>
      <c r="M472" s="60"/>
      <c r="N472" s="60"/>
      <c r="O472" s="44"/>
    </row>
    <row r="473" spans="3:15" ht="20.100000000000001" customHeight="1" x14ac:dyDescent="0.25">
      <c r="C473" s="57"/>
      <c r="D473" s="60"/>
      <c r="E473" s="60"/>
      <c r="F473" s="71"/>
      <c r="G473" s="71"/>
      <c r="H473" s="60"/>
      <c r="I473" s="71"/>
      <c r="J473" s="71"/>
      <c r="K473" s="71"/>
      <c r="L473" s="60"/>
      <c r="M473" s="60"/>
      <c r="N473" s="60"/>
      <c r="O473" s="44"/>
    </row>
    <row r="474" spans="3:15" ht="20.100000000000001" customHeight="1" x14ac:dyDescent="0.25">
      <c r="C474" s="57"/>
      <c r="D474" s="60"/>
      <c r="E474" s="60"/>
      <c r="F474" s="71"/>
      <c r="G474" s="71"/>
      <c r="H474" s="60"/>
      <c r="I474" s="71"/>
      <c r="J474" s="71"/>
      <c r="K474" s="71"/>
      <c r="L474" s="60"/>
      <c r="M474" s="60"/>
      <c r="N474" s="60"/>
      <c r="O474" s="44"/>
    </row>
    <row r="475" spans="3:15" ht="20.100000000000001" customHeight="1" x14ac:dyDescent="0.25">
      <c r="C475" s="57"/>
      <c r="D475" s="60"/>
      <c r="E475" s="60"/>
      <c r="F475" s="71"/>
      <c r="G475" s="71"/>
      <c r="H475" s="60"/>
      <c r="I475" s="71"/>
      <c r="J475" s="71"/>
      <c r="K475" s="71"/>
      <c r="L475" s="60"/>
      <c r="M475" s="60"/>
      <c r="N475" s="60"/>
      <c r="O475" s="44"/>
    </row>
    <row r="476" spans="3:15" ht="20.100000000000001" customHeight="1" x14ac:dyDescent="0.25">
      <c r="C476" s="57"/>
      <c r="D476" s="60"/>
      <c r="E476" s="60"/>
      <c r="F476" s="71"/>
      <c r="G476" s="71"/>
      <c r="H476" s="60"/>
      <c r="I476" s="71"/>
      <c r="J476" s="71"/>
      <c r="K476" s="71"/>
      <c r="L476" s="60"/>
      <c r="M476" s="60"/>
      <c r="N476" s="60"/>
      <c r="O476" s="44"/>
    </row>
    <row r="477" spans="3:15" ht="20.100000000000001" customHeight="1" x14ac:dyDescent="0.25">
      <c r="C477" s="57"/>
      <c r="D477" s="60"/>
      <c r="E477" s="60"/>
      <c r="F477" s="71"/>
      <c r="G477" s="71"/>
      <c r="H477" s="60"/>
      <c r="I477" s="71"/>
      <c r="J477" s="71"/>
      <c r="K477" s="71"/>
      <c r="L477" s="60"/>
      <c r="M477" s="60"/>
      <c r="N477" s="60"/>
      <c r="O477" s="44"/>
    </row>
    <row r="478" spans="3:15" ht="20.100000000000001" customHeight="1" x14ac:dyDescent="0.25">
      <c r="C478" s="57"/>
      <c r="D478" s="60"/>
      <c r="E478" s="60"/>
      <c r="F478" s="71"/>
      <c r="G478" s="71"/>
      <c r="H478" s="60"/>
      <c r="I478" s="71"/>
      <c r="J478" s="71"/>
      <c r="K478" s="71"/>
      <c r="L478" s="60"/>
      <c r="M478" s="60"/>
      <c r="N478" s="60"/>
      <c r="O478" s="44"/>
    </row>
    <row r="479" spans="3:15" ht="20.100000000000001" customHeight="1" x14ac:dyDescent="0.25">
      <c r="C479" s="57"/>
      <c r="D479" s="60"/>
      <c r="E479" s="60"/>
      <c r="F479" s="71"/>
      <c r="G479" s="71"/>
      <c r="H479" s="60"/>
      <c r="I479" s="71"/>
      <c r="J479" s="71"/>
      <c r="K479" s="71"/>
      <c r="L479" s="60"/>
      <c r="M479" s="60"/>
      <c r="N479" s="60"/>
      <c r="O479" s="44"/>
    </row>
    <row r="480" spans="3:15" ht="20.100000000000001" customHeight="1" x14ac:dyDescent="0.25">
      <c r="C480" s="57"/>
      <c r="D480" s="60"/>
      <c r="E480" s="60"/>
      <c r="F480" s="71"/>
      <c r="G480" s="71"/>
      <c r="H480" s="60"/>
      <c r="I480" s="71"/>
      <c r="J480" s="71"/>
      <c r="K480" s="71"/>
      <c r="L480" s="60"/>
      <c r="M480" s="60"/>
      <c r="N480" s="60"/>
      <c r="O480" s="44"/>
    </row>
    <row r="481" spans="3:15" ht="20.100000000000001" customHeight="1" x14ac:dyDescent="0.25">
      <c r="C481" s="57"/>
      <c r="D481" s="60"/>
      <c r="E481" s="60"/>
      <c r="F481" s="71"/>
      <c r="G481" s="71"/>
      <c r="H481" s="60"/>
      <c r="I481" s="71"/>
      <c r="J481" s="71"/>
      <c r="K481" s="71"/>
      <c r="L481" s="60"/>
      <c r="M481" s="60"/>
      <c r="N481" s="60"/>
      <c r="O481" s="44"/>
    </row>
    <row r="482" spans="3:15" ht="20.100000000000001" customHeight="1" x14ac:dyDescent="0.25">
      <c r="C482" s="57"/>
      <c r="D482" s="60"/>
      <c r="E482" s="60"/>
      <c r="F482" s="71"/>
      <c r="G482" s="71"/>
      <c r="H482" s="60"/>
      <c r="I482" s="71"/>
      <c r="J482" s="71"/>
      <c r="K482" s="71"/>
      <c r="L482" s="60"/>
      <c r="M482" s="60"/>
      <c r="N482" s="60"/>
      <c r="O482" s="44"/>
    </row>
    <row r="483" spans="3:15" ht="20.100000000000001" customHeight="1" x14ac:dyDescent="0.25">
      <c r="C483" s="57"/>
      <c r="D483" s="60"/>
      <c r="E483" s="60"/>
      <c r="F483" s="71"/>
      <c r="G483" s="71"/>
      <c r="H483" s="60"/>
      <c r="I483" s="71"/>
      <c r="J483" s="71"/>
      <c r="K483" s="71"/>
      <c r="L483" s="60"/>
      <c r="M483" s="60"/>
      <c r="N483" s="60"/>
      <c r="O483" s="44"/>
    </row>
    <row r="484" spans="3:15" ht="20.100000000000001" customHeight="1" x14ac:dyDescent="0.25">
      <c r="C484" s="57"/>
      <c r="D484" s="60"/>
      <c r="E484" s="60"/>
      <c r="F484" s="71"/>
      <c r="G484" s="71"/>
      <c r="H484" s="60"/>
      <c r="I484" s="71"/>
      <c r="J484" s="71"/>
      <c r="K484" s="71"/>
      <c r="L484" s="60"/>
      <c r="M484" s="60"/>
      <c r="N484" s="60"/>
      <c r="O484" s="44"/>
    </row>
    <row r="485" spans="3:15" ht="20.100000000000001" customHeight="1" x14ac:dyDescent="0.25">
      <c r="C485" s="57"/>
      <c r="D485" s="60"/>
      <c r="E485" s="60"/>
      <c r="F485" s="71"/>
      <c r="G485" s="71"/>
      <c r="H485" s="60"/>
      <c r="I485" s="71"/>
      <c r="J485" s="71"/>
      <c r="K485" s="71"/>
      <c r="L485" s="60"/>
      <c r="M485" s="60"/>
      <c r="N485" s="60"/>
      <c r="O485" s="44"/>
    </row>
    <row r="486" spans="3:15" ht="20.100000000000001" customHeight="1" x14ac:dyDescent="0.25">
      <c r="C486" s="57"/>
      <c r="D486" s="60"/>
      <c r="E486" s="60"/>
      <c r="F486" s="71"/>
      <c r="G486" s="71"/>
      <c r="H486" s="60"/>
      <c r="I486" s="71"/>
      <c r="J486" s="71"/>
      <c r="K486" s="71"/>
      <c r="L486" s="60"/>
      <c r="M486" s="60"/>
      <c r="N486" s="60"/>
      <c r="O486" s="44"/>
    </row>
    <row r="487" spans="3:15" ht="20.100000000000001" customHeight="1" x14ac:dyDescent="0.25">
      <c r="C487" s="57"/>
      <c r="D487" s="60"/>
      <c r="E487" s="60"/>
      <c r="F487" s="71"/>
      <c r="G487" s="71"/>
      <c r="H487" s="60"/>
      <c r="I487" s="71"/>
      <c r="J487" s="71"/>
      <c r="K487" s="71"/>
      <c r="L487" s="60"/>
      <c r="M487" s="60"/>
      <c r="N487" s="60"/>
      <c r="O487" s="44"/>
    </row>
    <row r="488" spans="3:15" ht="20.100000000000001" customHeight="1" x14ac:dyDescent="0.25">
      <c r="C488" s="57"/>
      <c r="D488" s="60"/>
      <c r="E488" s="60"/>
      <c r="F488" s="71"/>
      <c r="G488" s="71"/>
      <c r="H488" s="60"/>
      <c r="I488" s="71"/>
      <c r="J488" s="71"/>
      <c r="K488" s="71"/>
      <c r="L488" s="60"/>
      <c r="M488" s="60"/>
      <c r="N488" s="60"/>
      <c r="O488" s="44"/>
    </row>
    <row r="489" spans="3:15" ht="20.100000000000001" customHeight="1" x14ac:dyDescent="0.25">
      <c r="C489" s="57"/>
      <c r="D489" s="60"/>
      <c r="E489" s="60"/>
      <c r="F489" s="71"/>
      <c r="G489" s="71"/>
      <c r="H489" s="60"/>
      <c r="I489" s="71"/>
      <c r="J489" s="71"/>
      <c r="K489" s="71"/>
      <c r="L489" s="60"/>
      <c r="M489" s="60"/>
      <c r="N489" s="60"/>
      <c r="O489" s="44"/>
    </row>
    <row r="490" spans="3:15" ht="20.100000000000001" customHeight="1" x14ac:dyDescent="0.25">
      <c r="C490" s="57"/>
      <c r="D490" s="60"/>
      <c r="E490" s="60"/>
      <c r="F490" s="71"/>
      <c r="G490" s="71"/>
      <c r="H490" s="60"/>
      <c r="I490" s="71"/>
      <c r="J490" s="71"/>
      <c r="K490" s="71"/>
      <c r="L490" s="60"/>
      <c r="M490" s="60"/>
      <c r="N490" s="60"/>
      <c r="O490" s="44"/>
    </row>
    <row r="491" spans="3:15" ht="20.100000000000001" customHeight="1" x14ac:dyDescent="0.25">
      <c r="C491" s="57"/>
      <c r="D491" s="60"/>
      <c r="E491" s="60"/>
      <c r="F491" s="71"/>
      <c r="G491" s="71"/>
      <c r="H491" s="60"/>
      <c r="I491" s="71"/>
      <c r="J491" s="71"/>
      <c r="K491" s="71"/>
      <c r="L491" s="60"/>
      <c r="M491" s="60"/>
      <c r="N491" s="60"/>
      <c r="O491" s="44"/>
    </row>
    <row r="492" spans="3:15" ht="20.100000000000001" customHeight="1" x14ac:dyDescent="0.25">
      <c r="C492" s="57"/>
      <c r="D492" s="60"/>
      <c r="E492" s="60"/>
      <c r="F492" s="71"/>
      <c r="G492" s="71"/>
      <c r="H492" s="60"/>
      <c r="I492" s="71"/>
      <c r="J492" s="71"/>
      <c r="K492" s="71"/>
      <c r="L492" s="60"/>
      <c r="M492" s="60"/>
      <c r="N492" s="60"/>
      <c r="O492" s="44"/>
    </row>
    <row r="493" spans="3:15" ht="20.100000000000001" customHeight="1" x14ac:dyDescent="0.25">
      <c r="C493" s="57"/>
      <c r="D493" s="60"/>
      <c r="E493" s="60"/>
      <c r="F493" s="71"/>
      <c r="G493" s="71"/>
      <c r="H493" s="60"/>
      <c r="I493" s="71"/>
      <c r="J493" s="71"/>
      <c r="K493" s="71"/>
      <c r="L493" s="60"/>
      <c r="M493" s="60"/>
      <c r="N493" s="60"/>
      <c r="O493" s="44"/>
    </row>
    <row r="494" spans="3:15" ht="20.100000000000001" customHeight="1" x14ac:dyDescent="0.25">
      <c r="C494" s="57"/>
      <c r="D494" s="60"/>
      <c r="E494" s="60"/>
      <c r="F494" s="71"/>
      <c r="G494" s="71"/>
      <c r="H494" s="60"/>
      <c r="I494" s="71"/>
      <c r="J494" s="71"/>
      <c r="K494" s="71"/>
      <c r="L494" s="60"/>
      <c r="M494" s="60"/>
      <c r="N494" s="60"/>
      <c r="O494" s="44"/>
    </row>
    <row r="495" spans="3:15" ht="20.100000000000001" customHeight="1" x14ac:dyDescent="0.25">
      <c r="C495" s="57"/>
      <c r="D495" s="60"/>
      <c r="E495" s="60"/>
      <c r="F495" s="71"/>
      <c r="G495" s="71"/>
      <c r="H495" s="60"/>
      <c r="I495" s="71"/>
      <c r="J495" s="71"/>
      <c r="K495" s="71"/>
      <c r="L495" s="60"/>
      <c r="M495" s="60"/>
      <c r="N495" s="60"/>
      <c r="O495" s="44"/>
    </row>
    <row r="496" spans="3:15" ht="20.100000000000001" customHeight="1" x14ac:dyDescent="0.25">
      <c r="C496" s="57"/>
      <c r="D496" s="60"/>
      <c r="E496" s="60"/>
      <c r="F496" s="71"/>
      <c r="G496" s="71"/>
      <c r="H496" s="60"/>
      <c r="I496" s="71"/>
      <c r="J496" s="71"/>
      <c r="K496" s="71"/>
      <c r="L496" s="60"/>
      <c r="M496" s="60"/>
      <c r="N496" s="60"/>
      <c r="O496" s="44"/>
    </row>
    <row r="497" spans="3:15" ht="20.100000000000001" customHeight="1" x14ac:dyDescent="0.25">
      <c r="C497" s="57"/>
      <c r="D497" s="60"/>
      <c r="E497" s="60"/>
      <c r="F497" s="71"/>
      <c r="G497" s="71"/>
      <c r="H497" s="60"/>
      <c r="I497" s="71"/>
      <c r="J497" s="71"/>
      <c r="K497" s="71"/>
      <c r="L497" s="60"/>
      <c r="M497" s="60"/>
      <c r="N497" s="60"/>
      <c r="O497" s="44"/>
    </row>
    <row r="498" spans="3:15" ht="20.100000000000001" customHeight="1" x14ac:dyDescent="0.25">
      <c r="C498" s="57"/>
      <c r="D498" s="60"/>
      <c r="E498" s="60"/>
      <c r="F498" s="71"/>
      <c r="G498" s="71"/>
      <c r="H498" s="60"/>
      <c r="I498" s="71"/>
      <c r="J498" s="71"/>
      <c r="K498" s="71"/>
      <c r="L498" s="60"/>
      <c r="M498" s="60"/>
      <c r="N498" s="60"/>
      <c r="O498" s="44"/>
    </row>
    <row r="499" spans="3:15" ht="20.100000000000001" customHeight="1" x14ac:dyDescent="0.25">
      <c r="C499" s="57"/>
      <c r="D499" s="60"/>
      <c r="E499" s="60"/>
      <c r="F499" s="71"/>
      <c r="G499" s="71"/>
      <c r="H499" s="60"/>
      <c r="I499" s="71"/>
      <c r="J499" s="71"/>
      <c r="K499" s="71"/>
      <c r="L499" s="60"/>
      <c r="M499" s="60"/>
      <c r="N499" s="60"/>
      <c r="O499" s="44"/>
    </row>
    <row r="500" spans="3:15" ht="20.100000000000001" customHeight="1" x14ac:dyDescent="0.25">
      <c r="C500" s="57"/>
      <c r="D500" s="60"/>
      <c r="E500" s="60"/>
      <c r="F500" s="71"/>
      <c r="G500" s="71"/>
      <c r="H500" s="60"/>
      <c r="I500" s="71"/>
      <c r="J500" s="71"/>
      <c r="K500" s="71"/>
      <c r="L500" s="60"/>
      <c r="M500" s="60"/>
      <c r="N500" s="60"/>
      <c r="O500" s="44"/>
    </row>
    <row r="501" spans="3:15" ht="20.100000000000001" customHeight="1" x14ac:dyDescent="0.25">
      <c r="C501" s="57"/>
      <c r="D501" s="60"/>
      <c r="E501" s="60"/>
      <c r="F501" s="71"/>
      <c r="G501" s="71"/>
      <c r="H501" s="60"/>
      <c r="I501" s="71"/>
      <c r="J501" s="71"/>
      <c r="K501" s="71"/>
      <c r="L501" s="60"/>
      <c r="M501" s="60"/>
      <c r="N501" s="60"/>
      <c r="O501" s="44"/>
    </row>
    <row r="502" spans="3:15" ht="20.100000000000001" customHeight="1" x14ac:dyDescent="0.25">
      <c r="C502" s="57"/>
      <c r="D502" s="60"/>
      <c r="E502" s="60"/>
      <c r="F502" s="71"/>
      <c r="G502" s="71"/>
      <c r="H502" s="60"/>
      <c r="I502" s="71"/>
      <c r="J502" s="71"/>
      <c r="K502" s="71"/>
      <c r="L502" s="60"/>
      <c r="M502" s="60"/>
      <c r="N502" s="60"/>
      <c r="O502" s="44"/>
    </row>
    <row r="503" spans="3:15" ht="20.100000000000001" customHeight="1" x14ac:dyDescent="0.25">
      <c r="C503" s="57"/>
      <c r="D503" s="60"/>
      <c r="E503" s="60"/>
      <c r="F503" s="71"/>
      <c r="G503" s="71"/>
      <c r="H503" s="60"/>
      <c r="I503" s="71"/>
      <c r="J503" s="71"/>
      <c r="K503" s="71"/>
      <c r="L503" s="60"/>
      <c r="M503" s="60"/>
      <c r="N503" s="60"/>
      <c r="O503" s="44"/>
    </row>
    <row r="504" spans="3:15" ht="20.100000000000001" customHeight="1" x14ac:dyDescent="0.25">
      <c r="C504" s="57"/>
      <c r="D504" s="60"/>
      <c r="E504" s="60"/>
      <c r="F504" s="71"/>
      <c r="G504" s="71"/>
      <c r="H504" s="60"/>
      <c r="I504" s="71"/>
      <c r="J504" s="71"/>
      <c r="K504" s="71"/>
      <c r="L504" s="60"/>
      <c r="M504" s="60"/>
      <c r="N504" s="60"/>
      <c r="O504" s="44"/>
    </row>
    <row r="505" spans="3:15" ht="20.100000000000001" customHeight="1" x14ac:dyDescent="0.25">
      <c r="C505" s="57"/>
      <c r="D505" s="60"/>
      <c r="E505" s="60"/>
      <c r="F505" s="71"/>
      <c r="G505" s="71"/>
      <c r="H505" s="60"/>
      <c r="I505" s="71"/>
      <c r="J505" s="71"/>
      <c r="K505" s="71"/>
      <c r="L505" s="60"/>
      <c r="M505" s="60"/>
      <c r="N505" s="60"/>
      <c r="O505" s="44"/>
    </row>
    <row r="506" spans="3:15" ht="20.100000000000001" customHeight="1" x14ac:dyDescent="0.25">
      <c r="C506" s="57"/>
      <c r="D506" s="60"/>
      <c r="E506" s="60"/>
      <c r="F506" s="71"/>
      <c r="G506" s="71"/>
      <c r="H506" s="60"/>
      <c r="I506" s="71"/>
      <c r="J506" s="71"/>
      <c r="K506" s="71"/>
      <c r="L506" s="60"/>
      <c r="M506" s="60"/>
      <c r="N506" s="60"/>
      <c r="O506" s="44"/>
    </row>
    <row r="507" spans="3:15" ht="20.100000000000001" customHeight="1" x14ac:dyDescent="0.25">
      <c r="C507" s="57"/>
      <c r="D507" s="60"/>
      <c r="E507" s="60"/>
      <c r="F507" s="71"/>
      <c r="G507" s="71"/>
      <c r="H507" s="60"/>
      <c r="I507" s="71"/>
      <c r="J507" s="71"/>
      <c r="K507" s="71"/>
      <c r="L507" s="60"/>
      <c r="M507" s="60"/>
      <c r="N507" s="60"/>
      <c r="O507" s="44"/>
    </row>
    <row r="508" spans="3:15" ht="20.100000000000001" customHeight="1" x14ac:dyDescent="0.25">
      <c r="C508" s="57"/>
      <c r="D508" s="60"/>
      <c r="E508" s="60"/>
      <c r="F508" s="71"/>
      <c r="G508" s="71"/>
      <c r="H508" s="60"/>
      <c r="I508" s="71"/>
      <c r="J508" s="71"/>
      <c r="K508" s="71"/>
      <c r="L508" s="60"/>
      <c r="M508" s="60"/>
      <c r="N508" s="60"/>
      <c r="O508" s="44"/>
    </row>
  </sheetData>
  <conditionalFormatting sqref="C9:C508">
    <cfRule type="expression" dxfId="5" priority="1">
      <formula>AND(C9&lt;&gt;"",COUNTIF($C$9:$C$508,C9)&gt;1)</formula>
    </cfRule>
  </conditionalFormatting>
  <dataValidations count="5">
    <dataValidation type="list" errorStyle="warning" allowBlank="1" showInputMessage="1" showErrorMessage="1" errorTitle="Unusual scale" error="The usual scales are 1, 1000 and 1000000. Keep this value?" promptTitle="Amount scale" prompt="1 = units, 1000 = thousands, 1000000 = millions of the reporting currency." sqref="D4" xr:uid="{00000000-0002-0000-0B00-000000000000}">
      <formula1>"1,1000,1000000"</formula1>
    </dataValidation>
    <dataValidation type="decimal" operator="greaterThanOrEqual" allowBlank="1" showInputMessage="1" showErrorMessage="1" errorTitle="Invalid tolerance" error="Enter an amount of zero or more." promptTitle="Absolute tolerance" prompt="Largest difference, in reporting-currency units, that still matches." sqref="D5" xr:uid="{00000000-0002-0000-0B00-000001000000}">
      <formula1>0</formula1>
    </dataValidation>
    <dataValidation type="decimal" operator="greaterThanOrEqual" allowBlank="1" showInputMessage="1" showErrorMessage="1" errorTitle="Invalid tolerance" error="Enter a number of zero or more." promptTitle="Relative tolerance" prompt="Largest difference as a share of the bank figure that still matches, for example 0.01% (0.0001)." sqref="D6" xr:uid="{00000000-0002-0000-0B00-000002000000}">
      <formula1>0</formula1>
    </dataValidation>
    <dataValidation type="custom" errorStyle="warning" allowBlank="1" showInputMessage="1" showErrorMessage="1" errorTitle="Duplicate ID" error="This Trade ID is already listed. Keep it? No row with this ID will be compared." promptTitle="Trade ID" prompt="The Trade ID of the leg, as on Trades. A repeated ID makes every row with it DUPLICATE: none is compared." sqref="C9:C508" xr:uid="{00000000-0002-0000-0B00-000003000000}">
      <formula1>COUNTIF($C$9:$C$508,C9)=1</formula1>
    </dataValidation>
    <dataValidation type="custom" allowBlank="1" showInputMessage="1" showErrorMessage="1" errorTitle="Invalid figure" error="Enter a number, or leave the cell blank." promptTitle="Bank figure" prompt="The bank's figure; amounts in the scale above, the others as they are. Blank = not compared." sqref="D9:N508" xr:uid="{00000000-0002-0000-0B00-000004000000}">
      <formula1>ISNUMBER(D9)</formula1>
    </dataValidation>
  </dataValidations>
  <pageMargins left="0.4" right="0.4" top="0.5" bottom="0.5" header="0.3" footer="0.3"/>
  <pageSetup paperSize="9"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TradeReconciliation">
    <tabColor rgb="FF2E75B6"/>
    <pageSetUpPr fitToPage="1"/>
  </sheetPr>
  <dimension ref="B1:O73"/>
  <sheetViews>
    <sheetView showGridLines="0" zoomScale="90" zoomScaleNormal="90" workbookViewId="0">
      <pane xSplit="3" ySplit="6" topLeftCell="D7" activePane="bottomRight" state="frozen"/>
      <selection pane="topRight" activeCell="D3" sqref="D3"/>
      <selection pane="bottomLeft" activeCell="C7" sqref="C7"/>
      <selection pane="bottomRight" activeCell="J15" sqref="J15"/>
    </sheetView>
  </sheetViews>
  <sheetFormatPr defaultRowHeight="15" x14ac:dyDescent="0.25"/>
  <cols>
    <col min="1" max="2" width="4" customWidth="1"/>
    <col min="3" max="3" width="16.75" style="6" customWidth="1"/>
    <col min="4" max="4" width="7.75" style="9" customWidth="1"/>
    <col min="5" max="5" width="14.75" style="6" customWidth="1"/>
    <col min="6" max="6" width="9.75" style="8" customWidth="1"/>
    <col min="7" max="7" width="14.75" style="6" customWidth="1"/>
    <col min="8" max="8" width="26.75" style="6" customWidth="1"/>
    <col min="9" max="11" width="16.75" style="10" customWidth="1"/>
    <col min="12" max="12" width="12.75" style="15" customWidth="1"/>
    <col min="13" max="13" width="22.75" style="6" customWidth="1"/>
    <col min="14" max="14" width="80.75" style="6" customWidth="1"/>
    <col min="15" max="15" width="18.75" style="6" customWidth="1"/>
  </cols>
  <sheetData>
    <row r="1" spans="2:15" ht="24" customHeight="1" x14ac:dyDescent="0.25">
      <c r="B1" s="24" t="s">
        <v>0</v>
      </c>
      <c r="C1" s="25"/>
      <c r="D1" s="26"/>
      <c r="E1" s="63"/>
      <c r="F1" s="63"/>
      <c r="G1" s="63"/>
      <c r="H1" s="63"/>
      <c r="I1" s="63"/>
      <c r="J1" s="63"/>
      <c r="K1" s="63"/>
      <c r="L1" s="63"/>
      <c r="M1" s="63"/>
      <c r="N1" s="63"/>
      <c r="O1" s="63"/>
    </row>
    <row r="2" spans="2:15" ht="26.1" customHeight="1" x14ac:dyDescent="0.25">
      <c r="B2" s="28" t="s">
        <v>899</v>
      </c>
      <c r="C2" s="29"/>
      <c r="D2" s="30"/>
      <c r="E2" s="65"/>
      <c r="F2" s="65"/>
      <c r="G2" s="65"/>
      <c r="H2" s="65"/>
      <c r="I2" s="65"/>
      <c r="J2" s="65"/>
      <c r="K2" s="65"/>
      <c r="L2" s="65"/>
      <c r="M2" s="65"/>
      <c r="N2" s="65"/>
      <c r="O2" s="65"/>
    </row>
    <row r="3" spans="2:15" ht="21" x14ac:dyDescent="0.25">
      <c r="C3" s="1"/>
    </row>
    <row r="4" spans="2:15" x14ac:dyDescent="0.25">
      <c r="C4" s="13" t="s">
        <v>907</v>
      </c>
    </row>
    <row r="5" spans="2:15" x14ac:dyDescent="0.25">
      <c r="C5" s="13" t="str" cm="1">
        <f t="array" ref="C5">TradeReconciliationStatusText(SACCR_TradeReconInputs,SACCR_RunInputs,BankTrades!$1:$1048576,NettingSets!$C:$S,Trades!$C:$AC,Params!$1:$1048576)</f>
        <v>No reconciliation: enter bank figures on BankTrades and press Run SA-CCR (on Results or Trades).</v>
      </c>
    </row>
    <row r="6" spans="2:15" ht="42" customHeight="1" x14ac:dyDescent="0.25">
      <c r="C6" s="127" t="s">
        <v>281</v>
      </c>
      <c r="D6" s="128" t="s">
        <v>883</v>
      </c>
      <c r="E6" s="128" t="s">
        <v>233</v>
      </c>
      <c r="F6" s="128" t="s">
        <v>153</v>
      </c>
      <c r="G6" s="128" t="s">
        <v>886</v>
      </c>
      <c r="H6" s="128" t="s">
        <v>887</v>
      </c>
      <c r="I6" s="128" t="s">
        <v>888</v>
      </c>
      <c r="J6" s="128" t="s">
        <v>889</v>
      </c>
      <c r="K6" s="128" t="s">
        <v>890</v>
      </c>
      <c r="L6" s="128" t="s">
        <v>891</v>
      </c>
      <c r="M6" s="128" t="s">
        <v>499</v>
      </c>
      <c r="N6" s="127" t="s">
        <v>532</v>
      </c>
      <c r="O6" s="14" t="s">
        <v>814</v>
      </c>
    </row>
    <row r="7" spans="2:15" x14ac:dyDescent="0.25">
      <c r="C7" s="112"/>
      <c r="E7" s="112"/>
      <c r="F7" s="113"/>
      <c r="G7" s="112"/>
      <c r="H7" s="112"/>
      <c r="I7" s="120"/>
      <c r="J7" s="120"/>
      <c r="K7" s="120"/>
      <c r="L7" s="17"/>
      <c r="M7" s="112"/>
      <c r="N7" s="112"/>
      <c r="O7" s="112"/>
    </row>
    <row r="8" spans="2:15" x14ac:dyDescent="0.25">
      <c r="C8" s="112"/>
      <c r="E8" s="112"/>
      <c r="F8" s="113"/>
      <c r="G8" s="112"/>
      <c r="H8" s="112"/>
      <c r="I8" s="120"/>
      <c r="J8" s="120"/>
      <c r="K8" s="120"/>
      <c r="L8" s="17"/>
      <c r="M8" s="112"/>
      <c r="N8" s="112"/>
      <c r="O8" s="112"/>
    </row>
    <row r="9" spans="2:15" x14ac:dyDescent="0.25">
      <c r="C9" s="112"/>
      <c r="E9" s="112"/>
      <c r="F9" s="113"/>
      <c r="G9" s="112"/>
      <c r="H9" s="112"/>
      <c r="I9" s="120"/>
      <c r="J9" s="120"/>
      <c r="K9" s="120"/>
      <c r="L9" s="17"/>
      <c r="M9" s="112"/>
      <c r="N9" s="112"/>
      <c r="O9" s="112"/>
    </row>
    <row r="10" spans="2:15" x14ac:dyDescent="0.25">
      <c r="C10" s="112"/>
      <c r="E10" s="112"/>
      <c r="F10" s="113"/>
      <c r="G10" s="112"/>
      <c r="H10" s="112"/>
      <c r="I10" s="120"/>
      <c r="J10" s="120"/>
      <c r="K10" s="120"/>
      <c r="L10" s="17"/>
      <c r="M10" s="112"/>
      <c r="N10" s="112"/>
      <c r="O10" s="112"/>
    </row>
    <row r="11" spans="2:15" x14ac:dyDescent="0.25">
      <c r="C11" s="112"/>
      <c r="E11" s="112"/>
      <c r="F11" s="113"/>
      <c r="G11" s="112"/>
      <c r="H11" s="112"/>
      <c r="I11" s="120"/>
      <c r="J11" s="120"/>
      <c r="K11" s="120"/>
      <c r="L11" s="17"/>
      <c r="M11" s="112"/>
      <c r="N11" s="112"/>
      <c r="O11" s="112"/>
    </row>
    <row r="12" spans="2:15" x14ac:dyDescent="0.25">
      <c r="C12" s="112"/>
      <c r="E12" s="112"/>
      <c r="F12" s="113"/>
      <c r="G12" s="112"/>
      <c r="H12" s="112"/>
      <c r="I12" s="120"/>
      <c r="J12" s="120"/>
      <c r="K12" s="120"/>
      <c r="L12" s="17"/>
      <c r="M12" s="112"/>
      <c r="N12" s="112"/>
      <c r="O12" s="112"/>
    </row>
    <row r="13" spans="2:15" x14ac:dyDescent="0.25">
      <c r="C13" s="112"/>
      <c r="E13" s="112"/>
      <c r="F13" s="113"/>
      <c r="G13" s="112"/>
      <c r="H13" s="112"/>
      <c r="I13" s="120"/>
      <c r="J13" s="120"/>
      <c r="K13" s="120"/>
      <c r="L13" s="17"/>
      <c r="M13" s="112"/>
      <c r="N13" s="112"/>
      <c r="O13" s="112"/>
    </row>
    <row r="14" spans="2:15" x14ac:dyDescent="0.25">
      <c r="C14" s="112"/>
      <c r="E14" s="112"/>
      <c r="F14" s="113"/>
      <c r="G14" s="112"/>
      <c r="H14" s="112"/>
      <c r="I14" s="120"/>
      <c r="J14" s="120"/>
      <c r="K14" s="120"/>
      <c r="L14" s="17"/>
      <c r="M14" s="112"/>
      <c r="N14" s="112"/>
      <c r="O14" s="112"/>
    </row>
    <row r="15" spans="2:15" x14ac:dyDescent="0.25">
      <c r="C15" s="112"/>
      <c r="E15" s="112"/>
      <c r="F15" s="113"/>
      <c r="G15" s="112"/>
      <c r="H15" s="112"/>
      <c r="I15" s="120"/>
      <c r="J15" s="120"/>
      <c r="K15" s="120"/>
      <c r="L15" s="17"/>
      <c r="M15" s="112"/>
      <c r="N15" s="112"/>
      <c r="O15" s="112"/>
    </row>
    <row r="16" spans="2:15" x14ac:dyDescent="0.25">
      <c r="C16" s="112"/>
      <c r="E16" s="112"/>
      <c r="F16" s="113"/>
      <c r="G16" s="112"/>
      <c r="H16" s="112"/>
      <c r="I16" s="120"/>
      <c r="J16" s="120"/>
      <c r="K16" s="120"/>
      <c r="L16" s="17"/>
      <c r="M16" s="112"/>
      <c r="N16" s="112"/>
      <c r="O16" s="112"/>
    </row>
    <row r="17" spans="3:15" x14ac:dyDescent="0.25">
      <c r="C17" s="112"/>
      <c r="E17" s="112"/>
      <c r="F17" s="113"/>
      <c r="G17" s="112"/>
      <c r="H17" s="112"/>
      <c r="I17" s="120"/>
      <c r="J17" s="120"/>
      <c r="K17" s="120"/>
      <c r="L17" s="17"/>
      <c r="M17" s="112"/>
      <c r="N17" s="112"/>
      <c r="O17" s="112"/>
    </row>
    <row r="18" spans="3:15" x14ac:dyDescent="0.25">
      <c r="C18" s="112"/>
      <c r="E18" s="112"/>
      <c r="F18" s="113"/>
      <c r="G18" s="112"/>
      <c r="H18" s="112"/>
      <c r="I18" s="120"/>
      <c r="J18" s="120"/>
      <c r="K18" s="120"/>
      <c r="L18" s="17"/>
      <c r="M18" s="112"/>
      <c r="N18" s="112"/>
      <c r="O18" s="112"/>
    </row>
    <row r="19" spans="3:15" x14ac:dyDescent="0.25">
      <c r="C19" s="112"/>
      <c r="E19" s="112"/>
      <c r="F19" s="113"/>
      <c r="G19" s="112"/>
      <c r="H19" s="112"/>
      <c r="I19" s="120"/>
      <c r="J19" s="120"/>
      <c r="K19" s="120"/>
      <c r="L19" s="17"/>
      <c r="M19" s="112"/>
      <c r="N19" s="112"/>
      <c r="O19" s="112"/>
    </row>
    <row r="20" spans="3:15" x14ac:dyDescent="0.25">
      <c r="C20" s="112"/>
      <c r="E20" s="112"/>
      <c r="F20" s="113"/>
      <c r="G20" s="112"/>
      <c r="H20" s="112"/>
      <c r="I20" s="120"/>
      <c r="J20" s="120"/>
      <c r="K20" s="120"/>
      <c r="L20" s="17"/>
      <c r="M20" s="112"/>
      <c r="N20" s="112"/>
      <c r="O20" s="112"/>
    </row>
    <row r="21" spans="3:15" x14ac:dyDescent="0.25">
      <c r="C21" s="112"/>
      <c r="E21" s="112"/>
      <c r="F21" s="113"/>
      <c r="G21" s="112"/>
      <c r="H21" s="112"/>
      <c r="I21" s="120"/>
      <c r="J21" s="120"/>
      <c r="K21" s="120"/>
      <c r="L21" s="17"/>
      <c r="M21" s="112"/>
      <c r="N21" s="112"/>
      <c r="O21" s="112"/>
    </row>
    <row r="22" spans="3:15" x14ac:dyDescent="0.25">
      <c r="C22" s="112"/>
      <c r="E22" s="112"/>
      <c r="F22" s="113"/>
      <c r="G22" s="112"/>
      <c r="H22" s="112"/>
      <c r="I22" s="120"/>
      <c r="J22" s="120"/>
      <c r="K22" s="120"/>
      <c r="L22" s="17"/>
      <c r="M22" s="112"/>
      <c r="N22" s="112"/>
      <c r="O22" s="112"/>
    </row>
    <row r="23" spans="3:15" x14ac:dyDescent="0.25">
      <c r="C23" s="112"/>
      <c r="E23" s="112"/>
      <c r="F23" s="113"/>
      <c r="G23" s="112"/>
      <c r="H23" s="112"/>
      <c r="I23" s="120"/>
      <c r="J23" s="120"/>
      <c r="K23" s="120"/>
      <c r="L23" s="17"/>
      <c r="M23" s="112"/>
      <c r="N23" s="112"/>
      <c r="O23" s="112"/>
    </row>
    <row r="24" spans="3:15" x14ac:dyDescent="0.25">
      <c r="C24" s="112"/>
      <c r="E24" s="112"/>
      <c r="F24" s="113"/>
      <c r="G24" s="112"/>
      <c r="H24" s="112"/>
      <c r="I24" s="120"/>
      <c r="J24" s="120"/>
      <c r="K24" s="120"/>
      <c r="L24" s="17"/>
      <c r="M24" s="112"/>
      <c r="N24" s="112"/>
      <c r="O24" s="112"/>
    </row>
    <row r="25" spans="3:15" x14ac:dyDescent="0.25">
      <c r="C25" s="112"/>
      <c r="E25" s="112"/>
      <c r="F25" s="113"/>
      <c r="G25" s="112"/>
      <c r="H25" s="112"/>
      <c r="I25" s="120"/>
      <c r="J25" s="120"/>
      <c r="K25" s="120"/>
      <c r="L25" s="17"/>
      <c r="M25" s="112"/>
      <c r="N25" s="112"/>
      <c r="O25" s="112"/>
    </row>
    <row r="26" spans="3:15" x14ac:dyDescent="0.25">
      <c r="C26" s="112"/>
      <c r="E26" s="112"/>
      <c r="F26" s="113"/>
      <c r="G26" s="112"/>
      <c r="H26" s="112"/>
      <c r="I26" s="120"/>
      <c r="J26" s="120"/>
      <c r="K26" s="120"/>
      <c r="L26" s="17"/>
      <c r="M26" s="112"/>
      <c r="N26" s="112"/>
      <c r="O26" s="112"/>
    </row>
    <row r="27" spans="3:15" x14ac:dyDescent="0.25">
      <c r="C27" s="112"/>
      <c r="E27" s="112"/>
      <c r="F27" s="113"/>
      <c r="G27" s="112"/>
      <c r="H27" s="112"/>
      <c r="I27" s="120"/>
      <c r="J27" s="120"/>
      <c r="K27" s="120"/>
      <c r="L27" s="17"/>
      <c r="M27" s="112"/>
      <c r="N27" s="112"/>
      <c r="O27" s="112"/>
    </row>
    <row r="28" spans="3:15" x14ac:dyDescent="0.25">
      <c r="C28" s="112"/>
      <c r="E28" s="112"/>
      <c r="F28" s="113"/>
      <c r="G28" s="112"/>
      <c r="H28" s="112"/>
      <c r="I28" s="120"/>
      <c r="J28" s="120"/>
      <c r="K28" s="120"/>
      <c r="L28" s="17"/>
      <c r="M28" s="112"/>
      <c r="N28" s="112"/>
      <c r="O28" s="112"/>
    </row>
    <row r="29" spans="3:15" x14ac:dyDescent="0.25">
      <c r="C29" s="112"/>
      <c r="E29" s="112"/>
      <c r="F29" s="113"/>
      <c r="G29" s="112"/>
      <c r="H29" s="112"/>
      <c r="I29" s="120"/>
      <c r="J29" s="120"/>
      <c r="K29" s="120"/>
      <c r="L29" s="17"/>
      <c r="M29" s="112"/>
      <c r="N29" s="112"/>
      <c r="O29" s="112"/>
    </row>
    <row r="30" spans="3:15" x14ac:dyDescent="0.25">
      <c r="C30" s="112"/>
      <c r="E30" s="112"/>
      <c r="F30" s="113"/>
      <c r="G30" s="112"/>
      <c r="H30" s="112"/>
      <c r="I30" s="120"/>
      <c r="J30" s="120"/>
      <c r="K30" s="120"/>
      <c r="L30" s="17"/>
      <c r="M30" s="112"/>
      <c r="N30" s="112"/>
      <c r="O30" s="112"/>
    </row>
    <row r="31" spans="3:15" x14ac:dyDescent="0.25">
      <c r="C31" s="112"/>
      <c r="E31" s="112"/>
      <c r="F31" s="113"/>
      <c r="G31" s="112"/>
      <c r="H31" s="112"/>
      <c r="I31" s="120"/>
      <c r="J31" s="120"/>
      <c r="K31" s="120"/>
      <c r="L31" s="17"/>
      <c r="M31" s="112"/>
      <c r="N31" s="112"/>
      <c r="O31" s="112"/>
    </row>
    <row r="32" spans="3:15" x14ac:dyDescent="0.25">
      <c r="C32" s="112"/>
      <c r="E32" s="112"/>
      <c r="F32" s="113"/>
      <c r="G32" s="112"/>
      <c r="H32" s="112"/>
      <c r="I32" s="120"/>
      <c r="J32" s="120"/>
      <c r="K32" s="120"/>
      <c r="L32" s="17"/>
      <c r="M32" s="112"/>
      <c r="N32" s="112"/>
      <c r="O32" s="112"/>
    </row>
    <row r="33" spans="3:15" x14ac:dyDescent="0.25">
      <c r="C33" s="112"/>
      <c r="E33" s="112"/>
      <c r="F33" s="113"/>
      <c r="G33" s="112"/>
      <c r="H33" s="112"/>
      <c r="I33" s="120"/>
      <c r="J33" s="120"/>
      <c r="K33" s="120"/>
      <c r="L33" s="17"/>
      <c r="M33" s="112"/>
      <c r="N33" s="112"/>
      <c r="O33" s="112"/>
    </row>
    <row r="34" spans="3:15" x14ac:dyDescent="0.25">
      <c r="C34" s="112"/>
      <c r="E34" s="112"/>
      <c r="F34" s="113"/>
      <c r="G34" s="112"/>
      <c r="H34" s="112"/>
      <c r="I34" s="120"/>
      <c r="J34" s="120"/>
      <c r="K34" s="120"/>
      <c r="L34" s="17"/>
      <c r="M34" s="112"/>
      <c r="N34" s="112"/>
      <c r="O34" s="112"/>
    </row>
    <row r="35" spans="3:15" x14ac:dyDescent="0.25">
      <c r="C35" s="112"/>
      <c r="E35" s="112"/>
      <c r="F35" s="113"/>
      <c r="G35" s="112"/>
      <c r="H35" s="112"/>
      <c r="I35" s="120"/>
      <c r="J35" s="120"/>
      <c r="K35" s="120"/>
      <c r="L35" s="17"/>
      <c r="M35" s="112"/>
      <c r="N35" s="112"/>
      <c r="O35" s="112"/>
    </row>
    <row r="36" spans="3:15" x14ac:dyDescent="0.25">
      <c r="C36" s="112"/>
      <c r="E36" s="112"/>
      <c r="F36" s="113"/>
      <c r="G36" s="112"/>
      <c r="H36" s="112"/>
      <c r="I36" s="120"/>
      <c r="J36" s="120"/>
      <c r="K36" s="120"/>
      <c r="L36" s="17"/>
      <c r="M36" s="112"/>
      <c r="N36" s="112"/>
      <c r="O36" s="112"/>
    </row>
    <row r="37" spans="3:15" x14ac:dyDescent="0.25">
      <c r="C37" s="112"/>
      <c r="E37" s="112"/>
      <c r="F37" s="113"/>
      <c r="G37" s="112"/>
      <c r="H37" s="112"/>
      <c r="I37" s="120"/>
      <c r="J37" s="120"/>
      <c r="K37" s="120"/>
      <c r="L37" s="17"/>
      <c r="M37" s="112"/>
      <c r="N37" s="112"/>
      <c r="O37" s="112"/>
    </row>
    <row r="38" spans="3:15" x14ac:dyDescent="0.25">
      <c r="C38" s="112"/>
      <c r="E38" s="112"/>
      <c r="F38" s="113"/>
      <c r="G38" s="112"/>
      <c r="H38" s="112"/>
      <c r="I38" s="120"/>
      <c r="J38" s="120"/>
      <c r="K38" s="120"/>
      <c r="L38" s="17"/>
      <c r="M38" s="112"/>
      <c r="N38" s="112"/>
      <c r="O38" s="112"/>
    </row>
    <row r="39" spans="3:15" x14ac:dyDescent="0.25">
      <c r="C39" s="112"/>
      <c r="E39" s="112"/>
      <c r="F39" s="113"/>
      <c r="G39" s="112"/>
      <c r="H39" s="112"/>
      <c r="I39" s="120"/>
      <c r="J39" s="120"/>
      <c r="K39" s="120"/>
      <c r="L39" s="17"/>
      <c r="M39" s="112"/>
      <c r="N39" s="112"/>
      <c r="O39" s="112"/>
    </row>
    <row r="40" spans="3:15" x14ac:dyDescent="0.25">
      <c r="C40" s="112"/>
      <c r="E40" s="112"/>
      <c r="F40" s="113"/>
      <c r="G40" s="112"/>
      <c r="H40" s="112"/>
      <c r="I40" s="120"/>
      <c r="J40" s="120"/>
      <c r="K40" s="120"/>
      <c r="L40" s="17"/>
      <c r="M40" s="112"/>
      <c r="N40" s="112"/>
      <c r="O40" s="112"/>
    </row>
    <row r="41" spans="3:15" x14ac:dyDescent="0.25">
      <c r="C41" s="112"/>
      <c r="E41" s="112"/>
      <c r="F41" s="113"/>
      <c r="G41" s="112"/>
      <c r="H41" s="112"/>
      <c r="I41" s="120"/>
      <c r="J41" s="120"/>
      <c r="K41" s="120"/>
      <c r="L41" s="17"/>
      <c r="M41" s="112"/>
      <c r="N41" s="112"/>
      <c r="O41" s="112"/>
    </row>
    <row r="42" spans="3:15" x14ac:dyDescent="0.25">
      <c r="C42" s="112"/>
      <c r="E42" s="112"/>
      <c r="F42" s="113"/>
      <c r="G42" s="112"/>
      <c r="H42" s="112"/>
      <c r="I42" s="120"/>
      <c r="J42" s="120"/>
      <c r="K42" s="120"/>
      <c r="L42" s="17"/>
      <c r="M42" s="112"/>
      <c r="N42" s="112"/>
      <c r="O42" s="112"/>
    </row>
    <row r="43" spans="3:15" x14ac:dyDescent="0.25">
      <c r="C43" s="112"/>
      <c r="E43" s="112"/>
      <c r="F43" s="113"/>
      <c r="G43" s="112"/>
      <c r="H43" s="112"/>
      <c r="I43" s="120"/>
      <c r="J43" s="120"/>
      <c r="K43" s="120"/>
      <c r="L43" s="17"/>
      <c r="M43" s="112"/>
      <c r="N43" s="112"/>
      <c r="O43" s="112"/>
    </row>
    <row r="44" spans="3:15" x14ac:dyDescent="0.25">
      <c r="C44" s="112"/>
      <c r="E44" s="112"/>
      <c r="F44" s="113"/>
      <c r="G44" s="112"/>
      <c r="H44" s="112"/>
      <c r="I44" s="120"/>
      <c r="J44" s="120"/>
      <c r="K44" s="120"/>
      <c r="L44" s="17"/>
      <c r="M44" s="112"/>
      <c r="N44" s="112"/>
      <c r="O44" s="112"/>
    </row>
    <row r="45" spans="3:15" x14ac:dyDescent="0.25">
      <c r="C45" s="112"/>
      <c r="E45" s="112"/>
      <c r="F45" s="113"/>
      <c r="G45" s="112"/>
      <c r="H45" s="112"/>
      <c r="I45" s="120"/>
      <c r="J45" s="120"/>
      <c r="K45" s="120"/>
      <c r="L45" s="17"/>
      <c r="M45" s="112"/>
      <c r="N45" s="112"/>
      <c r="O45" s="112"/>
    </row>
    <row r="46" spans="3:15" x14ac:dyDescent="0.25">
      <c r="C46" s="112"/>
      <c r="E46" s="112"/>
      <c r="F46" s="113"/>
      <c r="G46" s="112"/>
      <c r="H46" s="112"/>
      <c r="I46" s="120"/>
      <c r="J46" s="120"/>
      <c r="K46" s="120"/>
      <c r="L46" s="17"/>
      <c r="M46" s="112"/>
      <c r="N46" s="112"/>
      <c r="O46" s="112"/>
    </row>
    <row r="47" spans="3:15" x14ac:dyDescent="0.25">
      <c r="C47" s="112"/>
      <c r="E47" s="112"/>
      <c r="F47" s="113"/>
      <c r="G47" s="112"/>
      <c r="H47" s="112"/>
      <c r="I47" s="120"/>
      <c r="J47" s="120"/>
      <c r="K47" s="120"/>
      <c r="L47" s="17"/>
      <c r="M47" s="112"/>
      <c r="N47" s="112"/>
      <c r="O47" s="112"/>
    </row>
    <row r="48" spans="3:15" x14ac:dyDescent="0.25">
      <c r="C48" s="112"/>
      <c r="E48" s="112"/>
      <c r="F48" s="113"/>
      <c r="G48" s="112"/>
      <c r="H48" s="112"/>
      <c r="I48" s="120"/>
      <c r="J48" s="120"/>
      <c r="K48" s="120"/>
      <c r="L48" s="17"/>
      <c r="M48" s="112"/>
      <c r="N48" s="112"/>
      <c r="O48" s="112"/>
    </row>
    <row r="49" spans="3:15" x14ac:dyDescent="0.25">
      <c r="C49" s="112"/>
      <c r="E49" s="112"/>
      <c r="F49" s="113"/>
      <c r="G49" s="112"/>
      <c r="H49" s="112"/>
      <c r="I49" s="120"/>
      <c r="J49" s="120"/>
      <c r="K49" s="120"/>
      <c r="L49" s="17"/>
      <c r="M49" s="112"/>
      <c r="N49" s="112"/>
      <c r="O49" s="112"/>
    </row>
    <row r="50" spans="3:15" x14ac:dyDescent="0.25">
      <c r="C50" s="112"/>
      <c r="E50" s="112"/>
      <c r="F50" s="113"/>
      <c r="G50" s="112"/>
      <c r="H50" s="112"/>
      <c r="I50" s="120"/>
      <c r="J50" s="120"/>
      <c r="K50" s="120"/>
      <c r="L50" s="17"/>
      <c r="M50" s="112"/>
      <c r="N50" s="112"/>
      <c r="O50" s="112"/>
    </row>
    <row r="51" spans="3:15" x14ac:dyDescent="0.25">
      <c r="C51" s="112"/>
      <c r="E51" s="112"/>
      <c r="F51" s="113"/>
      <c r="G51" s="112"/>
      <c r="H51" s="112"/>
      <c r="I51" s="120"/>
      <c r="J51" s="120"/>
      <c r="K51" s="120"/>
      <c r="L51" s="17"/>
      <c r="M51" s="112"/>
      <c r="N51" s="112"/>
      <c r="O51" s="112"/>
    </row>
    <row r="52" spans="3:15" x14ac:dyDescent="0.25">
      <c r="C52" s="112"/>
      <c r="E52" s="112"/>
      <c r="F52" s="113"/>
      <c r="G52" s="112"/>
      <c r="H52" s="112"/>
      <c r="I52" s="120"/>
      <c r="J52" s="120"/>
      <c r="K52" s="120"/>
      <c r="L52" s="17"/>
      <c r="M52" s="112"/>
      <c r="N52" s="112"/>
      <c r="O52" s="112"/>
    </row>
    <row r="53" spans="3:15" x14ac:dyDescent="0.25">
      <c r="C53" s="112"/>
      <c r="E53" s="112"/>
      <c r="F53" s="113"/>
      <c r="G53" s="112"/>
      <c r="H53" s="112"/>
      <c r="I53" s="120"/>
      <c r="J53" s="120"/>
      <c r="K53" s="120"/>
      <c r="L53" s="17"/>
      <c r="M53" s="112"/>
      <c r="N53" s="112"/>
      <c r="O53" s="112"/>
    </row>
    <row r="54" spans="3:15" x14ac:dyDescent="0.25">
      <c r="C54" s="112"/>
      <c r="E54" s="112"/>
      <c r="F54" s="113"/>
      <c r="G54" s="112"/>
      <c r="H54" s="112"/>
      <c r="I54" s="120"/>
      <c r="J54" s="120"/>
      <c r="K54" s="120"/>
      <c r="L54" s="17"/>
      <c r="M54" s="112"/>
      <c r="N54" s="112"/>
      <c r="O54" s="112"/>
    </row>
    <row r="55" spans="3:15" x14ac:dyDescent="0.25">
      <c r="C55" s="112"/>
      <c r="E55" s="112"/>
      <c r="F55" s="113"/>
      <c r="G55" s="112"/>
      <c r="H55" s="112"/>
      <c r="I55" s="120"/>
      <c r="J55" s="120"/>
      <c r="K55" s="120"/>
      <c r="L55" s="17"/>
      <c r="M55" s="112"/>
      <c r="N55" s="112"/>
      <c r="O55" s="112"/>
    </row>
    <row r="56" spans="3:15" x14ac:dyDescent="0.25">
      <c r="C56" s="112"/>
      <c r="E56" s="112"/>
      <c r="F56" s="113"/>
      <c r="G56" s="112"/>
      <c r="H56" s="112"/>
      <c r="I56" s="120"/>
      <c r="J56" s="120"/>
      <c r="K56" s="120"/>
      <c r="L56" s="17"/>
      <c r="M56" s="112"/>
      <c r="N56" s="112"/>
      <c r="O56" s="112"/>
    </row>
    <row r="57" spans="3:15" x14ac:dyDescent="0.25">
      <c r="C57" s="112"/>
      <c r="E57" s="112"/>
      <c r="F57" s="113"/>
      <c r="G57" s="112"/>
      <c r="H57" s="112"/>
      <c r="I57" s="120"/>
      <c r="J57" s="120"/>
      <c r="K57" s="120"/>
      <c r="L57" s="17"/>
      <c r="M57" s="112"/>
      <c r="N57" s="112"/>
      <c r="O57" s="112"/>
    </row>
    <row r="58" spans="3:15" x14ac:dyDescent="0.25">
      <c r="C58" s="112"/>
      <c r="E58" s="112"/>
      <c r="F58" s="113"/>
      <c r="G58" s="112"/>
      <c r="H58" s="112"/>
      <c r="I58" s="120"/>
      <c r="J58" s="120"/>
      <c r="K58" s="120"/>
      <c r="L58" s="17"/>
      <c r="M58" s="112"/>
      <c r="N58" s="112"/>
      <c r="O58" s="112"/>
    </row>
    <row r="59" spans="3:15" x14ac:dyDescent="0.25">
      <c r="C59" s="112"/>
      <c r="E59" s="112"/>
      <c r="F59" s="113"/>
      <c r="G59" s="112"/>
      <c r="H59" s="112"/>
      <c r="I59" s="120"/>
      <c r="J59" s="120"/>
      <c r="K59" s="120"/>
      <c r="L59" s="17"/>
      <c r="M59" s="112"/>
      <c r="N59" s="112"/>
      <c r="O59" s="112"/>
    </row>
    <row r="60" spans="3:15" x14ac:dyDescent="0.25">
      <c r="C60" s="112"/>
      <c r="E60" s="112"/>
      <c r="F60" s="113"/>
      <c r="G60" s="112"/>
      <c r="H60" s="112"/>
      <c r="I60" s="120"/>
      <c r="J60" s="120"/>
      <c r="K60" s="120"/>
      <c r="L60" s="17"/>
      <c r="M60" s="112"/>
      <c r="N60" s="112"/>
      <c r="O60" s="112"/>
    </row>
    <row r="61" spans="3:15" x14ac:dyDescent="0.25">
      <c r="C61" s="112"/>
      <c r="E61" s="112"/>
      <c r="F61" s="113"/>
      <c r="G61" s="112"/>
      <c r="H61" s="112"/>
      <c r="I61" s="120"/>
      <c r="J61" s="120"/>
      <c r="K61" s="120"/>
      <c r="L61" s="17"/>
      <c r="M61" s="112"/>
      <c r="N61" s="112"/>
      <c r="O61" s="112"/>
    </row>
    <row r="62" spans="3:15" x14ac:dyDescent="0.25">
      <c r="C62" s="112"/>
      <c r="E62" s="112"/>
      <c r="F62" s="113"/>
      <c r="G62" s="112"/>
      <c r="H62" s="112"/>
      <c r="I62" s="120"/>
      <c r="J62" s="120"/>
      <c r="K62" s="120"/>
      <c r="L62" s="17"/>
      <c r="M62" s="112"/>
      <c r="N62" s="112"/>
      <c r="O62" s="112"/>
    </row>
    <row r="63" spans="3:15" x14ac:dyDescent="0.25">
      <c r="C63" s="112"/>
      <c r="E63" s="112"/>
      <c r="F63" s="113"/>
      <c r="G63" s="112"/>
      <c r="H63" s="112"/>
      <c r="I63" s="120"/>
      <c r="J63" s="120"/>
      <c r="K63" s="120"/>
      <c r="L63" s="17"/>
      <c r="M63" s="112"/>
      <c r="N63" s="112"/>
      <c r="O63" s="112"/>
    </row>
    <row r="64" spans="3:15" x14ac:dyDescent="0.25">
      <c r="C64" s="112"/>
      <c r="E64" s="112"/>
      <c r="F64" s="113"/>
      <c r="G64" s="112"/>
      <c r="H64" s="112"/>
      <c r="I64" s="120"/>
      <c r="J64" s="120"/>
      <c r="K64" s="120"/>
      <c r="L64" s="17"/>
      <c r="M64" s="112"/>
      <c r="N64" s="112"/>
      <c r="O64" s="112"/>
    </row>
    <row r="65" spans="3:15" x14ac:dyDescent="0.25">
      <c r="C65" s="112"/>
      <c r="E65" s="112"/>
      <c r="F65" s="113"/>
      <c r="G65" s="112"/>
      <c r="H65" s="112"/>
      <c r="I65" s="120"/>
      <c r="J65" s="120"/>
      <c r="K65" s="120"/>
      <c r="L65" s="17"/>
      <c r="M65" s="112"/>
      <c r="N65" s="112"/>
      <c r="O65" s="112"/>
    </row>
    <row r="66" spans="3:15" x14ac:dyDescent="0.25">
      <c r="C66" s="112"/>
      <c r="E66" s="112"/>
      <c r="F66" s="113"/>
      <c r="G66" s="112"/>
      <c r="H66" s="112"/>
      <c r="I66" s="120"/>
      <c r="J66" s="120"/>
      <c r="K66" s="120"/>
      <c r="L66" s="17"/>
      <c r="M66" s="112"/>
      <c r="N66" s="112"/>
      <c r="O66" s="112"/>
    </row>
    <row r="67" spans="3:15" x14ac:dyDescent="0.25">
      <c r="C67" s="112"/>
      <c r="E67" s="112"/>
      <c r="F67" s="113"/>
      <c r="G67" s="112"/>
      <c r="H67" s="112"/>
      <c r="I67" s="120"/>
      <c r="J67" s="120"/>
      <c r="K67" s="120"/>
      <c r="L67" s="17"/>
      <c r="M67" s="112"/>
      <c r="N67" s="112"/>
      <c r="O67" s="112"/>
    </row>
    <row r="68" spans="3:15" x14ac:dyDescent="0.25">
      <c r="C68" s="112"/>
      <c r="E68" s="112"/>
      <c r="F68" s="113"/>
      <c r="G68" s="112"/>
      <c r="H68" s="112"/>
      <c r="I68" s="120"/>
      <c r="J68" s="120"/>
      <c r="K68" s="120"/>
      <c r="L68" s="17"/>
      <c r="M68" s="112"/>
      <c r="N68" s="112"/>
      <c r="O68" s="112"/>
    </row>
    <row r="69" spans="3:15" x14ac:dyDescent="0.25">
      <c r="C69" s="112"/>
      <c r="E69" s="112"/>
      <c r="F69" s="113"/>
      <c r="G69" s="112"/>
      <c r="H69" s="112"/>
      <c r="I69" s="120"/>
      <c r="J69" s="120"/>
      <c r="K69" s="120"/>
      <c r="L69" s="17"/>
      <c r="M69" s="112"/>
      <c r="N69" s="112"/>
      <c r="O69" s="112"/>
    </row>
    <row r="70" spans="3:15" x14ac:dyDescent="0.25">
      <c r="C70" s="112"/>
      <c r="E70" s="112"/>
      <c r="F70" s="113"/>
      <c r="G70" s="112"/>
      <c r="H70" s="112"/>
      <c r="I70" s="120"/>
      <c r="J70" s="120"/>
      <c r="K70" s="120"/>
      <c r="L70" s="17"/>
      <c r="M70" s="112"/>
      <c r="N70" s="112"/>
      <c r="O70" s="112"/>
    </row>
    <row r="71" spans="3:15" x14ac:dyDescent="0.25">
      <c r="C71" s="112"/>
      <c r="E71" s="112"/>
      <c r="F71" s="113"/>
      <c r="G71" s="112"/>
      <c r="H71" s="112"/>
      <c r="I71" s="120"/>
      <c r="J71" s="120"/>
      <c r="K71" s="120"/>
      <c r="L71" s="17"/>
      <c r="M71" s="112"/>
      <c r="N71" s="112"/>
      <c r="O71" s="112"/>
    </row>
    <row r="72" spans="3:15" x14ac:dyDescent="0.25">
      <c r="C72" s="112"/>
      <c r="E72" s="112"/>
      <c r="F72" s="113"/>
      <c r="G72" s="112"/>
      <c r="H72" s="112"/>
      <c r="I72" s="120"/>
      <c r="J72" s="120"/>
      <c r="K72" s="120"/>
      <c r="L72" s="17"/>
      <c r="M72" s="112"/>
      <c r="N72" s="112"/>
      <c r="O72" s="112"/>
    </row>
    <row r="73" spans="3:15" x14ac:dyDescent="0.25">
      <c r="C73" s="112"/>
      <c r="E73" s="112"/>
      <c r="F73" s="113"/>
      <c r="G73" s="112"/>
      <c r="H73" s="112"/>
      <c r="I73" s="120"/>
      <c r="J73" s="120"/>
      <c r="K73" s="120"/>
      <c r="L73" s="17"/>
      <c r="M73" s="112"/>
      <c r="N73" s="112"/>
      <c r="O73" s="112"/>
    </row>
  </sheetData>
  <conditionalFormatting sqref="C5">
    <cfRule type="beginsWith" dxfId="4" priority="3" operator="beginsWith" text="OUT OF DATE">
      <formula>LEFT(C5,LEN("OUT OF DATE"))="OUT OF DATE"</formula>
    </cfRule>
  </conditionalFormatting>
  <conditionalFormatting sqref="M7:M100000">
    <cfRule type="cellIs" dxfId="3" priority="1" operator="equal">
      <formula>"MATCH"</formula>
    </cfRule>
    <cfRule type="expression" dxfId="2" priority="2">
      <formula>AND(M7&lt;&gt;"",M7&lt;&gt;"MATCH")</formula>
    </cfRule>
  </conditionalFormatting>
  <pageMargins left="0.4" right="0.4" top="0.5" bottom="0.5" header="0.3" footer="0.3"/>
  <pageSetup paperSize="9" fitToHeight="0" orientation="landscape"/>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TestCatalogue">
    <tabColor rgb="FF548235"/>
    <pageSetUpPr fitToPage="1"/>
  </sheetPr>
  <dimension ref="B1:AB40"/>
  <sheetViews>
    <sheetView showGridLines="0" zoomScale="90" zoomScaleNormal="90" workbookViewId="0">
      <pane xSplit="3" ySplit="6" topLeftCell="D7" activePane="bottomRight" state="frozen"/>
      <selection pane="topRight" activeCell="D3" sqref="D3"/>
      <selection pane="bottomLeft" activeCell="C7" sqref="C7"/>
      <selection pane="bottomRight" activeCell="H6" sqref="H6:Q6"/>
    </sheetView>
  </sheetViews>
  <sheetFormatPr defaultRowHeight="15" x14ac:dyDescent="0.25"/>
  <cols>
    <col min="1" max="2" width="4" customWidth="1"/>
    <col min="3" max="3" width="6.75" customWidth="1"/>
    <col min="4" max="4" width="16.75" customWidth="1"/>
    <col min="5" max="5" width="46.75" customWidth="1"/>
    <col min="6" max="6" width="30.75" customWidth="1"/>
    <col min="7" max="7" width="26.75" customWidth="1"/>
    <col min="8" max="8" width="8.75" customWidth="1"/>
    <col min="9" max="9" width="10.75" customWidth="1"/>
    <col min="10" max="10" width="14.75" customWidth="1"/>
    <col min="11" max="11" width="20.75" customWidth="1"/>
    <col min="12" max="12" width="18.75" customWidth="1"/>
    <col min="13" max="14" width="9.75" customWidth="1"/>
    <col min="15" max="15" width="18.75" customWidth="1"/>
    <col min="16" max="16" width="10.75" customWidth="1"/>
    <col min="17" max="17" width="8.75" customWidth="1"/>
    <col min="18" max="18" width="50.75" customWidth="1"/>
  </cols>
  <sheetData>
    <row r="1" spans="2:28" ht="24" customHeight="1" x14ac:dyDescent="0.25">
      <c r="B1" s="24" t="s">
        <v>0</v>
      </c>
      <c r="C1" s="25"/>
      <c r="D1" s="26"/>
      <c r="E1" s="63"/>
      <c r="F1" s="63"/>
      <c r="G1" s="63"/>
      <c r="H1" s="63"/>
      <c r="I1" s="63"/>
      <c r="J1" s="63"/>
      <c r="K1" s="63"/>
      <c r="L1" s="63"/>
      <c r="M1" s="26"/>
      <c r="N1" s="26"/>
      <c r="O1" s="26"/>
      <c r="P1" s="26"/>
      <c r="Q1" s="63"/>
      <c r="R1" s="63"/>
      <c r="S1" s="63"/>
      <c r="T1" s="63"/>
      <c r="U1" s="63"/>
      <c r="V1" s="63"/>
      <c r="W1" s="63"/>
      <c r="X1" s="63"/>
      <c r="Y1" s="63"/>
      <c r="Z1" s="63"/>
      <c r="AA1" s="63"/>
      <c r="AB1" s="63"/>
    </row>
    <row r="2" spans="2:28" ht="26.1" customHeight="1" x14ac:dyDescent="0.25">
      <c r="B2" s="28" t="s">
        <v>522</v>
      </c>
      <c r="C2" s="29"/>
      <c r="D2" s="30"/>
      <c r="E2" s="65"/>
      <c r="F2" s="65"/>
      <c r="G2" s="65"/>
      <c r="H2" s="65"/>
      <c r="I2" s="65"/>
      <c r="J2" s="65"/>
      <c r="K2" s="65"/>
      <c r="L2" s="65"/>
      <c r="M2" s="30"/>
      <c r="N2" s="30"/>
      <c r="O2" s="30"/>
      <c r="P2" s="30"/>
      <c r="Q2" s="65"/>
      <c r="R2" s="65"/>
      <c r="S2" s="65"/>
      <c r="T2" s="65"/>
      <c r="U2" s="65"/>
      <c r="V2" s="65"/>
      <c r="W2" s="65"/>
      <c r="X2" s="65"/>
      <c r="Y2" s="65"/>
      <c r="Z2" s="65"/>
      <c r="AA2" s="65"/>
      <c r="AB2" s="65"/>
    </row>
    <row r="3" spans="2:28" ht="33.950000000000003" customHeight="1" x14ac:dyDescent="0.25">
      <c r="C3" s="1"/>
    </row>
    <row r="4" spans="2:28" x14ac:dyDescent="0.25">
      <c r="C4" s="2" t="s">
        <v>523</v>
      </c>
    </row>
    <row r="6" spans="2:28" ht="42" customHeight="1" x14ac:dyDescent="0.25">
      <c r="C6" s="68" t="s">
        <v>497</v>
      </c>
      <c r="D6" s="68" t="s">
        <v>524</v>
      </c>
      <c r="E6" s="68" t="s">
        <v>94</v>
      </c>
      <c r="F6" s="68" t="s">
        <v>525</v>
      </c>
      <c r="G6" s="68" t="s">
        <v>526</v>
      </c>
      <c r="H6" s="52" t="s">
        <v>141</v>
      </c>
      <c r="I6" s="52" t="s">
        <v>492</v>
      </c>
      <c r="J6" s="52" t="s">
        <v>96</v>
      </c>
      <c r="K6" s="52" t="s">
        <v>527</v>
      </c>
      <c r="L6" s="52" t="s">
        <v>498</v>
      </c>
      <c r="M6" s="52" t="s">
        <v>528</v>
      </c>
      <c r="N6" s="52" t="s">
        <v>529</v>
      </c>
      <c r="O6" s="52" t="s">
        <v>530</v>
      </c>
      <c r="P6" s="52" t="s">
        <v>531</v>
      </c>
      <c r="Q6" s="52" t="s">
        <v>499</v>
      </c>
      <c r="R6" s="68" t="s">
        <v>532</v>
      </c>
    </row>
    <row r="7" spans="2:28" x14ac:dyDescent="0.25">
      <c r="C7" s="4" t="s">
        <v>533</v>
      </c>
      <c r="D7" s="5" t="s">
        <v>534</v>
      </c>
      <c r="E7" s="5" t="s">
        <v>535</v>
      </c>
      <c r="F7" s="5" t="s">
        <v>536</v>
      </c>
      <c r="G7" s="5" t="s">
        <v>537</v>
      </c>
      <c r="H7" s="5" t="s">
        <v>249</v>
      </c>
      <c r="I7" s="5" t="s">
        <v>57</v>
      </c>
      <c r="J7" s="5" t="s">
        <v>289</v>
      </c>
      <c r="K7" s="5" t="s">
        <v>481</v>
      </c>
      <c r="L7" s="18">
        <v>78694</v>
      </c>
      <c r="M7" s="5" t="s">
        <v>538</v>
      </c>
      <c r="N7" s="19">
        <v>0.5</v>
      </c>
      <c r="O7" s="20">
        <f>IFERROR(INDEX(TradeCalc!$C$6:$AA$3001,MATCH($J7,TradeCalc!$C$6:$C$3001,0),MATCH($K7,TradeCalc!$C$5:$AA$5,0)),"n/a")</f>
        <v>78693.868057473315</v>
      </c>
      <c r="P7" s="19">
        <f t="shared" ref="P7:P34" si="0">IF(AND(ISNUMBER(O7),ISNUMBER(L7)),O7-L7,"")</f>
        <v>-0.13194252668472473</v>
      </c>
      <c r="Q7" s="21" t="str">
        <f t="shared" ref="Q7:Q34" si="1">IF(M7="text",IF(O7&amp;""=L7&amp;"","PASS","FAIL"),IF(NOT(ISNUMBER(O7)),"FAIL",IF(M7="rel",IF(ABS(P7)&lt;=N7*MAX(1,ABS(L7)),"PASS","FAIL"),IF(ABS(P7)&lt;=N7,"PASS","FAIL"))))</f>
        <v>PASS</v>
      </c>
      <c r="R7" s="5"/>
    </row>
    <row r="8" spans="2:28" x14ac:dyDescent="0.25">
      <c r="C8" s="4" t="s">
        <v>539</v>
      </c>
      <c r="D8" s="5" t="s">
        <v>534</v>
      </c>
      <c r="E8" s="5" t="s">
        <v>540</v>
      </c>
      <c r="F8" s="5" t="s">
        <v>541</v>
      </c>
      <c r="G8" s="5" t="s">
        <v>537</v>
      </c>
      <c r="H8" s="5" t="s">
        <v>249</v>
      </c>
      <c r="I8" s="5" t="s">
        <v>57</v>
      </c>
      <c r="J8" s="5" t="s">
        <v>297</v>
      </c>
      <c r="K8" s="5" t="s">
        <v>482</v>
      </c>
      <c r="L8" s="18">
        <v>-0.2694</v>
      </c>
      <c r="M8" s="5" t="s">
        <v>538</v>
      </c>
      <c r="N8" s="19">
        <v>5.0000000000000002E-5</v>
      </c>
      <c r="O8" s="20">
        <f>IFERROR(INDEX(TradeCalc!$C$6:$AA$3001,MATCH($J8,TradeCalc!$C$6:$C$3001,0),MATCH($K8,TradeCalc!$C$5:$AA$5,0)),"n/a")</f>
        <v>-0.26939521771053271</v>
      </c>
      <c r="P8" s="19">
        <f t="shared" si="0"/>
        <v>4.7822894672861006E-6</v>
      </c>
      <c r="Q8" s="21" t="str">
        <f t="shared" si="1"/>
        <v>PASS</v>
      </c>
      <c r="R8" s="5"/>
    </row>
    <row r="9" spans="2:28" x14ac:dyDescent="0.25">
      <c r="C9" s="4" t="s">
        <v>542</v>
      </c>
      <c r="D9" s="5" t="s">
        <v>534</v>
      </c>
      <c r="E9" s="5" t="s">
        <v>543</v>
      </c>
      <c r="F9" s="5" t="s">
        <v>541</v>
      </c>
      <c r="G9" s="5" t="s">
        <v>537</v>
      </c>
      <c r="H9" s="5" t="s">
        <v>249</v>
      </c>
      <c r="I9" s="5" t="s">
        <v>52</v>
      </c>
      <c r="J9" s="5" t="s">
        <v>246</v>
      </c>
      <c r="K9" s="5" t="s">
        <v>435</v>
      </c>
      <c r="L9" s="18">
        <v>347</v>
      </c>
      <c r="M9" s="5" t="s">
        <v>538</v>
      </c>
      <c r="N9" s="19">
        <v>0.5</v>
      </c>
      <c r="O9" s="20">
        <f>IFERROR(INDEX(Results!$C$7:$AC$3002,MATCH($J9,Results!$C$7:$C$3002,0),MATCH($K9,Results!$C$6:$AC$6,0)),"n/a")</f>
        <v>346.76438638381836</v>
      </c>
      <c r="P9" s="19">
        <f t="shared" si="0"/>
        <v>-0.23561361618163801</v>
      </c>
      <c r="Q9" s="21" t="str">
        <f t="shared" si="1"/>
        <v>PASS</v>
      </c>
      <c r="R9" s="5"/>
    </row>
    <row r="10" spans="2:28" x14ac:dyDescent="0.25">
      <c r="C10" s="4" t="s">
        <v>544</v>
      </c>
      <c r="D10" s="5" t="s">
        <v>534</v>
      </c>
      <c r="E10" s="5" t="s">
        <v>545</v>
      </c>
      <c r="F10" s="5" t="s">
        <v>541</v>
      </c>
      <c r="G10" s="5" t="s">
        <v>537</v>
      </c>
      <c r="H10" s="5" t="s">
        <v>249</v>
      </c>
      <c r="I10" s="5" t="s">
        <v>52</v>
      </c>
      <c r="J10" s="5" t="s">
        <v>246</v>
      </c>
      <c r="K10" s="5" t="s">
        <v>28</v>
      </c>
      <c r="L10" s="18">
        <v>569</v>
      </c>
      <c r="M10" s="5" t="s">
        <v>538</v>
      </c>
      <c r="N10" s="19">
        <v>0.5</v>
      </c>
      <c r="O10" s="20">
        <f>IFERROR(INDEX(Results!$C$7:$AC$3002,MATCH($J10,Results!$C$7:$C$3002,0),MATCH($K10,Results!$C$6:$AC$6,0)),"n/a")</f>
        <v>569.47014093734572</v>
      </c>
      <c r="P10" s="19">
        <f t="shared" si="0"/>
        <v>0.47014093734571816</v>
      </c>
      <c r="Q10" s="21" t="str">
        <f t="shared" si="1"/>
        <v>PASS</v>
      </c>
      <c r="R10" s="5"/>
    </row>
    <row r="11" spans="2:28" x14ac:dyDescent="0.25">
      <c r="C11" s="4" t="s">
        <v>546</v>
      </c>
      <c r="D11" s="5" t="s">
        <v>547</v>
      </c>
      <c r="E11" s="5" t="s">
        <v>548</v>
      </c>
      <c r="F11" s="5" t="s">
        <v>549</v>
      </c>
      <c r="G11" s="5" t="s">
        <v>537</v>
      </c>
      <c r="H11" s="5" t="s">
        <v>249</v>
      </c>
      <c r="I11" s="5" t="s">
        <v>52</v>
      </c>
      <c r="J11" s="5" t="s">
        <v>250</v>
      </c>
      <c r="K11" s="5" t="s">
        <v>442</v>
      </c>
      <c r="L11" s="18">
        <v>0.96499999999999997</v>
      </c>
      <c r="M11" s="5" t="s">
        <v>538</v>
      </c>
      <c r="N11" s="19">
        <v>5.0000000000000001E-4</v>
      </c>
      <c r="O11" s="20">
        <f>IFERROR(INDEX(Results!$C$7:$AC$3002,MATCH($J11,Results!$C$7:$C$3002,0),MATCH($K11,Results!$C$6:$AC$6,0)),"n/a")</f>
        <v>0.96520828099799905</v>
      </c>
      <c r="P11" s="19">
        <f t="shared" si="0"/>
        <v>2.082809979990774E-4</v>
      </c>
      <c r="Q11" s="21" t="str">
        <f t="shared" si="1"/>
        <v>PASS</v>
      </c>
      <c r="R11" s="5"/>
    </row>
    <row r="12" spans="2:28" x14ac:dyDescent="0.25">
      <c r="C12" s="4" t="s">
        <v>550</v>
      </c>
      <c r="D12" s="5" t="s">
        <v>547</v>
      </c>
      <c r="E12" s="5" t="s">
        <v>551</v>
      </c>
      <c r="F12" s="5" t="s">
        <v>549</v>
      </c>
      <c r="G12" s="5" t="s">
        <v>537</v>
      </c>
      <c r="H12" s="5" t="s">
        <v>249</v>
      </c>
      <c r="I12" s="5" t="s">
        <v>52</v>
      </c>
      <c r="J12" s="5" t="s">
        <v>250</v>
      </c>
      <c r="K12" s="5" t="s">
        <v>28</v>
      </c>
      <c r="L12" s="18">
        <v>381</v>
      </c>
      <c r="M12" s="5" t="s">
        <v>538</v>
      </c>
      <c r="N12" s="19">
        <v>0.5</v>
      </c>
      <c r="O12" s="20">
        <f>IFERROR(INDEX(Results!$C$7:$AC$3002,MATCH($J12,Results!$C$7:$C$3002,0),MATCH($K12,Results!$C$6:$AC$6,0)),"n/a")</f>
        <v>381.23831874693923</v>
      </c>
      <c r="P12" s="19">
        <f t="shared" si="0"/>
        <v>0.23831874693922828</v>
      </c>
      <c r="Q12" s="21" t="str">
        <f t="shared" si="1"/>
        <v>PASS</v>
      </c>
      <c r="R12" s="5"/>
    </row>
    <row r="13" spans="2:28" ht="27" x14ac:dyDescent="0.25">
      <c r="C13" s="4" t="s">
        <v>552</v>
      </c>
      <c r="D13" s="5" t="s">
        <v>553</v>
      </c>
      <c r="E13" s="5" t="s">
        <v>554</v>
      </c>
      <c r="F13" s="5" t="s">
        <v>555</v>
      </c>
      <c r="G13" s="5" t="s">
        <v>537</v>
      </c>
      <c r="H13" s="5" t="s">
        <v>249</v>
      </c>
      <c r="I13" s="5" t="s">
        <v>52</v>
      </c>
      <c r="J13" s="5" t="s">
        <v>252</v>
      </c>
      <c r="K13" s="5" t="s">
        <v>28</v>
      </c>
      <c r="L13" s="18">
        <v>5406</v>
      </c>
      <c r="M13" s="5" t="s">
        <v>538</v>
      </c>
      <c r="N13" s="19">
        <v>2</v>
      </c>
      <c r="O13" s="20">
        <f>IFERROR(INDEX(Results!$C$7:$AC$3002,MATCH($J13,Results!$C$7:$C$3002,0),MATCH($K13,Results!$C$6:$AC$6,0)),"n/a")</f>
        <v>5404.6196874934731</v>
      </c>
      <c r="P13" s="19">
        <f t="shared" si="0"/>
        <v>-1.3803125065269342</v>
      </c>
      <c r="Q13" s="21" t="str">
        <f t="shared" si="1"/>
        <v>PASS</v>
      </c>
      <c r="R13" s="5" t="s">
        <v>556</v>
      </c>
    </row>
    <row r="14" spans="2:28" x14ac:dyDescent="0.25">
      <c r="C14" s="4" t="s">
        <v>557</v>
      </c>
      <c r="D14" s="5" t="s">
        <v>558</v>
      </c>
      <c r="E14" s="5" t="s">
        <v>559</v>
      </c>
      <c r="F14" s="5" t="s">
        <v>560</v>
      </c>
      <c r="G14" s="5" t="s">
        <v>537</v>
      </c>
      <c r="H14" s="5" t="s">
        <v>249</v>
      </c>
      <c r="I14" s="5" t="s">
        <v>52</v>
      </c>
      <c r="J14" s="5" t="s">
        <v>254</v>
      </c>
      <c r="K14" s="5" t="s">
        <v>29</v>
      </c>
      <c r="L14" s="18">
        <v>40</v>
      </c>
      <c r="M14" s="5" t="s">
        <v>538</v>
      </c>
      <c r="N14" s="19">
        <v>0.5</v>
      </c>
      <c r="O14" s="20">
        <f>IFERROR(INDEX(Results!$C$7:$AC$3002,MATCH($J14,Results!$C$7:$C$3002,0),MATCH($K14,Results!$C$6:$AC$6,0)),"n/a")</f>
        <v>40</v>
      </c>
      <c r="P14" s="19">
        <f t="shared" si="0"/>
        <v>0</v>
      </c>
      <c r="Q14" s="21" t="str">
        <f t="shared" si="1"/>
        <v>PASS</v>
      </c>
      <c r="R14" s="5"/>
    </row>
    <row r="15" spans="2:28" x14ac:dyDescent="0.25">
      <c r="C15" s="4" t="s">
        <v>561</v>
      </c>
      <c r="D15" s="5" t="s">
        <v>558</v>
      </c>
      <c r="E15" s="5" t="s">
        <v>562</v>
      </c>
      <c r="F15" s="5" t="s">
        <v>560</v>
      </c>
      <c r="G15" s="5" t="s">
        <v>537</v>
      </c>
      <c r="H15" s="5" t="s">
        <v>249</v>
      </c>
      <c r="I15" s="5" t="s">
        <v>52</v>
      </c>
      <c r="J15" s="5" t="s">
        <v>254</v>
      </c>
      <c r="K15" s="5" t="s">
        <v>441</v>
      </c>
      <c r="L15" s="18">
        <v>629</v>
      </c>
      <c r="M15" s="5" t="s">
        <v>538</v>
      </c>
      <c r="N15" s="19">
        <v>0.5</v>
      </c>
      <c r="O15" s="20">
        <f>IFERROR(INDEX(Results!$C$7:$AC$3002,MATCH($J15,Results!$C$7:$C$3002,0),MATCH($K15,Results!$C$6:$AC$6,0)),"n/a")</f>
        <v>628.89321824348497</v>
      </c>
      <c r="P15" s="19">
        <f t="shared" si="0"/>
        <v>-0.10678175651503352</v>
      </c>
      <c r="Q15" s="21" t="str">
        <f t="shared" si="1"/>
        <v>PASS</v>
      </c>
      <c r="R15" s="5"/>
    </row>
    <row r="16" spans="2:28" ht="27" x14ac:dyDescent="0.25">
      <c r="C16" s="4" t="s">
        <v>563</v>
      </c>
      <c r="D16" s="5" t="s">
        <v>558</v>
      </c>
      <c r="E16" s="5" t="s">
        <v>564</v>
      </c>
      <c r="F16" s="5" t="s">
        <v>560</v>
      </c>
      <c r="G16" s="5" t="s">
        <v>537</v>
      </c>
      <c r="H16" s="5" t="s">
        <v>249</v>
      </c>
      <c r="I16" s="5" t="s">
        <v>52</v>
      </c>
      <c r="J16" s="5" t="s">
        <v>254</v>
      </c>
      <c r="K16" s="5" t="s">
        <v>28</v>
      </c>
      <c r="L16" s="18">
        <v>936</v>
      </c>
      <c r="M16" s="5" t="s">
        <v>538</v>
      </c>
      <c r="N16" s="19">
        <v>0.6</v>
      </c>
      <c r="O16" s="20">
        <f>IFERROR(INDEX(Results!$C$7:$AC$3002,MATCH($J16,Results!$C$7:$C$3002,0),MATCH($K16,Results!$C$6:$AC$6,0)),"n/a")</f>
        <v>936.45050554087891</v>
      </c>
      <c r="P16" s="19">
        <f t="shared" si="0"/>
        <v>0.4505055408789076</v>
      </c>
      <c r="Q16" s="21" t="str">
        <f t="shared" si="1"/>
        <v>PASS</v>
      </c>
      <c r="R16" s="5" t="s">
        <v>565</v>
      </c>
    </row>
    <row r="17" spans="3:18" x14ac:dyDescent="0.25">
      <c r="C17" s="4" t="s">
        <v>566</v>
      </c>
      <c r="D17" s="5" t="s">
        <v>567</v>
      </c>
      <c r="E17" s="5" t="s">
        <v>568</v>
      </c>
      <c r="F17" s="5" t="s">
        <v>569</v>
      </c>
      <c r="G17" s="5" t="s">
        <v>537</v>
      </c>
      <c r="H17" s="5" t="s">
        <v>249</v>
      </c>
      <c r="I17" s="5" t="s">
        <v>52</v>
      </c>
      <c r="J17" s="5" t="s">
        <v>256</v>
      </c>
      <c r="K17" s="5" t="s">
        <v>432</v>
      </c>
      <c r="L17" s="18">
        <v>14</v>
      </c>
      <c r="M17" s="5" t="s">
        <v>538</v>
      </c>
      <c r="N17" s="19">
        <v>0</v>
      </c>
      <c r="O17" s="20">
        <f>IFERROR(INDEX(Results!$C$7:$AC$3002,MATCH($J17,Results!$C$7:$C$3002,0),MATCH($K17,Results!$C$6:$AC$6,0)),"n/a")</f>
        <v>14</v>
      </c>
      <c r="P17" s="19">
        <f t="shared" si="0"/>
        <v>0</v>
      </c>
      <c r="Q17" s="21" t="str">
        <f t="shared" si="1"/>
        <v>PASS</v>
      </c>
      <c r="R17" s="5"/>
    </row>
    <row r="18" spans="3:18" x14ac:dyDescent="0.25">
      <c r="C18" s="4" t="s">
        <v>570</v>
      </c>
      <c r="D18" s="5" t="s">
        <v>567</v>
      </c>
      <c r="E18" s="5" t="s">
        <v>571</v>
      </c>
      <c r="F18" s="5" t="s">
        <v>569</v>
      </c>
      <c r="G18" s="5" t="s">
        <v>537</v>
      </c>
      <c r="H18" s="5" t="s">
        <v>249</v>
      </c>
      <c r="I18" s="5" t="s">
        <v>52</v>
      </c>
      <c r="J18" s="5" t="s">
        <v>256</v>
      </c>
      <c r="K18" s="5" t="s">
        <v>441</v>
      </c>
      <c r="L18" s="18">
        <v>1401</v>
      </c>
      <c r="M18" s="5" t="s">
        <v>538</v>
      </c>
      <c r="N18" s="19">
        <v>0.5</v>
      </c>
      <c r="O18" s="20">
        <f>IFERROR(INDEX(Results!$C$7:$AC$3002,MATCH($J18,Results!$C$7:$C$3002,0),MATCH($K18,Results!$C$6:$AC$6,0)),"n/a")</f>
        <v>1400.9623796965723</v>
      </c>
      <c r="P18" s="19">
        <f t="shared" si="0"/>
        <v>-3.7620303427729596E-2</v>
      </c>
      <c r="Q18" s="21" t="str">
        <f t="shared" si="1"/>
        <v>PASS</v>
      </c>
      <c r="R18" s="5"/>
    </row>
    <row r="19" spans="3:18" x14ac:dyDescent="0.25">
      <c r="C19" s="4" t="s">
        <v>572</v>
      </c>
      <c r="D19" s="5" t="s">
        <v>567</v>
      </c>
      <c r="E19" s="5" t="s">
        <v>573</v>
      </c>
      <c r="F19" s="5" t="s">
        <v>569</v>
      </c>
      <c r="G19" s="5" t="s">
        <v>537</v>
      </c>
      <c r="H19" s="5" t="s">
        <v>249</v>
      </c>
      <c r="I19" s="5" t="s">
        <v>52</v>
      </c>
      <c r="J19" s="5" t="s">
        <v>256</v>
      </c>
      <c r="K19" s="5" t="s">
        <v>442</v>
      </c>
      <c r="L19" s="18">
        <v>0.95799999999999996</v>
      </c>
      <c r="M19" s="5" t="s">
        <v>538</v>
      </c>
      <c r="N19" s="19">
        <v>5.0000000000000001E-4</v>
      </c>
      <c r="O19" s="20">
        <f>IFERROR(INDEX(Results!$C$7:$AC$3002,MATCH($J19,Results!$C$7:$C$3002,0),MATCH($K19,Results!$C$6:$AC$6,0)),"n/a")</f>
        <v>0.95812332739266304</v>
      </c>
      <c r="P19" s="19">
        <f t="shared" si="0"/>
        <v>1.2332739266307513E-4</v>
      </c>
      <c r="Q19" s="21" t="str">
        <f t="shared" si="1"/>
        <v>PASS</v>
      </c>
      <c r="R19" s="5"/>
    </row>
    <row r="20" spans="3:18" x14ac:dyDescent="0.25">
      <c r="C20" s="4" t="s">
        <v>574</v>
      </c>
      <c r="D20" s="5" t="s">
        <v>567</v>
      </c>
      <c r="E20" s="5" t="s">
        <v>575</v>
      </c>
      <c r="F20" s="5" t="s">
        <v>569</v>
      </c>
      <c r="G20" s="5" t="s">
        <v>537</v>
      </c>
      <c r="H20" s="5" t="s">
        <v>249</v>
      </c>
      <c r="I20" s="5" t="s">
        <v>52</v>
      </c>
      <c r="J20" s="5" t="s">
        <v>256</v>
      </c>
      <c r="K20" s="5" t="s">
        <v>28</v>
      </c>
      <c r="L20" s="18">
        <v>1879</v>
      </c>
      <c r="M20" s="5" t="s">
        <v>538</v>
      </c>
      <c r="N20" s="19">
        <v>0.5</v>
      </c>
      <c r="O20" s="20">
        <f>IFERROR(INDEX(Results!$C$7:$AC$3002,MATCH($J20,Results!$C$7:$C$3002,0),MATCH($K20,Results!$C$6:$AC$6,0)),"n/a")</f>
        <v>1879.2126315015523</v>
      </c>
      <c r="P20" s="19">
        <f t="shared" si="0"/>
        <v>0.21263150155232324</v>
      </c>
      <c r="Q20" s="21" t="str">
        <f t="shared" si="1"/>
        <v>PASS</v>
      </c>
      <c r="R20" s="5"/>
    </row>
    <row r="21" spans="3:18" ht="27" x14ac:dyDescent="0.25">
      <c r="C21" s="4" t="s">
        <v>576</v>
      </c>
      <c r="D21" s="5" t="s">
        <v>577</v>
      </c>
      <c r="E21" s="5" t="s">
        <v>578</v>
      </c>
      <c r="F21" s="5" t="s">
        <v>579</v>
      </c>
      <c r="G21" s="5" t="s">
        <v>922</v>
      </c>
      <c r="H21" s="5" t="s">
        <v>143</v>
      </c>
      <c r="I21" s="5" t="s">
        <v>52</v>
      </c>
      <c r="J21" s="5" t="s">
        <v>259</v>
      </c>
      <c r="K21" s="5" t="s">
        <v>28</v>
      </c>
      <c r="L21" s="18">
        <v>1879</v>
      </c>
      <c r="M21" s="5" t="s">
        <v>538</v>
      </c>
      <c r="N21" s="19">
        <v>0.5</v>
      </c>
      <c r="O21" s="20">
        <f>IFERROR(INDEX(Results!$C$7:$AC$3002,MATCH($J21,Results!$C$7:$C$3002,0),MATCH($K21,Results!$C$6:$AC$6,0)),"n/a")</f>
        <v>1879.2126315015523</v>
      </c>
      <c r="P21" s="19">
        <f t="shared" si="0"/>
        <v>0.21263150155232324</v>
      </c>
      <c r="Q21" s="21" t="str">
        <f t="shared" si="1"/>
        <v>PASS</v>
      </c>
      <c r="R21" s="5" t="s">
        <v>581</v>
      </c>
    </row>
    <row r="22" spans="3:18" ht="27" x14ac:dyDescent="0.25">
      <c r="C22" s="4" t="s">
        <v>582</v>
      </c>
      <c r="D22" s="5" t="s">
        <v>921</v>
      </c>
      <c r="E22" s="5" t="s">
        <v>778</v>
      </c>
      <c r="F22" s="5" t="s">
        <v>779</v>
      </c>
      <c r="G22" s="5" t="s">
        <v>583</v>
      </c>
      <c r="H22" s="5" t="s">
        <v>249</v>
      </c>
      <c r="I22" s="5" t="s">
        <v>52</v>
      </c>
      <c r="J22" s="5" t="s">
        <v>261</v>
      </c>
      <c r="K22" s="5" t="s">
        <v>28</v>
      </c>
      <c r="L22" s="18">
        <v>40774849.348603643</v>
      </c>
      <c r="M22" s="5" t="s">
        <v>584</v>
      </c>
      <c r="N22" s="19">
        <v>1.0000000000000001E-9</v>
      </c>
      <c r="O22" s="20">
        <f>IFERROR(INDEX(Results!$C$7:$AC$3002,MATCH($J22,Results!$C$7:$C$3002,0),MATCH($K22,Results!$C$6:$AC$6,0)),"n/a")</f>
        <v>40774849.348603651</v>
      </c>
      <c r="P22" s="19">
        <f t="shared" si="0"/>
        <v>7.4505805969238281E-9</v>
      </c>
      <c r="Q22" s="21" t="str">
        <f t="shared" si="1"/>
        <v>PASS</v>
      </c>
      <c r="R22" s="5" t="s">
        <v>780</v>
      </c>
    </row>
    <row r="23" spans="3:18" ht="27" x14ac:dyDescent="0.25">
      <c r="C23" s="4" t="s">
        <v>585</v>
      </c>
      <c r="D23" s="5" t="s">
        <v>577</v>
      </c>
      <c r="E23" s="5" t="s">
        <v>586</v>
      </c>
      <c r="F23" s="5" t="s">
        <v>587</v>
      </c>
      <c r="G23" s="5" t="s">
        <v>583</v>
      </c>
      <c r="H23" s="5" t="s">
        <v>143</v>
      </c>
      <c r="I23" s="5" t="s">
        <v>52</v>
      </c>
      <c r="J23" s="5" t="s">
        <v>263</v>
      </c>
      <c r="K23" s="5" t="s">
        <v>28</v>
      </c>
      <c r="L23" s="18">
        <v>40774849.348603643</v>
      </c>
      <c r="M23" s="5" t="s">
        <v>584</v>
      </c>
      <c r="N23" s="19">
        <v>1.0000000000000001E-9</v>
      </c>
      <c r="O23" s="20">
        <f>IFERROR(INDEX(Results!$C$7:$AC$3002,MATCH($J23,Results!$C$7:$C$3002,0),MATCH($K23,Results!$C$6:$AC$6,0)),"n/a")</f>
        <v>40774849.348603651</v>
      </c>
      <c r="P23" s="19">
        <f t="shared" si="0"/>
        <v>7.4505805969238281E-9</v>
      </c>
      <c r="Q23" s="21" t="str">
        <f t="shared" si="1"/>
        <v>PASS</v>
      </c>
      <c r="R23" s="5" t="s">
        <v>588</v>
      </c>
    </row>
    <row r="24" spans="3:18" ht="27" x14ac:dyDescent="0.25">
      <c r="C24" s="4" t="s">
        <v>589</v>
      </c>
      <c r="D24" s="5" t="s">
        <v>577</v>
      </c>
      <c r="E24" s="5" t="s">
        <v>590</v>
      </c>
      <c r="F24" s="5" t="s">
        <v>591</v>
      </c>
      <c r="G24" s="5" t="s">
        <v>583</v>
      </c>
      <c r="H24" s="5" t="s">
        <v>143</v>
      </c>
      <c r="I24" s="5" t="s">
        <v>52</v>
      </c>
      <c r="J24" s="5" t="s">
        <v>263</v>
      </c>
      <c r="K24" s="5" t="s">
        <v>445</v>
      </c>
      <c r="L24" s="22" t="s">
        <v>258</v>
      </c>
      <c r="M24" s="5" t="s">
        <v>592</v>
      </c>
      <c r="N24" s="19">
        <v>0</v>
      </c>
      <c r="O24" s="20" t="str">
        <f>IFERROR(INDEX(Results!$C$7:$AC$3002,MATCH($J24,Results!$C$7:$C$3002,0),MATCH($K24,Results!$C$6:$AC$6,0)),"n/a")</f>
        <v>Y</v>
      </c>
      <c r="P24" s="19" t="str">
        <f t="shared" si="0"/>
        <v/>
      </c>
      <c r="Q24" s="21" t="str">
        <f t="shared" si="1"/>
        <v>PASS</v>
      </c>
      <c r="R24" s="5"/>
    </row>
    <row r="25" spans="3:18" ht="27" x14ac:dyDescent="0.25">
      <c r="C25" s="4" t="s">
        <v>593</v>
      </c>
      <c r="D25" s="5" t="s">
        <v>594</v>
      </c>
      <c r="E25" s="5" t="s">
        <v>595</v>
      </c>
      <c r="F25" s="5" t="s">
        <v>596</v>
      </c>
      <c r="G25" s="5" t="s">
        <v>923</v>
      </c>
      <c r="H25" s="5" t="s">
        <v>143</v>
      </c>
      <c r="I25" s="5" t="s">
        <v>52</v>
      </c>
      <c r="J25" s="5" t="s">
        <v>265</v>
      </c>
      <c r="K25" s="5" t="s">
        <v>28</v>
      </c>
      <c r="L25" s="18">
        <v>760.49393283933853</v>
      </c>
      <c r="M25" s="5" t="s">
        <v>584</v>
      </c>
      <c r="N25" s="19">
        <v>1.0000000000000001E-9</v>
      </c>
      <c r="O25" s="20">
        <f>IFERROR(INDEX(Results!$C$7:$AC$3002,MATCH($J25,Results!$C$7:$C$3002,0),MATCH($K25,Results!$C$6:$AC$6,0)),"n/a")</f>
        <v>760.49393283933841</v>
      </c>
      <c r="P25" s="19">
        <f t="shared" si="0"/>
        <v>-1.1368683772161603E-13</v>
      </c>
      <c r="Q25" s="21" t="str">
        <f t="shared" si="1"/>
        <v>PASS</v>
      </c>
      <c r="R25" s="5" t="s">
        <v>597</v>
      </c>
    </row>
    <row r="26" spans="3:18" ht="27" x14ac:dyDescent="0.25">
      <c r="C26" s="4" t="s">
        <v>598</v>
      </c>
      <c r="D26" s="5" t="s">
        <v>594</v>
      </c>
      <c r="E26" s="5" t="s">
        <v>599</v>
      </c>
      <c r="F26" s="5" t="s">
        <v>147</v>
      </c>
      <c r="G26" s="5" t="s">
        <v>924</v>
      </c>
      <c r="H26" s="5" t="s">
        <v>143</v>
      </c>
      <c r="I26" s="5" t="s">
        <v>57</v>
      </c>
      <c r="J26" s="5" t="s">
        <v>343</v>
      </c>
      <c r="K26" s="5" t="s">
        <v>487</v>
      </c>
      <c r="L26" s="18">
        <v>3.0000000000000001E-3</v>
      </c>
      <c r="M26" s="5" t="s">
        <v>538</v>
      </c>
      <c r="N26" s="19">
        <v>9.9999999999999998E-13</v>
      </c>
      <c r="O26" s="20">
        <f>IFERROR(INDEX(TradeCalc!$C$6:$AA$3001,MATCH($J26,TradeCalc!$C$6:$C$3001,0),MATCH($K26,TradeCalc!$C$5:$AA$5,0)),"n/a")</f>
        <v>3.0000000000000001E-3</v>
      </c>
      <c r="P26" s="19">
        <f t="shared" si="0"/>
        <v>0</v>
      </c>
      <c r="Q26" s="21" t="str">
        <f t="shared" si="1"/>
        <v>PASS</v>
      </c>
      <c r="R26" s="5"/>
    </row>
    <row r="27" spans="3:18" ht="27" x14ac:dyDescent="0.25">
      <c r="C27" s="4" t="s">
        <v>601</v>
      </c>
      <c r="D27" s="5" t="s">
        <v>594</v>
      </c>
      <c r="E27" s="5" t="s">
        <v>602</v>
      </c>
      <c r="F27" s="5" t="s">
        <v>603</v>
      </c>
      <c r="G27" s="5" t="s">
        <v>580</v>
      </c>
      <c r="H27" s="5" t="s">
        <v>143</v>
      </c>
      <c r="I27" s="5" t="s">
        <v>57</v>
      </c>
      <c r="J27" s="5" t="s">
        <v>343</v>
      </c>
      <c r="K27" s="5" t="s">
        <v>482</v>
      </c>
      <c r="L27" s="18">
        <v>-0.9941752720429311</v>
      </c>
      <c r="M27" s="5" t="s">
        <v>584</v>
      </c>
      <c r="N27" s="19">
        <v>1.0000000000000001E-9</v>
      </c>
      <c r="O27" s="20">
        <f>IFERROR(INDEX(TradeCalc!$C$6:$AA$3001,MATCH($J27,TradeCalc!$C$6:$C$3001,0),MATCH($K27,TradeCalc!$C$5:$AA$5,0)),"n/a")</f>
        <v>-0.99417527204293121</v>
      </c>
      <c r="P27" s="19">
        <f t="shared" si="0"/>
        <v>-1.1102230246251565E-16</v>
      </c>
      <c r="Q27" s="21" t="str">
        <f t="shared" si="1"/>
        <v>PASS</v>
      </c>
      <c r="R27" s="5"/>
    </row>
    <row r="28" spans="3:18" ht="27" x14ac:dyDescent="0.25">
      <c r="C28" s="4" t="s">
        <v>604</v>
      </c>
      <c r="D28" s="5" t="s">
        <v>605</v>
      </c>
      <c r="E28" s="5" t="s">
        <v>606</v>
      </c>
      <c r="F28" s="5" t="s">
        <v>607</v>
      </c>
      <c r="G28" s="5" t="s">
        <v>925</v>
      </c>
      <c r="H28" s="5" t="s">
        <v>249</v>
      </c>
      <c r="I28" s="5" t="s">
        <v>57</v>
      </c>
      <c r="J28" s="5" t="s">
        <v>345</v>
      </c>
      <c r="K28" s="5" t="s">
        <v>473</v>
      </c>
      <c r="L28" s="22" t="s">
        <v>489</v>
      </c>
      <c r="M28" s="5" t="s">
        <v>592</v>
      </c>
      <c r="N28" s="19">
        <v>0</v>
      </c>
      <c r="O28" s="20" t="str">
        <f>IFERROR(INDEX(TradeCalc!$C$6:$AA$3001,MATCH($J28,TradeCalc!$C$6:$C$3001,0),MATCH($K28,TradeCalc!$C$5:$AA$5,0)),"n/a")</f>
        <v>EXCLUDED</v>
      </c>
      <c r="P28" s="19" t="str">
        <f t="shared" si="0"/>
        <v/>
      </c>
      <c r="Q28" s="21" t="str">
        <f t="shared" si="1"/>
        <v>PASS</v>
      </c>
      <c r="R28" s="5" t="s">
        <v>608</v>
      </c>
    </row>
    <row r="29" spans="3:18" ht="27" x14ac:dyDescent="0.25">
      <c r="C29" s="4" t="s">
        <v>609</v>
      </c>
      <c r="D29" s="5" t="s">
        <v>594</v>
      </c>
      <c r="E29" s="5" t="s">
        <v>610</v>
      </c>
      <c r="F29" s="5" t="s">
        <v>147</v>
      </c>
      <c r="G29" s="5" t="s">
        <v>926</v>
      </c>
      <c r="H29" s="5" t="s">
        <v>143</v>
      </c>
      <c r="I29" s="5" t="s">
        <v>57</v>
      </c>
      <c r="J29" s="5" t="s">
        <v>346</v>
      </c>
      <c r="K29" s="5" t="s">
        <v>487</v>
      </c>
      <c r="L29" s="18">
        <v>5.5</v>
      </c>
      <c r="M29" s="5" t="s">
        <v>538</v>
      </c>
      <c r="N29" s="19">
        <v>9.9999999999999998E-13</v>
      </c>
      <c r="O29" s="20">
        <f>IFERROR(INDEX(TradeCalc!$C$6:$AA$3001,MATCH($J29,TradeCalc!$C$6:$C$3001,0),MATCH($K29,TradeCalc!$C$5:$AA$5,0)),"n/a")</f>
        <v>5.5</v>
      </c>
      <c r="P29" s="19">
        <f t="shared" si="0"/>
        <v>0</v>
      </c>
      <c r="Q29" s="21" t="str">
        <f t="shared" si="1"/>
        <v>PASS</v>
      </c>
      <c r="R29" s="5"/>
    </row>
    <row r="30" spans="3:18" ht="27" x14ac:dyDescent="0.25">
      <c r="C30" s="4" t="s">
        <v>611</v>
      </c>
      <c r="D30" s="5" t="s">
        <v>612</v>
      </c>
      <c r="E30" s="5" t="s">
        <v>613</v>
      </c>
      <c r="F30" s="5" t="s">
        <v>614</v>
      </c>
      <c r="G30" s="5" t="s">
        <v>927</v>
      </c>
      <c r="H30" s="5" t="s">
        <v>143</v>
      </c>
      <c r="I30" s="5" t="s">
        <v>52</v>
      </c>
      <c r="J30" s="5" t="s">
        <v>273</v>
      </c>
      <c r="K30" s="5" t="s">
        <v>440</v>
      </c>
      <c r="L30" s="18">
        <v>880</v>
      </c>
      <c r="M30" s="5" t="s">
        <v>538</v>
      </c>
      <c r="N30" s="19">
        <v>1.0000000000000001E-9</v>
      </c>
      <c r="O30" s="20">
        <f>IFERROR(INDEX(Results!$C$7:$AC$3002,MATCH($J30,Results!$C$7:$C$3002,0),MATCH($K30,Results!$C$6:$AC$6,0)),"n/a")</f>
        <v>880</v>
      </c>
      <c r="P30" s="19">
        <f t="shared" si="0"/>
        <v>0</v>
      </c>
      <c r="Q30" s="21" t="str">
        <f t="shared" si="1"/>
        <v>PASS</v>
      </c>
      <c r="R30" s="5"/>
    </row>
    <row r="31" spans="3:18" ht="27" x14ac:dyDescent="0.25">
      <c r="C31" s="4" t="s">
        <v>615</v>
      </c>
      <c r="D31" s="5" t="s">
        <v>612</v>
      </c>
      <c r="E31" s="5" t="s">
        <v>616</v>
      </c>
      <c r="F31" s="5" t="s">
        <v>617</v>
      </c>
      <c r="G31" s="5" t="s">
        <v>928</v>
      </c>
      <c r="H31" s="5" t="s">
        <v>143</v>
      </c>
      <c r="I31" s="5" t="s">
        <v>52</v>
      </c>
      <c r="J31" s="5" t="s">
        <v>273</v>
      </c>
      <c r="K31" s="5" t="s">
        <v>28</v>
      </c>
      <c r="L31" s="18">
        <v>1232</v>
      </c>
      <c r="M31" s="5" t="s">
        <v>538</v>
      </c>
      <c r="N31" s="19">
        <v>1.0000000000000001E-9</v>
      </c>
      <c r="O31" s="20">
        <f>IFERROR(INDEX(Results!$C$7:$AC$3002,MATCH($J31,Results!$C$7:$C$3002,0),MATCH($K31,Results!$C$6:$AC$6,0)),"n/a")</f>
        <v>1232</v>
      </c>
      <c r="P31" s="19">
        <f t="shared" si="0"/>
        <v>0</v>
      </c>
      <c r="Q31" s="21" t="str">
        <f t="shared" si="1"/>
        <v>PASS</v>
      </c>
      <c r="R31" s="5"/>
    </row>
    <row r="32" spans="3:18" ht="27" x14ac:dyDescent="0.25">
      <c r="C32" s="4" t="s">
        <v>618</v>
      </c>
      <c r="D32" s="5" t="s">
        <v>619</v>
      </c>
      <c r="E32" s="5" t="s">
        <v>620</v>
      </c>
      <c r="F32" s="5" t="s">
        <v>621</v>
      </c>
      <c r="G32" s="5" t="s">
        <v>929</v>
      </c>
      <c r="H32" s="5" t="s">
        <v>249</v>
      </c>
      <c r="I32" s="5" t="s">
        <v>57</v>
      </c>
      <c r="J32" s="5" t="s">
        <v>358</v>
      </c>
      <c r="K32" s="5" t="s">
        <v>473</v>
      </c>
      <c r="L32" s="22" t="s">
        <v>489</v>
      </c>
      <c r="M32" s="5" t="s">
        <v>592</v>
      </c>
      <c r="N32" s="19">
        <v>0</v>
      </c>
      <c r="O32" s="20" t="str">
        <f>IFERROR(INDEX(TradeCalc!$C$6:$AA$3001,MATCH($J32,TradeCalc!$C$6:$C$3001,0),MATCH($K32,TradeCalc!$C$5:$AA$5,0)),"n/a")</f>
        <v>EXCLUDED</v>
      </c>
      <c r="P32" s="19" t="str">
        <f t="shared" si="0"/>
        <v/>
      </c>
      <c r="Q32" s="21" t="str">
        <f t="shared" si="1"/>
        <v>PASS</v>
      </c>
      <c r="R32" s="5"/>
    </row>
    <row r="33" spans="3:18" ht="27" x14ac:dyDescent="0.25">
      <c r="C33" s="4" t="s">
        <v>622</v>
      </c>
      <c r="D33" s="5" t="s">
        <v>623</v>
      </c>
      <c r="E33" s="5" t="s">
        <v>624</v>
      </c>
      <c r="F33" s="5" t="s">
        <v>625</v>
      </c>
      <c r="G33" s="5" t="s">
        <v>930</v>
      </c>
      <c r="H33" s="5" t="s">
        <v>143</v>
      </c>
      <c r="I33" s="5" t="s">
        <v>57</v>
      </c>
      <c r="J33" s="5" t="s">
        <v>360</v>
      </c>
      <c r="K33" s="5" t="s">
        <v>452</v>
      </c>
      <c r="L33" s="22" t="s">
        <v>462</v>
      </c>
      <c r="M33" s="5" t="s">
        <v>592</v>
      </c>
      <c r="N33" s="19">
        <v>0</v>
      </c>
      <c r="O33" s="20" t="str">
        <f>IFERROR(INDEX(TradeCalc!$C$6:$AA$3001,MATCH($J33,TradeCalc!$C$6:$C$3001,0),MATCH($K33,TradeCalc!$C$5:$AA$5,0)),"n/a")</f>
        <v>CO|CLIMATIC|STD</v>
      </c>
      <c r="P33" s="19" t="str">
        <f t="shared" si="0"/>
        <v/>
      </c>
      <c r="Q33" s="21" t="str">
        <f t="shared" si="1"/>
        <v>PASS</v>
      </c>
      <c r="R33" s="5" t="s">
        <v>626</v>
      </c>
    </row>
    <row r="34" spans="3:18" ht="27" x14ac:dyDescent="0.25">
      <c r="C34" s="4" t="s">
        <v>627</v>
      </c>
      <c r="D34" s="5" t="s">
        <v>623</v>
      </c>
      <c r="E34" s="5" t="s">
        <v>628</v>
      </c>
      <c r="F34" s="5" t="s">
        <v>181</v>
      </c>
      <c r="G34" s="5" t="s">
        <v>600</v>
      </c>
      <c r="H34" s="5" t="s">
        <v>143</v>
      </c>
      <c r="I34" s="5" t="s">
        <v>57</v>
      </c>
      <c r="J34" s="5" t="s">
        <v>395</v>
      </c>
      <c r="K34" s="5" t="s">
        <v>474</v>
      </c>
      <c r="L34" s="18">
        <v>4.1999999999999997E-3</v>
      </c>
      <c r="M34" s="5" t="s">
        <v>538</v>
      </c>
      <c r="N34" s="19">
        <v>9.9999999999999998E-13</v>
      </c>
      <c r="O34" s="20">
        <f>IFERROR(INDEX(TradeCalc!$C$6:$AA$3001,MATCH($J34,TradeCalc!$C$6:$C$3001,0),MATCH($K34,TradeCalc!$C$5:$AA$5,0)),"n/a")</f>
        <v>4.1999999999999997E-3</v>
      </c>
      <c r="P34" s="19">
        <f t="shared" si="0"/>
        <v>0</v>
      </c>
      <c r="Q34" s="21" t="str">
        <f t="shared" si="1"/>
        <v>PASS</v>
      </c>
      <c r="R34" s="5"/>
    </row>
    <row r="36" spans="3:18" x14ac:dyDescent="0.25">
      <c r="D36" s="4" t="s">
        <v>629</v>
      </c>
      <c r="E36" s="4" t="str">
        <f>COUNTIF(Q7:Q34,"PASS")&amp;" passed, "&amp;COUNTIF(Q7:Q34,"FAIL")&amp;" failed of "&amp;COUNTA(C7:C34)</f>
        <v>28 passed, 0 failed of 28</v>
      </c>
    </row>
    <row r="38" spans="3:18" ht="30" customHeight="1" x14ac:dyDescent="0.25">
      <c r="D38" s="124" t="s">
        <v>630</v>
      </c>
      <c r="E38" s="124"/>
      <c r="F38" s="124"/>
      <c r="G38" s="124"/>
      <c r="H38" s="124"/>
      <c r="I38" s="124"/>
      <c r="J38" s="124"/>
      <c r="K38" s="124"/>
      <c r="L38" s="124"/>
      <c r="M38" s="124"/>
      <c r="N38" s="124"/>
      <c r="O38" s="124"/>
      <c r="P38" s="124"/>
      <c r="Q38" s="124"/>
      <c r="R38" s="124"/>
    </row>
    <row r="39" spans="3:18" ht="30" customHeight="1" x14ac:dyDescent="0.25">
      <c r="D39" s="124" t="s">
        <v>631</v>
      </c>
      <c r="E39" s="124"/>
      <c r="F39" s="124"/>
      <c r="G39" s="124"/>
      <c r="H39" s="124"/>
      <c r="I39" s="124"/>
      <c r="J39" s="124"/>
      <c r="K39" s="124"/>
      <c r="L39" s="124"/>
      <c r="M39" s="124"/>
      <c r="N39" s="124"/>
      <c r="O39" s="124"/>
      <c r="P39" s="124"/>
      <c r="Q39" s="124"/>
      <c r="R39" s="124"/>
    </row>
    <row r="40" spans="3:18" ht="30" customHeight="1" x14ac:dyDescent="0.25">
      <c r="D40" s="124" t="s">
        <v>781</v>
      </c>
      <c r="E40" s="124"/>
      <c r="F40" s="124"/>
      <c r="G40" s="124"/>
      <c r="H40" s="124"/>
      <c r="I40" s="124"/>
      <c r="J40" s="124"/>
      <c r="K40" s="124"/>
      <c r="L40" s="124"/>
      <c r="M40" s="124"/>
      <c r="N40" s="124"/>
      <c r="O40" s="124"/>
      <c r="P40" s="124"/>
      <c r="Q40" s="124"/>
      <c r="R40" s="124"/>
    </row>
  </sheetData>
  <mergeCells count="3">
    <mergeCell ref="D38:R38"/>
    <mergeCell ref="D39:R39"/>
    <mergeCell ref="D40:R40"/>
  </mergeCells>
  <conditionalFormatting sqref="Q7:Q34">
    <cfRule type="cellIs" dxfId="1" priority="1" operator="equal">
      <formula>"PASS"</formula>
    </cfRule>
    <cfRule type="cellIs" dxfId="0" priority="2" operator="equal">
      <formula>"FAIL"</formula>
    </cfRule>
  </conditionalFormatting>
  <pageMargins left="0.4" right="0.4" top="0.5" bottom="0.5" header="0.3" footer="0.3"/>
  <pageSetup paperSize="9" fitToHeight="0" orientation="landscape"/>
  <drawing r:id="rId1"/>
  <legacyDrawing r:id="rId2"/>
  <mc:AlternateContent xmlns:mc="http://schemas.openxmlformats.org/markup-compatibility/2006">
    <mc:Choice Requires="x14">
      <controls>
        <mc:AlternateContent xmlns:mc="http://schemas.openxmlformats.org/markup-compatibility/2006">
          <mc:Choice Requires="x14">
            <control shapeId="4097" r:id="rId3" name="Button 1">
              <controlPr defaultSize="0" print="0" autoFill="0" autoPict="0" macro="[0]!RunSACCR">
                <anchor moveWithCells="1" sizeWithCells="1">
                  <from>
                    <xdr:col>8</xdr:col>
                    <xdr:colOff>0</xdr:colOff>
                    <xdr:row>2</xdr:row>
                    <xdr:rowOff>38100</xdr:rowOff>
                  </from>
                  <to>
                    <xdr:col>9</xdr:col>
                    <xdr:colOff>409575</xdr:colOff>
                    <xdr:row>2</xdr:row>
                    <xdr:rowOff>285750</xdr:rowOff>
                  </to>
                </anchor>
              </controlPr>
            </control>
          </mc:Choice>
        </mc:AlternateContent>
        <mc:AlternateContent xmlns:mc="http://schemas.openxmlformats.org/markup-compatibility/2006">
          <mc:Choice Requires="x14">
            <control shapeId="4098" r:id="rId4" name="Button 2">
              <controlPr defaultSize="0" print="0" autoFill="0" autoPict="0" macro="[0]!ValidateInputs">
                <anchor moveWithCells="1" sizeWithCells="1">
                  <from>
                    <xdr:col>9</xdr:col>
                    <xdr:colOff>504825</xdr:colOff>
                    <xdr:row>2</xdr:row>
                    <xdr:rowOff>38100</xdr:rowOff>
                  </from>
                  <to>
                    <xdr:col>10</xdr:col>
                    <xdr:colOff>647700</xdr:colOff>
                    <xdr:row>2</xdr:row>
                    <xdr:rowOff>285750</xdr:rowOff>
                  </to>
                </anchor>
              </controlPr>
            </control>
          </mc:Choice>
        </mc:AlternateContent>
        <mc:AlternateContent xmlns:mc="http://schemas.openxmlformats.org/markup-compatibility/2006">
          <mc:Choice Requires="x14">
            <control shapeId="4099" r:id="rId5" name="Button 3">
              <controlPr defaultSize="0" print="0" autoFill="0" autoPict="0" macro="[0]!ClearOutputs">
                <anchor moveWithCells="1" sizeWithCells="1">
                  <from>
                    <xdr:col>10</xdr:col>
                    <xdr:colOff>742950</xdr:colOff>
                    <xdr:row>2</xdr:row>
                    <xdr:rowOff>38100</xdr:rowOff>
                  </from>
                  <to>
                    <xdr:col>11</xdr:col>
                    <xdr:colOff>485775</xdr:colOff>
                    <xdr:row>2</xdr:row>
                    <xdr:rowOff>285750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Tests">
    <tabColor rgb="FF548235"/>
    <pageSetUpPr fitToPage="1"/>
  </sheetPr>
  <dimension ref="B1:AB28"/>
  <sheetViews>
    <sheetView showGridLines="0" zoomScaleNormal="100" workbookViewId="0">
      <pane xSplit="3" topLeftCell="E1" activePane="topRight" state="frozen"/>
      <selection pane="topRight" activeCell="L14" sqref="L14"/>
    </sheetView>
  </sheetViews>
  <sheetFormatPr defaultRowHeight="15" x14ac:dyDescent="0.25"/>
  <cols>
    <col min="1" max="2" width="4" customWidth="1"/>
    <col min="3" max="3" width="40.75" customWidth="1"/>
    <col min="4" max="4" width="36.75" customWidth="1"/>
    <col min="5" max="11" width="11.75" customWidth="1"/>
    <col min="12" max="13" width="14.75" customWidth="1"/>
    <col min="14" max="15" width="10.75" customWidth="1"/>
    <col min="16" max="16" width="30.75" customWidth="1"/>
  </cols>
  <sheetData>
    <row r="1" spans="2:28" ht="24" customHeight="1" x14ac:dyDescent="0.25">
      <c r="B1" s="24" t="s">
        <v>0</v>
      </c>
      <c r="C1" s="25"/>
      <c r="D1" s="26"/>
      <c r="E1" s="63"/>
      <c r="F1" s="63"/>
      <c r="G1" s="63"/>
      <c r="H1" s="63"/>
      <c r="I1" s="63"/>
      <c r="J1" s="63"/>
      <c r="K1" s="63"/>
      <c r="L1" s="63"/>
      <c r="M1" s="26"/>
      <c r="N1" s="26"/>
      <c r="O1" s="26"/>
      <c r="P1" s="26"/>
      <c r="Q1" s="63"/>
      <c r="R1" s="63"/>
      <c r="S1" s="63"/>
      <c r="T1" s="63"/>
      <c r="U1" s="63"/>
      <c r="V1" s="63"/>
      <c r="W1" s="63"/>
      <c r="X1" s="63"/>
      <c r="Y1" s="63"/>
      <c r="Z1" s="63"/>
      <c r="AA1" s="63"/>
      <c r="AB1" s="63"/>
    </row>
    <row r="2" spans="2:28" ht="26.1" customHeight="1" x14ac:dyDescent="0.25">
      <c r="B2" s="28" t="s">
        <v>854</v>
      </c>
      <c r="C2" s="29"/>
      <c r="D2" s="30"/>
      <c r="E2" s="65"/>
      <c r="F2" s="65"/>
      <c r="G2" s="65"/>
      <c r="H2" s="65"/>
      <c r="I2" s="65"/>
      <c r="J2" s="65"/>
      <c r="K2" s="65"/>
      <c r="L2" s="65"/>
      <c r="M2" s="30"/>
      <c r="N2" s="30"/>
      <c r="O2" s="30"/>
      <c r="P2" s="30"/>
      <c r="Q2" s="65"/>
      <c r="R2" s="65"/>
      <c r="S2" s="65"/>
      <c r="T2" s="65"/>
      <c r="U2" s="65"/>
      <c r="V2" s="65"/>
      <c r="W2" s="65"/>
      <c r="X2" s="65"/>
      <c r="Y2" s="65"/>
      <c r="Z2" s="65"/>
      <c r="AA2" s="65"/>
      <c r="AB2" s="65"/>
    </row>
    <row r="3" spans="2:28" ht="30" customHeight="1" x14ac:dyDescent="0.25">
      <c r="C3" s="2" t="s">
        <v>495</v>
      </c>
    </row>
    <row r="4" spans="2:28" ht="20.100000000000001" customHeight="1" x14ac:dyDescent="0.25">
      <c r="C4" s="100" t="s">
        <v>852</v>
      </c>
      <c r="E4" s="101">
        <v>1.0000000000000001E-5</v>
      </c>
    </row>
    <row r="5" spans="2:28" ht="20.100000000000001" customHeight="1" x14ac:dyDescent="0.25">
      <c r="C5" s="45" t="s">
        <v>496</v>
      </c>
    </row>
    <row r="6" spans="2:28" ht="30" customHeight="1" x14ac:dyDescent="0.25">
      <c r="C6" s="51" t="s">
        <v>497</v>
      </c>
      <c r="D6" s="51" t="s">
        <v>841</v>
      </c>
      <c r="E6" s="52" t="s">
        <v>842</v>
      </c>
      <c r="F6" s="52" t="s">
        <v>843</v>
      </c>
      <c r="G6" s="52" t="s">
        <v>844</v>
      </c>
      <c r="H6" s="52" t="s">
        <v>845</v>
      </c>
      <c r="I6" s="52" t="s">
        <v>846</v>
      </c>
      <c r="J6" s="52" t="s">
        <v>847</v>
      </c>
      <c r="K6" s="52" t="s">
        <v>848</v>
      </c>
      <c r="L6" s="52" t="s">
        <v>849</v>
      </c>
      <c r="M6" s="52" t="s">
        <v>850</v>
      </c>
      <c r="N6" s="52" t="s">
        <v>855</v>
      </c>
      <c r="O6" s="52" t="s">
        <v>499</v>
      </c>
      <c r="P6" s="51" t="s">
        <v>851</v>
      </c>
    </row>
    <row r="7" spans="2:28" ht="20.100000000000001" customHeight="1" x14ac:dyDescent="0.25">
      <c r="C7" s="100" t="s">
        <v>500</v>
      </c>
      <c r="D7" s="23" t="s">
        <v>816</v>
      </c>
      <c r="E7" s="50">
        <v>0</v>
      </c>
      <c r="F7" s="50">
        <v>10</v>
      </c>
      <c r="L7" s="98">
        <f>(EXP(-0.05*MAX($E7,0))-EXP(-0.05*$F7))/0.05</f>
        <v>7.8693868057473315</v>
      </c>
      <c r="M7" s="98" cm="1">
        <f t="array" ref="M7">SACCR_SupervisoryDuration($E7,$F7)</f>
        <v>7.8693868057473315</v>
      </c>
      <c r="N7" s="102">
        <f t="shared" ref="N7:N28" si="0">IFERROR(ABS(M7-L7)/MAX(1,ABS(L7)),"")</f>
        <v>0</v>
      </c>
      <c r="O7" s="99" t="str">
        <f t="shared" ref="O7:O28" si="1">IF(ISNUMBER(N7),IF(N7&lt;=FormulaTest_Tolerance,"PASS","FAIL"),"FAIL")</f>
        <v>PASS</v>
      </c>
      <c r="P7" s="32" t="s">
        <v>817</v>
      </c>
    </row>
    <row r="8" spans="2:28" ht="20.100000000000001" customHeight="1" x14ac:dyDescent="0.25">
      <c r="C8" s="100" t="s">
        <v>501</v>
      </c>
      <c r="D8" s="23" t="s">
        <v>816</v>
      </c>
      <c r="E8" s="50">
        <v>1</v>
      </c>
      <c r="F8" s="50">
        <v>11</v>
      </c>
      <c r="L8" s="98">
        <f>(EXP(-0.05*MAX($E8,0))-EXP(-0.05*$F8))/0.05</f>
        <v>7.4855922824045473</v>
      </c>
      <c r="M8" s="98" cm="1">
        <f t="array" ref="M8">SACCR_SupervisoryDuration($E8,$F8)</f>
        <v>7.4855922824045473</v>
      </c>
      <c r="N8" s="102">
        <f t="shared" si="0"/>
        <v>0</v>
      </c>
      <c r="O8" s="99" t="str">
        <f t="shared" si="1"/>
        <v>PASS</v>
      </c>
      <c r="P8" s="32" t="s">
        <v>817</v>
      </c>
    </row>
    <row r="9" spans="2:28" ht="20.100000000000001" customHeight="1" x14ac:dyDescent="0.25">
      <c r="C9" s="100" t="s">
        <v>502</v>
      </c>
      <c r="D9" s="23" t="s">
        <v>818</v>
      </c>
      <c r="E9" s="50">
        <v>0</v>
      </c>
      <c r="F9" s="50">
        <v>0.01</v>
      </c>
      <c r="G9" s="50">
        <f>10/250</f>
        <v>0.04</v>
      </c>
      <c r="L9" s="98">
        <f>MAX((EXP(-0.05*MAX($E9,0))-EXP(-0.05*$F9))/0.05,$G9)</f>
        <v>0.04</v>
      </c>
      <c r="M9" s="98" cm="1">
        <f t="array" ref="M9">SACCR_SupervisoryDuration($E9,$F9,$G9)</f>
        <v>0.04</v>
      </c>
      <c r="N9" s="102">
        <f t="shared" si="0"/>
        <v>0</v>
      </c>
      <c r="O9" s="99" t="str">
        <f t="shared" si="1"/>
        <v>PASS</v>
      </c>
      <c r="P9" s="32" t="s">
        <v>817</v>
      </c>
    </row>
    <row r="10" spans="2:28" ht="20.100000000000001" customHeight="1" x14ac:dyDescent="0.25">
      <c r="C10" s="100" t="s">
        <v>503</v>
      </c>
      <c r="D10" s="23" t="s">
        <v>819</v>
      </c>
      <c r="E10" s="50">
        <v>0.75</v>
      </c>
      <c r="L10" s="98">
        <f>SQRT(MIN(MAX($E10,10/250),1))</f>
        <v>0.8660254037844386</v>
      </c>
      <c r="M10" s="98" cm="1">
        <f t="array" ref="M10">SACCR_MaturityFactor($E10)</f>
        <v>0.8660254037844386</v>
      </c>
      <c r="N10" s="102">
        <f t="shared" si="0"/>
        <v>0</v>
      </c>
      <c r="O10" s="99" t="str">
        <f t="shared" si="1"/>
        <v>PASS</v>
      </c>
      <c r="P10" s="32" t="s">
        <v>820</v>
      </c>
    </row>
    <row r="11" spans="2:28" ht="20.100000000000001" customHeight="1" x14ac:dyDescent="0.25">
      <c r="C11" s="100" t="s">
        <v>504</v>
      </c>
      <c r="D11" s="23" t="s">
        <v>819</v>
      </c>
      <c r="E11" s="50">
        <f>3/365</f>
        <v>8.21917808219178E-3</v>
      </c>
      <c r="L11" s="98">
        <f>SQRT(MIN(MAX($E11,10/250),1))</f>
        <v>0.2</v>
      </c>
      <c r="M11" s="98" cm="1">
        <f t="array" ref="M11">SACCR_MaturityFactor($E11)</f>
        <v>0.2</v>
      </c>
      <c r="N11" s="102">
        <f t="shared" si="0"/>
        <v>0</v>
      </c>
      <c r="O11" s="99" t="str">
        <f t="shared" si="1"/>
        <v>PASS</v>
      </c>
      <c r="P11" s="32" t="s">
        <v>820</v>
      </c>
    </row>
    <row r="12" spans="2:28" ht="20.100000000000001" customHeight="1" x14ac:dyDescent="0.25">
      <c r="C12" s="100" t="s">
        <v>505</v>
      </c>
      <c r="D12" s="23" t="s">
        <v>821</v>
      </c>
      <c r="E12" s="50">
        <v>0</v>
      </c>
      <c r="F12" s="50" t="b">
        <v>1</v>
      </c>
      <c r="G12" s="50">
        <v>10</v>
      </c>
      <c r="L12" s="98">
        <f>IF($F12,1.5*SQRT($G12/250),SQRT(MIN(MAX($E12,10/250),1)))</f>
        <v>0.30000000000000004</v>
      </c>
      <c r="M12" s="98" cm="1">
        <f t="array" ref="M12">SACCR_MaturityFactor($E12,$F12,$G12)</f>
        <v>0.30000000000000004</v>
      </c>
      <c r="N12" s="102">
        <f t="shared" si="0"/>
        <v>0</v>
      </c>
      <c r="O12" s="99" t="str">
        <f t="shared" si="1"/>
        <v>PASS</v>
      </c>
      <c r="P12" s="32" t="s">
        <v>822</v>
      </c>
    </row>
    <row r="13" spans="2:28" ht="20.100000000000001" customHeight="1" x14ac:dyDescent="0.25">
      <c r="C13" s="100" t="s">
        <v>506</v>
      </c>
      <c r="D13" s="23" t="s">
        <v>823</v>
      </c>
      <c r="E13" s="50">
        <v>0.06</v>
      </c>
      <c r="F13" s="50">
        <v>0.05</v>
      </c>
      <c r="G13" s="50">
        <v>1</v>
      </c>
      <c r="H13" s="50">
        <v>0.5</v>
      </c>
      <c r="I13" s="50" t="b">
        <v>0</v>
      </c>
      <c r="J13" s="50" t="b">
        <v>1</v>
      </c>
      <c r="L13" s="98">
        <f>IF($I13,_xlfn.NORM.S.DIST((LN(($E13+$K13)/($F13+$K13))+$H13^2*$G13/2)/($H13*SQRT($G13)),TRUE),-_xlfn.NORM.S.DIST(-(LN(($E13+$K13)/($F13+$K13))+$H13^2*$G13/2)/($H13*SQRT($G13)),TRUE))*IF($J13,1,-1)</f>
        <v>-0.26939521771053271</v>
      </c>
      <c r="M13" s="98" cm="1">
        <f t="array" ref="M13">SACCR_OptionDelta($E13,$F13,$G13,$H13,$I13,$J13)</f>
        <v>-0.26939521771053271</v>
      </c>
      <c r="N13" s="102">
        <f t="shared" si="0"/>
        <v>0</v>
      </c>
      <c r="O13" s="99" t="str">
        <f t="shared" si="1"/>
        <v>PASS</v>
      </c>
      <c r="P13" s="32" t="s">
        <v>920</v>
      </c>
    </row>
    <row r="14" spans="2:28" ht="20.100000000000001" customHeight="1" x14ac:dyDescent="0.25">
      <c r="C14" s="100" t="s">
        <v>507</v>
      </c>
      <c r="D14" s="23" t="s">
        <v>823</v>
      </c>
      <c r="E14" s="50">
        <v>100</v>
      </c>
      <c r="F14" s="50">
        <v>110</v>
      </c>
      <c r="G14" s="50">
        <v>0.5</v>
      </c>
      <c r="H14" s="50">
        <v>0.32</v>
      </c>
      <c r="I14" s="50" t="b">
        <v>1</v>
      </c>
      <c r="J14" s="50" t="b">
        <v>0</v>
      </c>
      <c r="L14" s="98">
        <f>IF($I14,_xlfn.NORM.S.DIST((LN(($E14+$K14)/($F14+$K14))+$H14^2*$G14/2)/($H14*SQRT($G14)),TRUE),-_xlfn.NORM.S.DIST(-(LN(($E14+$K14)/($F14+$K14))+$H14^2*$G14/2)/($H14*SQRT($G14)),TRUE))*IF($J14,1,-1)</f>
        <v>-0.37901134582780288</v>
      </c>
      <c r="M14" s="98" cm="1">
        <f t="array" ref="M14">SACCR_OptionDelta($E14,$F14,$G14,$H14,$I14,$J14)</f>
        <v>-0.37901134582780294</v>
      </c>
      <c r="N14" s="102">
        <f t="shared" si="0"/>
        <v>5.5511151231257827E-17</v>
      </c>
      <c r="O14" s="99" t="str">
        <f t="shared" si="1"/>
        <v>PASS</v>
      </c>
      <c r="P14" s="32" t="s">
        <v>824</v>
      </c>
    </row>
    <row r="15" spans="2:28" ht="20.100000000000001" customHeight="1" x14ac:dyDescent="0.25">
      <c r="C15" s="100" t="s">
        <v>508</v>
      </c>
      <c r="D15" s="23" t="s">
        <v>825</v>
      </c>
      <c r="E15" s="50">
        <v>-2E-3</v>
      </c>
      <c r="F15" s="50">
        <v>1E-3</v>
      </c>
      <c r="G15" s="50">
        <v>2</v>
      </c>
      <c r="H15" s="50">
        <v>0.5</v>
      </c>
      <c r="I15" s="50" t="b">
        <v>1</v>
      </c>
      <c r="J15" s="50" t="b">
        <v>1</v>
      </c>
      <c r="K15" s="50">
        <v>0.01</v>
      </c>
      <c r="L15" s="98">
        <f>IF($I15,_xlfn.NORM.S.DIST((LN(($E15+$K15)/($F15+$K15))+$H15^2*$G15/2)/($H15*SQRT($G15)),TRUE),-_xlfn.NORM.S.DIST(-(LN(($E15+$K15)/($F15+$K15))+$H15^2*$G15/2)/($H15*SQRT($G15)),TRUE))*IF($J15,1,-1)</f>
        <v>0.46143935794124907</v>
      </c>
      <c r="M15" s="98" cm="1">
        <f t="array" ref="M15">SACCR_OptionDelta($E15,$F15,$G15,$H15,$I15,$J15,$K15)</f>
        <v>0.46143935794124913</v>
      </c>
      <c r="N15" s="102">
        <f t="shared" si="0"/>
        <v>5.5511151231257827E-17</v>
      </c>
      <c r="O15" s="99" t="str">
        <f t="shared" si="1"/>
        <v>PASS</v>
      </c>
      <c r="P15" s="32" t="s">
        <v>826</v>
      </c>
    </row>
    <row r="16" spans="2:28" ht="20.100000000000001" customHeight="1" x14ac:dyDescent="0.25">
      <c r="C16" s="100" t="s">
        <v>509</v>
      </c>
      <c r="D16" s="23" t="s">
        <v>827</v>
      </c>
      <c r="E16" s="50">
        <v>0.03</v>
      </c>
      <c r="F16" s="50">
        <v>0.06</v>
      </c>
      <c r="G16" s="50" t="b">
        <v>1</v>
      </c>
      <c r="L16" s="98">
        <f>15/((1+14*$E16)*(1+14*$F16))*IF($G16,1,-1)</f>
        <v>5.7409675443968169</v>
      </c>
      <c r="M16" s="98" cm="1">
        <f t="array" ref="M16">SACCR_CDODelta($E16,$F16,$G16)</f>
        <v>5.740967544396816</v>
      </c>
      <c r="N16" s="102">
        <f t="shared" si="0"/>
        <v>1.5470883833283245E-16</v>
      </c>
      <c r="O16" s="99" t="str">
        <f t="shared" si="1"/>
        <v>PASS</v>
      </c>
      <c r="P16" s="32" t="s">
        <v>828</v>
      </c>
    </row>
    <row r="17" spans="3:16" ht="20.100000000000001" customHeight="1" x14ac:dyDescent="0.25">
      <c r="C17" s="100" t="s">
        <v>510</v>
      </c>
      <c r="D17" s="23" t="s">
        <v>829</v>
      </c>
      <c r="E17" s="50">
        <v>0</v>
      </c>
      <c r="F17" s="50">
        <v>-36253.849384403598</v>
      </c>
      <c r="G17" s="50">
        <v>78693.868057473301</v>
      </c>
      <c r="L17" s="98">
        <f>SQRT(MAX($E17^2+$F17^2+$G17^2+1.4*$E17*$F17+1.4*$F17*$G17+0.6*$E17*$G17,0))</f>
        <v>59269.963463710395</v>
      </c>
      <c r="M17" s="98" cm="1">
        <f t="array" ref="M17">SACCR_IREffectiveNotional($E17,$F17,$G17)</f>
        <v>59269.963463710395</v>
      </c>
      <c r="N17" s="102">
        <f t="shared" si="0"/>
        <v>0</v>
      </c>
      <c r="O17" s="99" t="str">
        <f t="shared" si="1"/>
        <v>PASS</v>
      </c>
      <c r="P17" s="32" t="s">
        <v>830</v>
      </c>
    </row>
    <row r="18" spans="3:16" ht="20.100000000000001" customHeight="1" x14ac:dyDescent="0.25">
      <c r="C18" s="100" t="s">
        <v>511</v>
      </c>
      <c r="D18" s="23" t="s">
        <v>831</v>
      </c>
      <c r="E18" s="50">
        <v>105.86193791695599</v>
      </c>
      <c r="F18" s="50">
        <v>-279.91632166374399</v>
      </c>
      <c r="G18" s="50">
        <v>168.111404865732</v>
      </c>
      <c r="H18" s="50">
        <v>0.5</v>
      </c>
      <c r="I18" s="50">
        <v>0.5</v>
      </c>
      <c r="J18" s="50">
        <v>0.8</v>
      </c>
      <c r="L18" s="98">
        <f>SQRT(SUMPRODUCT($E18:$G18,$H18:$J18)^2+SUMPRODUCT((1-$H18:$J18^2)*$E18:$G18^2))</f>
        <v>282.12883185966604</v>
      </c>
      <c r="M18" s="98" cm="1">
        <f t="array" ref="M18">SACCR_FactorAggregation($E18:$G18,$H18:$J18)</f>
        <v>282.12883185966604</v>
      </c>
      <c r="N18" s="102">
        <f t="shared" si="0"/>
        <v>0</v>
      </c>
      <c r="O18" s="99" t="str">
        <f t="shared" si="1"/>
        <v>PASS</v>
      </c>
      <c r="P18" s="32" t="s">
        <v>832</v>
      </c>
    </row>
    <row r="19" spans="3:16" ht="20.100000000000001" customHeight="1" x14ac:dyDescent="0.25">
      <c r="C19" s="100" t="s">
        <v>512</v>
      </c>
      <c r="D19" s="23" t="s">
        <v>833</v>
      </c>
      <c r="E19" s="50">
        <v>-20</v>
      </c>
      <c r="F19" s="50">
        <v>282</v>
      </c>
      <c r="L19" s="98">
        <f>IF(OR($F19&lt;=0,$E19&gt;0),1,MIN(1,0.05+0.95*EXP($E19/(2*0.95*$F19))))</f>
        <v>0.96519268118719448</v>
      </c>
      <c r="M19" s="98" cm="1">
        <f t="array" ref="M19">SACCR_Multiplier($E19,$F19)</f>
        <v>0.96519268118719448</v>
      </c>
      <c r="N19" s="102">
        <f t="shared" si="0"/>
        <v>0</v>
      </c>
      <c r="O19" s="99" t="str">
        <f t="shared" si="1"/>
        <v>PASS</v>
      </c>
      <c r="P19" s="32" t="s">
        <v>834</v>
      </c>
    </row>
    <row r="20" spans="3:16" ht="20.100000000000001" customHeight="1" x14ac:dyDescent="0.25">
      <c r="C20" s="100" t="s">
        <v>513</v>
      </c>
      <c r="D20" s="23" t="s">
        <v>833</v>
      </c>
      <c r="E20" s="50">
        <v>10</v>
      </c>
      <c r="F20" s="50">
        <v>282</v>
      </c>
      <c r="L20" s="98">
        <f>IF(OR($F20&lt;=0,$E20&gt;0),1,MIN(1,0.05+0.95*EXP($E20/(2*0.95*$F20))))</f>
        <v>1</v>
      </c>
      <c r="M20" s="98" cm="1">
        <f t="array" ref="M20">SACCR_Multiplier($E20,$F20)</f>
        <v>1</v>
      </c>
      <c r="N20" s="102">
        <f t="shared" si="0"/>
        <v>0</v>
      </c>
      <c r="O20" s="99" t="str">
        <f t="shared" si="1"/>
        <v>PASS</v>
      </c>
      <c r="P20" s="32" t="s">
        <v>834</v>
      </c>
    </row>
    <row r="21" spans="3:16" ht="20.100000000000001" customHeight="1" x14ac:dyDescent="0.25">
      <c r="C21" s="100" t="s">
        <v>514</v>
      </c>
      <c r="D21" s="23" t="s">
        <v>835</v>
      </c>
      <c r="E21" s="50">
        <v>5</v>
      </c>
      <c r="F21" s="50">
        <v>10</v>
      </c>
      <c r="G21" s="50" t="b">
        <v>1</v>
      </c>
      <c r="H21" s="50">
        <v>0</v>
      </c>
      <c r="I21" s="50">
        <v>10</v>
      </c>
      <c r="J21" s="50">
        <v>2</v>
      </c>
      <c r="L21" s="98">
        <f>IF($G21,MAX($E21-$F21,$H21+$I21-$J21,0),MAX($E21-$F21,0))</f>
        <v>8</v>
      </c>
      <c r="M21" s="98" cm="1">
        <f t="array" ref="M21">SACCR_ReplacementCost($E21,$F21,$G21,$H21,$I21,$J21)</f>
        <v>8</v>
      </c>
      <c r="N21" s="102">
        <f t="shared" si="0"/>
        <v>0</v>
      </c>
      <c r="O21" s="99" t="str">
        <f t="shared" si="1"/>
        <v>PASS</v>
      </c>
      <c r="P21" s="32" t="s">
        <v>836</v>
      </c>
    </row>
    <row r="22" spans="3:16" ht="20.100000000000001" customHeight="1" x14ac:dyDescent="0.25">
      <c r="C22" s="100" t="s">
        <v>515</v>
      </c>
      <c r="D22" s="23" t="s">
        <v>837</v>
      </c>
      <c r="E22" s="50">
        <v>1.96</v>
      </c>
      <c r="L22" s="98">
        <f>_xlfn.NORM.S.DIST($E22,TRUE)</f>
        <v>0.97500210485177952</v>
      </c>
      <c r="M22" s="98" cm="1">
        <f t="array" ref="M22">SACCR_NormCDF($E22)</f>
        <v>0.97500210485177952</v>
      </c>
      <c r="N22" s="102">
        <f t="shared" si="0"/>
        <v>0</v>
      </c>
      <c r="O22" s="99" t="str">
        <f t="shared" si="1"/>
        <v>PASS</v>
      </c>
      <c r="P22" s="32" t="s">
        <v>838</v>
      </c>
    </row>
    <row r="23" spans="3:16" ht="20.100000000000001" customHeight="1" x14ac:dyDescent="0.25">
      <c r="C23" s="100" t="s">
        <v>516</v>
      </c>
      <c r="D23" s="23" t="s">
        <v>837</v>
      </c>
      <c r="E23" s="50">
        <v>-4</v>
      </c>
      <c r="L23" s="98">
        <f>_xlfn.NORM.S.DIST($E23,TRUE)</f>
        <v>3.1671241833119857E-5</v>
      </c>
      <c r="M23" s="98" cm="1">
        <f t="array" ref="M23">SACCR_NormCDF($E23)</f>
        <v>3.1671241833116008E-5</v>
      </c>
      <c r="N23" s="102">
        <f t="shared" si="0"/>
        <v>3.8489177123235407E-18</v>
      </c>
      <c r="O23" s="99" t="str">
        <f t="shared" si="1"/>
        <v>PASS</v>
      </c>
      <c r="P23" s="32" t="s">
        <v>838</v>
      </c>
    </row>
    <row r="24" spans="3:16" ht="20.100000000000001" customHeight="1" x14ac:dyDescent="0.25">
      <c r="C24" s="100" t="s">
        <v>517</v>
      </c>
      <c r="D24" s="23" t="s">
        <v>839</v>
      </c>
      <c r="E24" s="50">
        <v>-2E-3</v>
      </c>
      <c r="F24" s="50">
        <v>1E-3</v>
      </c>
      <c r="G24" s="50" t="b">
        <v>1</v>
      </c>
      <c r="L24" s="98">
        <f>IF($G24,MAX(0.001-MIN($E24,$F24),0),MAX(-(1+0.1)*MIN($E24,$F24),0))</f>
        <v>3.0000000000000001E-3</v>
      </c>
      <c r="M24" s="98" cm="1">
        <f t="array" ref="M24">SACCR_LambdaCRR($E24,$F24,$G24)</f>
        <v>3.0000000000000001E-3</v>
      </c>
      <c r="N24" s="102">
        <f t="shared" si="0"/>
        <v>0</v>
      </c>
      <c r="O24" s="99" t="str">
        <f t="shared" si="1"/>
        <v>PASS</v>
      </c>
      <c r="P24" s="32" t="s">
        <v>840</v>
      </c>
    </row>
    <row r="25" spans="3:16" ht="20.100000000000001" customHeight="1" x14ac:dyDescent="0.25">
      <c r="C25" s="100" t="s">
        <v>518</v>
      </c>
      <c r="D25" s="23" t="s">
        <v>839</v>
      </c>
      <c r="E25" s="50">
        <v>0.02</v>
      </c>
      <c r="F25" s="50">
        <v>0.03</v>
      </c>
      <c r="G25" s="50" t="b">
        <v>1</v>
      </c>
      <c r="L25" s="98">
        <f>IF($G25,MAX(0.001-MIN($E25,$F25),0),MAX(-(1+0.1)*MIN($E25,$F25),0))</f>
        <v>0</v>
      </c>
      <c r="M25" s="98" cm="1">
        <f t="array" ref="M25">SACCR_LambdaCRR($E25,$F25,$G25)</f>
        <v>0</v>
      </c>
      <c r="N25" s="102">
        <f t="shared" si="0"/>
        <v>0</v>
      </c>
      <c r="O25" s="99" t="str">
        <f t="shared" si="1"/>
        <v>PASS</v>
      </c>
      <c r="P25" s="32" t="s">
        <v>840</v>
      </c>
    </row>
    <row r="26" spans="3:16" ht="20.100000000000001" customHeight="1" x14ac:dyDescent="0.25">
      <c r="C26" s="100" t="s">
        <v>519</v>
      </c>
      <c r="D26" s="23" t="s">
        <v>839</v>
      </c>
      <c r="E26" s="50">
        <v>5.0000000000000001E-4</v>
      </c>
      <c r="F26" s="50">
        <v>0.01</v>
      </c>
      <c r="G26" s="50" t="b">
        <v>1</v>
      </c>
      <c r="L26" s="98">
        <f>IF($G26,MAX(0.001-MIN($E26,$F26),0),MAX(-(1+0.1)*MIN($E26,$F26),0))</f>
        <v>5.0000000000000001E-4</v>
      </c>
      <c r="M26" s="98" cm="1">
        <f t="array" ref="M26">SACCR_LambdaCRR($E26,$F26,$G26)</f>
        <v>5.0000000000000001E-4</v>
      </c>
      <c r="N26" s="102">
        <f t="shared" si="0"/>
        <v>0</v>
      </c>
      <c r="O26" s="99" t="str">
        <f t="shared" si="1"/>
        <v>PASS</v>
      </c>
      <c r="P26" s="32" t="s">
        <v>840</v>
      </c>
    </row>
    <row r="27" spans="3:16" ht="20.100000000000001" customHeight="1" x14ac:dyDescent="0.25">
      <c r="C27" s="100" t="s">
        <v>520</v>
      </c>
      <c r="D27" s="23" t="s">
        <v>839</v>
      </c>
      <c r="E27" s="50">
        <v>-5</v>
      </c>
      <c r="F27" s="50">
        <v>-4</v>
      </c>
      <c r="G27" s="50" t="b">
        <v>0</v>
      </c>
      <c r="L27" s="98">
        <f>IF($G27,MAX(0.001-MIN($E27,$F27),0),MAX(-(1+0.1)*MIN($E27,$F27),0))</f>
        <v>5.5</v>
      </c>
      <c r="M27" s="98" cm="1">
        <f t="array" ref="M27">SACCR_LambdaCRR($E27,$F27,$G27)</f>
        <v>5.5</v>
      </c>
      <c r="N27" s="102">
        <f t="shared" si="0"/>
        <v>0</v>
      </c>
      <c r="O27" s="99" t="str">
        <f t="shared" si="1"/>
        <v>PASS</v>
      </c>
      <c r="P27" s="32" t="s">
        <v>840</v>
      </c>
    </row>
    <row r="28" spans="3:16" ht="20.100000000000001" customHeight="1" x14ac:dyDescent="0.25">
      <c r="C28" s="100" t="s">
        <v>521</v>
      </c>
      <c r="D28" s="23" t="s">
        <v>839</v>
      </c>
      <c r="E28" s="50">
        <v>40</v>
      </c>
      <c r="F28" s="50">
        <v>35</v>
      </c>
      <c r="G28" s="50" t="b">
        <v>0</v>
      </c>
      <c r="L28" s="98">
        <f>IF($G28,MAX(0.001-MIN($E28,$F28),0),MAX(-(1+0.1)*MIN($E28,$F28),0))</f>
        <v>0</v>
      </c>
      <c r="M28" s="98" cm="1">
        <f t="array" ref="M28">SACCR_LambdaCRR($E28,$F28,$G28)</f>
        <v>0</v>
      </c>
      <c r="N28" s="102">
        <f t="shared" si="0"/>
        <v>0</v>
      </c>
      <c r="O28" s="99" t="str">
        <f t="shared" si="1"/>
        <v>PASS</v>
      </c>
      <c r="P28" s="32" t="s">
        <v>840</v>
      </c>
    </row>
  </sheetData>
  <dataValidations count="31">
    <dataValidation type="custom" showInputMessage="1" showErrorMessage="1" errorTitle="Invalid tolerance" error="Enter a percentage above 0% and at most 1%." promptTitle="Tolerance" prompt="Relative tolerance of every unit test: a row passes when its Rel. diff, |Function - Expected| / max(1, |Expected|), is at most this value. Default 0.001%. Below about 1e-16 (double precision) only an exact match passes." sqref="E4" xr:uid="{00000000-0002-0000-0E00-000000000000}">
      <formula1>AND(ISNUMBER(E4),E4&gt;0,E4&lt;=0.01)</formula1>
    </dataValidation>
    <dataValidation type="decimal" allowBlank="1" showInputMessage="1" showErrorMessage="1" errorTitle="Invalid start date" error="Enter a number of years from -50 to 50." promptTitle="Start date S (years)" prompt="Years from today to the start of the period referenced. Zero or negative means already started and is floored at 0 (CRE52.34; CRR Art. 279b(1)(a))." sqref="E7:E9" xr:uid="{00000000-0002-0000-0E00-000001000000}">
      <formula1>-50</formula1>
      <formula2>50</formula2>
    </dataValidation>
    <dataValidation type="custom" allowBlank="1" showInputMessage="1" showErrorMessage="1" errorTitle="Invalid end date" error="Enter a number of years after the start date and after 0, at most 50." promptTitle="End date E (years)" prompt="Years from today to the end of the period referenced: after the start date and after today, at most 50 (CRE52.34)." sqref="F7:F9" xr:uid="{00000000-0002-0000-0E00-000002000000}">
      <formula1>AND(ISNUMBER(F7),F7&gt;MAX(E7,0),F7&lt;=50)</formula1>
    </dataValidation>
    <dataValidation type="decimal" allowBlank="1" showInputMessage="1" showErrorMessage="1" errorTitle="Invalid floor" error="Enter a number of years from 0 to 1." promptTitle="SD floor (years)" prompt="Floor on the supervisory duration, in years: 10 business days = 10/250 (CRE52.34)." sqref="G9" xr:uid="{00000000-0002-0000-0E00-000003000000}">
      <formula1>0</formula1>
      <formula2>1</formula2>
    </dataValidation>
    <dataValidation type="decimal" allowBlank="1" showInputMessage="1" showErrorMessage="1" errorTitle="Invalid maturity" error="Enter a number of years from 0 to 50." promptTitle="Maturity M (years)" prompt="Remaining maturity in years. The unmargined factor floors it at 10 business days and caps it at 1 year (CRE52.48; CRR Art. 279c(1)(a))." sqref="E10:E12" xr:uid="{00000000-0002-0000-0E00-000004000000}">
      <formula1>0</formula1>
      <formula2>50</formula2>
    </dataValidation>
    <dataValidation type="list" allowBlank="1" showInputMessage="1" showErrorMessage="1" errorTitle="Invalid choice" error="Choose TRUE or FALSE." promptTitle="Margined" prompt="TRUE = margined factor 1.5 x sqrt(MPOR / 250) (CRE52.52; CRR Art. 279c(1)(b)). FALSE = unmargined factor from M." sqref="F12" xr:uid="{00000000-0002-0000-0E00-000005000000}">
      <formula1>"TRUE,FALSE"</formula1>
    </dataValidation>
    <dataValidation type="whole" allowBlank="1" showInputMessage="1" showErrorMessage="1" errorTitle="Invalid MPOR" error="Enter a whole number of business days from 1 to 250." promptTitle="MPOR (business days)" prompt="Margin period of risk in business days, used when margined (CRE52.50-52; CRR Art. 285)." sqref="G12" xr:uid="{00000000-0002-0000-0E00-000006000000}">
      <formula1>1</formula1>
      <formula2>250</formula2>
    </dataValidation>
    <dataValidation type="custom" allowBlank="1" showInputMessage="1" showErrorMessage="1" errorTitle="Invalid price" error="Enter a number; P plus lambda (Input 7) must be above 0." promptTitle="Price P" prompt="Price of the underlying (forward rate for IR options). P plus lambda (Input 7) must be above 0 (CRE52.40)." sqref="E13:E15" xr:uid="{00000000-0002-0000-0E00-000007000000}">
      <formula1>AND(ISNUMBER(E13),E13+$K13&gt;0)</formula1>
    </dataValidation>
    <dataValidation type="custom" allowBlank="1" showInputMessage="1" showErrorMessage="1" errorTitle="Invalid strike" error="Enter a number; K plus lambda (Input 7) must be above 0." promptTitle="Strike K" prompt="Strike of the option. K plus lambda (Input 7) must be above 0 (CRE52.40)." sqref="F13:F15" xr:uid="{00000000-0002-0000-0E00-000008000000}">
      <formula1>AND(ISNUMBER(F13),F13+$K13&gt;0)</formula1>
    </dataValidation>
    <dataValidation type="custom" allowBlank="1" showInputMessage="1" showErrorMessage="1" errorTitle="Invalid expiry" error="Enter a number of years above 0, at most 100." promptTitle="Expiry T (years)" prompt="Latest contractual exercise date, in years from today, above 0 (CRE52.40; CRR Art. 279a(1)(a))." sqref="G13:G15" xr:uid="{00000000-0002-0000-0E00-000009000000}">
      <formula1>AND(ISNUMBER(G13),G13&gt;0,G13&lt;=100)</formula1>
    </dataValidation>
    <dataValidation type="custom" allowBlank="1" showInputMessage="1" showErrorMessage="1" errorTitle="Invalid volatility" error="Enter a decimal above 0, at most 5." promptTitle="Supervisory volatility" prompt="Supervisory option volatility as a decimal (0.5 = 50%), above 0 and at most 5 (CRE52.72; CRR Art. 279a Table 1; IR and commodity options: RTS 2021/931 Art. 5(3))." sqref="H13:H15" xr:uid="{00000000-0002-0000-0E00-00000A000000}">
      <formula1>AND(ISNUMBER(H13),H13&gt;0,H13&lt;=5)</formula1>
    </dataValidation>
    <dataValidation type="list" allowBlank="1" showInputMessage="1" showErrorMessage="1" errorTitle="Invalid choice" error="Choose TRUE or FALSE." promptTitle="Call" prompt="TRUE = call option; FALSE = put option (CRE52.40)." sqref="I13:I15" xr:uid="{00000000-0002-0000-0E00-00000B000000}">
      <formula1>"TRUE,FALSE"</formula1>
    </dataValidation>
    <dataValidation type="list" allowBlank="1" showInputMessage="1" showErrorMessage="1" errorTitle="Invalid choice" error="Choose TRUE or FALSE." promptTitle="Bought" prompt="TRUE = bought option (long); FALSE = sold option (short) (CRE52.40)." sqref="J13:J15" xr:uid="{00000000-0002-0000-0E00-00000C000000}">
      <formula1>"TRUE,FALSE"</formula1>
    </dataValidation>
    <dataValidation type="decimal" operator="greaterThanOrEqual" allowBlank="1" showInputMessage="1" showErrorMessage="1" errorTitle="Invalid value" error="Enter a number of 0 or more." promptTitle="Lambda shift" prompt="Shift added to P and K so that both are above 0 (CRE52.40 FAQ; CRR-RTS Art. 5). 0 or more." sqref="K15" xr:uid="{00000000-0002-0000-0E00-00000D000000}">
      <formula1>0</formula1>
    </dataValidation>
    <dataValidation type="decimal" allowBlank="1" showInputMessage="1" showErrorMessage="1" errorTitle="Invalid attachment" error="Enter a decimal from 0 to below 1, e.g. 0.03 for 3%." promptTitle="Attachment A" prompt="Attachment point of the tranche, from 0 to below 1 (CRE52.41)." sqref="E16" xr:uid="{00000000-0002-0000-0E00-00000E000000}">
      <formula1>0</formula1>
      <formula2>0.9999</formula2>
    </dataValidation>
    <dataValidation type="custom" allowBlank="1" showInputMessage="1" showErrorMessage="1" errorTitle="Invalid detachment" error="Enter a decimal above the attachment point and at most 1." promptTitle="Detachment D" prompt="Detachment point, above the attachment and at most 1 (CRE52.41)." sqref="F16" xr:uid="{00000000-0002-0000-0E00-00000F000000}">
      <formula1>AND(ISNUMBER(F16),F16&gt;E16,F16&lt;=1)</formula1>
    </dataValidation>
    <dataValidation type="list" allowBlank="1" showInputMessage="1" showErrorMessage="1" errorTitle="Invalid choice" error="Choose TRUE or FALSE." promptTitle="Protection bought" prompt="TRUE = protection bought (positive delta); FALSE = protection sold (CRE52.41; CRR Art. 279a(1)(b))." sqref="G16" xr:uid="{00000000-0002-0000-0E00-000010000000}">
      <formula1>"TRUE,FALSE"</formula1>
    </dataValidation>
    <dataValidation type="custom" allowBlank="1" showInputMessage="1" showErrorMessage="1" errorTitle="Invalid number" error="Enter a number." promptTitle="Bucket effective notional" prompt="Signed effective notional D of maturity bucket 1, 2 or 3 (BCBS: under 1 year, 1 to 5, over 5 years, CRE52.57; CRR: bucket 1 includes 1 year, Art. 280a(3))." sqref="E17:G17" xr:uid="{00000000-0002-0000-0E00-000011000000}">
      <formula1>ISNUMBER(E17)</formula1>
    </dataValidation>
    <dataValidation type="custom" allowBlank="1" showInputMessage="1" showErrorMessage="1" errorTitle="Invalid number" error="Enter a number." promptTitle="Entity add-on" prompt="Add-on of entity or commodity type k, signed by direction (CRE52.61; CRR Art. 280c)." sqref="E18:G18" xr:uid="{00000000-0002-0000-0E00-000012000000}">
      <formula1>ISNUMBER(E18)</formula1>
    </dataValidation>
    <dataValidation type="decimal" allowBlank="1" showInputMessage="1" showErrorMessage="1" errorTitle="Invalid correlation" error="Enter a decimal from 0 to 1." promptTitle="Correlation" prompt="Correlation of entity k, as a decimal from 0 to 1: credit 0.5 single name, 0.8 index (CRE52.61)." sqref="H18:J18" xr:uid="{00000000-0002-0000-0E00-000013000000}">
      <formula1>0</formula1>
      <formula2>1</formula2>
    </dataValidation>
    <dataValidation type="custom" allowBlank="1" showInputMessage="1" showErrorMessage="1" errorTitle="Invalid number" error="Enter a number." promptTitle="V - C" prompt="Net market value of the netting set less collateral, signed (CRE52.23; CRR Art. 278(3))." sqref="E19:E20" xr:uid="{00000000-0002-0000-0E00-000014000000}">
      <formula1>ISNUMBER(E19)</formula1>
    </dataValidation>
    <dataValidation type="decimal" operator="greaterThanOrEqual" allowBlank="1" showInputMessage="1" showErrorMessage="1" errorTitle="Invalid value" error="Enter a number of 0 or more." promptTitle="Aggregate add-on" prompt="Aggregate add-on of the netting set, 0 or more; 0 gives a multiplier of 1 (CRE52.23)." sqref="F19:F20" xr:uid="{00000000-0002-0000-0E00-000015000000}">
      <formula1>0</formula1>
    </dataValidation>
    <dataValidation type="custom" allowBlank="1" showInputMessage="1" showErrorMessage="1" errorTitle="Invalid number" error="Enter a number." promptTitle="V" prompt="Net market value of the trades in the netting set, signed (CRE52.10; CRR Art. 275)." sqref="E21" xr:uid="{00000000-0002-0000-0E00-000016000000}">
      <formula1>ISNUMBER(E21)</formula1>
    </dataValidation>
    <dataValidation type="custom" allowBlank="1" showInputMessage="1" showErrorMessage="1" errorTitle="Invalid number" error="Enter a number." promptTitle="C" prompt="Net collateral held after haircuts; negative if posted (CRE52.10; CRR Art. 275)." sqref="F21" xr:uid="{00000000-0002-0000-0E00-000017000000}">
      <formula1>ISNUMBER(F21)</formula1>
    </dataValidation>
    <dataValidation type="list" allowBlank="1" showInputMessage="1" showErrorMessage="1" errorTitle="Invalid choice" error="Choose TRUE or FALSE." promptTitle="Margined" prompt="TRUE = margined RC max(V - C, TH + MTA - NICA, 0) (CRE52.18); FALSE = max(V - C, 0) (CRE52.10)." sqref="G21" xr:uid="{00000000-0002-0000-0E00-000018000000}">
      <formula1>"TRUE,FALSE"</formula1>
    </dataValidation>
    <dataValidation type="decimal" operator="greaterThanOrEqual" allowBlank="1" showInputMessage="1" showErrorMessage="1" errorTitle="Invalid value" error="Enter a number of 0 or more." promptTitle="Threshold TH" prompt="Threshold of the margin agreement, 0 or more (CRE52.18; CRR Art. 275(2))." sqref="H21" xr:uid="{00000000-0002-0000-0E00-000019000000}">
      <formula1>0</formula1>
    </dataValidation>
    <dataValidation type="decimal" operator="greaterThanOrEqual" allowBlank="1" showInputMessage="1" showErrorMessage="1" errorTitle="Invalid value" error="Enter a number of 0 or more." promptTitle="Minimum transfer amount" prompt="Minimum transfer amount MTA, 0 or more (CRE52.18; CRR Art. 275(2))." sqref="I21" xr:uid="{00000000-0002-0000-0E00-00001A000000}">
      <formula1>0</formula1>
    </dataValidation>
    <dataValidation type="custom" allowBlank="1" showInputMessage="1" showErrorMessage="1" errorTitle="Invalid number" error="Enter a number." promptTitle="NICA" prompt="Net independent collateral amount, signed; negative if posted (CRE52.17; CRR Art. 272(12a), 275(2))." sqref="J21" xr:uid="{00000000-0002-0000-0E00-00001B000000}">
      <formula1>ISNUMBER(J21)</formula1>
    </dataValidation>
    <dataValidation type="custom" allowBlank="1" showInputMessage="1" showErrorMessage="1" errorTitle="Invalid number" error="Enter a number." promptTitle="x" prompt="Point at which the standard normal distribution function is evaluated." sqref="E22:E23" xr:uid="{00000000-0002-0000-0E00-00001C000000}">
      <formula1>ISNUMBER(E22)</formula1>
    </dataValidation>
    <dataValidation type="custom" allowBlank="1" showInputMessage="1" showErrorMessage="1" errorTitle="Invalid number" error="Enter a number." promptTitle="Price or strike" prompt="Price P (Input 1) or strike K (Input 2) of the option; negative values allowed (CRR-RTS Art. 5(2))." sqref="E24:F28" xr:uid="{00000000-0002-0000-0E00-00001D000000}">
      <formula1>ISNUMBER(E24)</formula1>
    </dataValidation>
    <dataValidation type="list" allowBlank="1" showInputMessage="1" showErrorMessage="1" errorTitle="Invalid choice" error="Choose TRUE or FALSE." promptTitle="Interest rate" prompt="TRUE = interest-rate option (threshold 0.10%); FALSE = commodity option (threshold 0.1) (CRR-RTS Art. 5(2))." sqref="G24:G28" xr:uid="{00000000-0002-0000-0E00-00001E000000}">
      <formula1>"TRUE,FALSE"</formula1>
    </dataValidation>
  </dataValidations>
  <pageMargins left="0.4" right="0.4" top="0.5" bottom="0.5" header="0.3" footer="0.3"/>
  <pageSetup paperSize="9"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BaselVsCRR">
    <tabColor rgb="FF1F3864"/>
    <pageSetUpPr fitToPage="1"/>
  </sheetPr>
  <dimension ref="A1:X273"/>
  <sheetViews>
    <sheetView showGridLines="0" tabSelected="1" zoomScaleNormal="100" workbookViewId="0">
      <pane ySplit="5" topLeftCell="A6" activePane="bottomLeft" state="frozen"/>
      <selection pane="bottomLeft" activeCell="D6" sqref="D6"/>
    </sheetView>
  </sheetViews>
  <sheetFormatPr defaultColWidth="0" defaultRowHeight="15" x14ac:dyDescent="0.25"/>
  <cols>
    <col min="1" max="2" width="4" customWidth="1"/>
    <col min="3" max="3" width="4.75" style="97" customWidth="1"/>
    <col min="4" max="4" width="20.625" customWidth="1"/>
    <col min="5" max="6" width="50.625" customWidth="1"/>
    <col min="7" max="7" width="15.625" customWidth="1"/>
    <col min="8" max="8" width="20.625" customWidth="1"/>
    <col min="9" max="9" width="40.625" customWidth="1"/>
    <col min="10" max="10" width="18.625" style="66" customWidth="1"/>
    <col min="11" max="11" width="20.75" customWidth="1"/>
    <col min="12" max="12" width="5.625" customWidth="1"/>
    <col min="13" max="24" width="0" hidden="1" customWidth="1"/>
    <col min="25" max="16384" width="9" hidden="1"/>
  </cols>
  <sheetData>
    <row r="1" spans="2:19" ht="24" customHeight="1" x14ac:dyDescent="0.25">
      <c r="B1" s="62" t="s">
        <v>0</v>
      </c>
      <c r="C1" s="73"/>
      <c r="D1" s="26"/>
      <c r="E1" s="26"/>
      <c r="F1" s="26"/>
      <c r="G1" s="26"/>
      <c r="H1" s="26"/>
      <c r="I1" s="26"/>
      <c r="J1" s="63"/>
      <c r="K1" s="26"/>
      <c r="S1" s="27"/>
    </row>
    <row r="2" spans="2:19" ht="26.1" customHeight="1" x14ac:dyDescent="0.25">
      <c r="B2" s="64" t="s">
        <v>632</v>
      </c>
      <c r="C2" s="74"/>
      <c r="D2" s="30"/>
      <c r="E2" s="30"/>
      <c r="F2" s="30"/>
      <c r="G2" s="30"/>
      <c r="H2" s="30"/>
      <c r="I2" s="30"/>
      <c r="J2" s="65"/>
      <c r="K2" s="30"/>
      <c r="S2" s="27"/>
    </row>
    <row r="3" spans="2:19" ht="30" customHeight="1" x14ac:dyDescent="0.25">
      <c r="C3" s="75" t="s">
        <v>633</v>
      </c>
    </row>
    <row r="4" spans="2:19" ht="9.9499999999999993" customHeight="1" x14ac:dyDescent="0.25">
      <c r="C4" s="66"/>
    </row>
    <row r="5" spans="2:19" ht="39.950000000000003" customHeight="1" x14ac:dyDescent="0.25">
      <c r="C5" s="52" t="s">
        <v>634</v>
      </c>
      <c r="D5" s="68" t="s">
        <v>524</v>
      </c>
      <c r="E5" s="68" t="s">
        <v>635</v>
      </c>
      <c r="F5" s="68" t="s">
        <v>636</v>
      </c>
      <c r="G5" s="52" t="s">
        <v>637</v>
      </c>
      <c r="H5" s="68" t="s">
        <v>638</v>
      </c>
      <c r="I5" s="68" t="s">
        <v>639</v>
      </c>
      <c r="J5" s="52" t="s">
        <v>63</v>
      </c>
      <c r="K5" s="68" t="s">
        <v>640</v>
      </c>
    </row>
    <row r="6" spans="2:19" ht="50" customHeight="1" x14ac:dyDescent="0.25">
      <c r="C6" s="76">
        <v>1</v>
      </c>
      <c r="D6" s="77" t="s">
        <v>641</v>
      </c>
      <c r="E6" s="78" t="s">
        <v>642</v>
      </c>
      <c r="F6" s="78" t="s">
        <v>643</v>
      </c>
      <c r="G6" s="79" t="s">
        <v>644</v>
      </c>
      <c r="H6" s="78" t="s">
        <v>645</v>
      </c>
      <c r="I6" s="78" t="s">
        <v>646</v>
      </c>
      <c r="J6" s="80" t="s">
        <v>647</v>
      </c>
      <c r="K6" s="81" t="s">
        <v>648</v>
      </c>
    </row>
    <row r="7" spans="2:19" ht="50" customHeight="1" x14ac:dyDescent="0.25">
      <c r="C7" s="82">
        <v>2</v>
      </c>
      <c r="D7" s="83" t="s">
        <v>649</v>
      </c>
      <c r="E7" s="84" t="s">
        <v>650</v>
      </c>
      <c r="F7" s="84" t="s">
        <v>651</v>
      </c>
      <c r="G7" s="85" t="s">
        <v>652</v>
      </c>
      <c r="H7" s="84" t="s">
        <v>653</v>
      </c>
      <c r="I7" s="84" t="s">
        <v>654</v>
      </c>
      <c r="J7" s="86" t="s">
        <v>544</v>
      </c>
      <c r="K7" s="87" t="s">
        <v>648</v>
      </c>
    </row>
    <row r="8" spans="2:19" ht="104" customHeight="1" x14ac:dyDescent="0.25">
      <c r="C8" s="82">
        <v>3</v>
      </c>
      <c r="D8" s="83" t="s">
        <v>655</v>
      </c>
      <c r="E8" s="84" t="s">
        <v>782</v>
      </c>
      <c r="F8" s="84" t="s">
        <v>656</v>
      </c>
      <c r="G8" s="88" t="s">
        <v>652</v>
      </c>
      <c r="H8" s="84" t="s">
        <v>783</v>
      </c>
      <c r="I8" s="84" t="s">
        <v>784</v>
      </c>
      <c r="J8" s="86" t="s">
        <v>657</v>
      </c>
      <c r="K8" s="89" t="s">
        <v>785</v>
      </c>
    </row>
    <row r="9" spans="2:19" ht="50" customHeight="1" x14ac:dyDescent="0.25">
      <c r="C9" s="82">
        <v>4</v>
      </c>
      <c r="D9" s="83" t="s">
        <v>658</v>
      </c>
      <c r="E9" s="84" t="s">
        <v>786</v>
      </c>
      <c r="F9" s="84" t="s">
        <v>787</v>
      </c>
      <c r="G9" s="85" t="s">
        <v>788</v>
      </c>
      <c r="H9" s="84" t="s">
        <v>789</v>
      </c>
      <c r="I9" s="84" t="s">
        <v>790</v>
      </c>
      <c r="J9" s="86" t="s">
        <v>557</v>
      </c>
      <c r="K9" s="87" t="s">
        <v>648</v>
      </c>
    </row>
    <row r="10" spans="2:19" ht="50" customHeight="1" x14ac:dyDescent="0.25">
      <c r="C10" s="82">
        <v>5</v>
      </c>
      <c r="D10" s="83" t="s">
        <v>659</v>
      </c>
      <c r="E10" s="84" t="s">
        <v>660</v>
      </c>
      <c r="F10" s="84" t="s">
        <v>661</v>
      </c>
      <c r="G10" s="85" t="s">
        <v>652</v>
      </c>
      <c r="H10" s="84" t="s">
        <v>653</v>
      </c>
      <c r="I10" s="84" t="s">
        <v>662</v>
      </c>
      <c r="J10" s="86" t="s">
        <v>574</v>
      </c>
      <c r="K10" s="87" t="s">
        <v>648</v>
      </c>
    </row>
    <row r="11" spans="2:19" ht="50" customHeight="1" x14ac:dyDescent="0.25">
      <c r="C11" s="82">
        <v>6</v>
      </c>
      <c r="D11" s="83" t="s">
        <v>442</v>
      </c>
      <c r="E11" s="84" t="s">
        <v>663</v>
      </c>
      <c r="F11" s="84" t="s">
        <v>664</v>
      </c>
      <c r="G11" s="85" t="s">
        <v>652</v>
      </c>
      <c r="H11" s="84" t="s">
        <v>653</v>
      </c>
      <c r="I11" s="84" t="s">
        <v>662</v>
      </c>
      <c r="J11" s="86" t="s">
        <v>665</v>
      </c>
      <c r="K11" s="87" t="s">
        <v>648</v>
      </c>
    </row>
    <row r="12" spans="2:19" ht="50" customHeight="1" x14ac:dyDescent="0.25">
      <c r="C12" s="82">
        <v>7</v>
      </c>
      <c r="D12" s="83" t="s">
        <v>666</v>
      </c>
      <c r="E12" s="84" t="s">
        <v>667</v>
      </c>
      <c r="F12" s="84" t="s">
        <v>668</v>
      </c>
      <c r="G12" s="88" t="s">
        <v>644</v>
      </c>
      <c r="H12" s="84" t="s">
        <v>669</v>
      </c>
      <c r="I12" s="84" t="s">
        <v>670</v>
      </c>
      <c r="J12" s="86" t="s">
        <v>671</v>
      </c>
      <c r="K12" s="87" t="s">
        <v>648</v>
      </c>
    </row>
    <row r="13" spans="2:19" ht="50" customHeight="1" x14ac:dyDescent="0.25">
      <c r="C13" s="82">
        <v>8</v>
      </c>
      <c r="D13" s="83" t="s">
        <v>672</v>
      </c>
      <c r="E13" s="84" t="s">
        <v>673</v>
      </c>
      <c r="F13" s="84" t="s">
        <v>674</v>
      </c>
      <c r="G13" s="88" t="s">
        <v>675</v>
      </c>
      <c r="H13" s="84" t="s">
        <v>676</v>
      </c>
      <c r="I13" s="84" t="s">
        <v>677</v>
      </c>
      <c r="J13" s="86" t="s">
        <v>678</v>
      </c>
      <c r="K13" s="89" t="s">
        <v>679</v>
      </c>
    </row>
    <row r="14" spans="2:19" ht="50" customHeight="1" x14ac:dyDescent="0.25">
      <c r="C14" s="82">
        <v>9</v>
      </c>
      <c r="D14" s="83" t="s">
        <v>680</v>
      </c>
      <c r="E14" s="84" t="s">
        <v>681</v>
      </c>
      <c r="F14" s="84" t="s">
        <v>682</v>
      </c>
      <c r="G14" s="88" t="s">
        <v>683</v>
      </c>
      <c r="H14" s="84" t="s">
        <v>684</v>
      </c>
      <c r="I14" s="84" t="s">
        <v>685</v>
      </c>
      <c r="J14" s="86" t="s">
        <v>647</v>
      </c>
      <c r="K14" s="87" t="s">
        <v>648</v>
      </c>
    </row>
    <row r="15" spans="2:19" ht="50" customHeight="1" x14ac:dyDescent="0.25">
      <c r="C15" s="82">
        <v>10</v>
      </c>
      <c r="D15" s="83" t="s">
        <v>686</v>
      </c>
      <c r="E15" s="84" t="s">
        <v>687</v>
      </c>
      <c r="F15" s="84" t="s">
        <v>688</v>
      </c>
      <c r="G15" s="88" t="s">
        <v>644</v>
      </c>
      <c r="H15" s="84" t="s">
        <v>689</v>
      </c>
      <c r="I15" s="84" t="s">
        <v>690</v>
      </c>
      <c r="J15" s="86" t="s">
        <v>622</v>
      </c>
      <c r="K15" s="89" t="s">
        <v>768</v>
      </c>
    </row>
    <row r="16" spans="2:19" ht="50" customHeight="1" x14ac:dyDescent="0.25">
      <c r="C16" s="82">
        <v>11</v>
      </c>
      <c r="D16" s="83" t="s">
        <v>691</v>
      </c>
      <c r="E16" s="84" t="s">
        <v>692</v>
      </c>
      <c r="F16" s="84" t="s">
        <v>693</v>
      </c>
      <c r="G16" s="85" t="s">
        <v>694</v>
      </c>
      <c r="H16" s="84" t="s">
        <v>695</v>
      </c>
      <c r="I16" s="84" t="s">
        <v>696</v>
      </c>
      <c r="J16" s="86" t="s">
        <v>647</v>
      </c>
      <c r="K16" s="89" t="s">
        <v>769</v>
      </c>
    </row>
    <row r="17" spans="3:11" ht="116" customHeight="1" x14ac:dyDescent="0.25">
      <c r="C17" s="82">
        <v>12</v>
      </c>
      <c r="D17" s="83" t="s">
        <v>698</v>
      </c>
      <c r="E17" s="84" t="s">
        <v>699</v>
      </c>
      <c r="F17" s="84" t="s">
        <v>700</v>
      </c>
      <c r="G17" s="88" t="s">
        <v>644</v>
      </c>
      <c r="H17" s="84" t="s">
        <v>701</v>
      </c>
      <c r="I17" s="84" t="s">
        <v>702</v>
      </c>
      <c r="J17" s="86" t="s">
        <v>703</v>
      </c>
      <c r="K17" s="87" t="s">
        <v>704</v>
      </c>
    </row>
    <row r="18" spans="3:11" ht="50" customHeight="1" x14ac:dyDescent="0.25">
      <c r="C18" s="82">
        <v>13</v>
      </c>
      <c r="D18" s="83" t="s">
        <v>705</v>
      </c>
      <c r="E18" s="84" t="s">
        <v>706</v>
      </c>
      <c r="F18" s="84" t="s">
        <v>707</v>
      </c>
      <c r="G18" s="85" t="s">
        <v>708</v>
      </c>
      <c r="H18" s="84" t="s">
        <v>653</v>
      </c>
      <c r="I18" s="84" t="s">
        <v>709</v>
      </c>
      <c r="J18" s="86" t="s">
        <v>710</v>
      </c>
      <c r="K18" s="87" t="s">
        <v>648</v>
      </c>
    </row>
    <row r="19" spans="3:11" ht="116" customHeight="1" x14ac:dyDescent="0.25">
      <c r="C19" s="82">
        <v>14</v>
      </c>
      <c r="D19" s="83" t="s">
        <v>711</v>
      </c>
      <c r="E19" s="84" t="s">
        <v>712</v>
      </c>
      <c r="F19" s="84" t="s">
        <v>713</v>
      </c>
      <c r="G19" s="85" t="s">
        <v>714</v>
      </c>
      <c r="H19" s="84" t="s">
        <v>715</v>
      </c>
      <c r="I19" s="84" t="s">
        <v>770</v>
      </c>
      <c r="J19" s="86" t="s">
        <v>627</v>
      </c>
      <c r="K19" s="89" t="s">
        <v>648</v>
      </c>
    </row>
    <row r="20" spans="3:11" ht="50" customHeight="1" x14ac:dyDescent="0.25">
      <c r="C20" s="82">
        <v>15</v>
      </c>
      <c r="D20" s="83" t="s">
        <v>68</v>
      </c>
      <c r="E20" s="84" t="s">
        <v>716</v>
      </c>
      <c r="F20" s="84" t="s">
        <v>717</v>
      </c>
      <c r="G20" s="85" t="s">
        <v>652</v>
      </c>
      <c r="H20" s="84" t="s">
        <v>718</v>
      </c>
      <c r="I20" s="84" t="s">
        <v>719</v>
      </c>
      <c r="J20" s="86" t="s">
        <v>533</v>
      </c>
      <c r="K20" s="87" t="s">
        <v>648</v>
      </c>
    </row>
    <row r="21" spans="3:11" ht="195" customHeight="1" x14ac:dyDescent="0.25">
      <c r="C21" s="82">
        <v>16</v>
      </c>
      <c r="D21" s="83" t="s">
        <v>720</v>
      </c>
      <c r="E21" s="84" t="s">
        <v>721</v>
      </c>
      <c r="F21" s="84" t="s">
        <v>722</v>
      </c>
      <c r="G21" s="85" t="s">
        <v>791</v>
      </c>
      <c r="H21" s="84" t="s">
        <v>792</v>
      </c>
      <c r="I21" s="84" t="s">
        <v>793</v>
      </c>
      <c r="J21" s="86" t="s">
        <v>935</v>
      </c>
      <c r="K21" s="87" t="s">
        <v>648</v>
      </c>
    </row>
    <row r="22" spans="3:11" ht="92" customHeight="1" x14ac:dyDescent="0.25">
      <c r="C22" s="82">
        <v>17</v>
      </c>
      <c r="D22" s="83" t="s">
        <v>723</v>
      </c>
      <c r="E22" s="84" t="s">
        <v>724</v>
      </c>
      <c r="F22" s="84" t="s">
        <v>725</v>
      </c>
      <c r="G22" s="85" t="s">
        <v>933</v>
      </c>
      <c r="H22" s="84" t="s">
        <v>934</v>
      </c>
      <c r="I22" s="84" t="s">
        <v>726</v>
      </c>
      <c r="J22" s="86" t="s">
        <v>647</v>
      </c>
      <c r="K22" s="87" t="s">
        <v>648</v>
      </c>
    </row>
    <row r="23" spans="3:11" ht="50" customHeight="1" x14ac:dyDescent="0.25">
      <c r="C23" s="82">
        <v>18</v>
      </c>
      <c r="D23" s="83" t="s">
        <v>727</v>
      </c>
      <c r="E23" s="84" t="s">
        <v>728</v>
      </c>
      <c r="F23" s="84" t="s">
        <v>771</v>
      </c>
      <c r="G23" s="85" t="s">
        <v>644</v>
      </c>
      <c r="H23" s="84" t="s">
        <v>772</v>
      </c>
      <c r="I23" s="84" t="s">
        <v>773</v>
      </c>
      <c r="J23" s="86" t="s">
        <v>931</v>
      </c>
      <c r="K23" s="87" t="s">
        <v>648</v>
      </c>
    </row>
    <row r="24" spans="3:11" ht="50" customHeight="1" x14ac:dyDescent="0.25">
      <c r="C24" s="82">
        <v>19</v>
      </c>
      <c r="D24" s="83" t="s">
        <v>729</v>
      </c>
      <c r="E24" s="84" t="s">
        <v>730</v>
      </c>
      <c r="F24" s="84" t="s">
        <v>731</v>
      </c>
      <c r="G24" s="85" t="s">
        <v>652</v>
      </c>
      <c r="H24" s="84" t="s">
        <v>653</v>
      </c>
      <c r="I24" s="84" t="s">
        <v>732</v>
      </c>
      <c r="J24" s="86" t="s">
        <v>647</v>
      </c>
      <c r="K24" s="87" t="s">
        <v>648</v>
      </c>
    </row>
    <row r="25" spans="3:11" ht="80" customHeight="1" x14ac:dyDescent="0.25">
      <c r="C25" s="82">
        <v>20</v>
      </c>
      <c r="D25" s="83" t="s">
        <v>733</v>
      </c>
      <c r="E25" s="84" t="s">
        <v>734</v>
      </c>
      <c r="F25" s="84" t="s">
        <v>735</v>
      </c>
      <c r="G25" s="85" t="s">
        <v>736</v>
      </c>
      <c r="H25" s="84" t="s">
        <v>737</v>
      </c>
      <c r="I25" s="84" t="s">
        <v>774</v>
      </c>
      <c r="J25" s="86" t="s">
        <v>647</v>
      </c>
      <c r="K25" s="87" t="s">
        <v>648</v>
      </c>
    </row>
    <row r="26" spans="3:11" ht="50" customHeight="1" x14ac:dyDescent="0.25">
      <c r="C26" s="82">
        <v>21</v>
      </c>
      <c r="D26" s="83" t="s">
        <v>738</v>
      </c>
      <c r="E26" s="84" t="s">
        <v>739</v>
      </c>
      <c r="F26" s="84" t="s">
        <v>740</v>
      </c>
      <c r="G26" s="88" t="s">
        <v>741</v>
      </c>
      <c r="H26" s="84" t="s">
        <v>742</v>
      </c>
      <c r="I26" s="84" t="s">
        <v>743</v>
      </c>
      <c r="J26" s="86" t="s">
        <v>647</v>
      </c>
      <c r="K26" s="87" t="s">
        <v>744</v>
      </c>
    </row>
    <row r="27" spans="3:11" ht="92" customHeight="1" x14ac:dyDescent="0.25">
      <c r="C27" s="82">
        <v>22</v>
      </c>
      <c r="D27" s="83" t="s">
        <v>745</v>
      </c>
      <c r="E27" s="84" t="s">
        <v>746</v>
      </c>
      <c r="F27" s="84" t="s">
        <v>747</v>
      </c>
      <c r="G27" s="88" t="s">
        <v>748</v>
      </c>
      <c r="H27" s="84" t="s">
        <v>749</v>
      </c>
      <c r="I27" s="84" t="s">
        <v>794</v>
      </c>
      <c r="J27" s="86" t="s">
        <v>647</v>
      </c>
      <c r="K27" s="87" t="s">
        <v>648</v>
      </c>
    </row>
    <row r="28" spans="3:11" ht="50" customHeight="1" x14ac:dyDescent="0.25">
      <c r="C28" s="82">
        <v>23</v>
      </c>
      <c r="D28" s="83" t="s">
        <v>751</v>
      </c>
      <c r="E28" s="84" t="s">
        <v>752</v>
      </c>
      <c r="F28" s="84" t="s">
        <v>795</v>
      </c>
      <c r="G28" s="88" t="s">
        <v>748</v>
      </c>
      <c r="H28" s="84" t="s">
        <v>749</v>
      </c>
      <c r="I28" s="84" t="s">
        <v>796</v>
      </c>
      <c r="J28" s="86" t="s">
        <v>647</v>
      </c>
      <c r="K28" s="87" t="s">
        <v>744</v>
      </c>
    </row>
    <row r="29" spans="3:11" ht="50" customHeight="1" x14ac:dyDescent="0.25">
      <c r="C29" s="82">
        <v>24</v>
      </c>
      <c r="D29" s="83" t="s">
        <v>753</v>
      </c>
      <c r="E29" s="84" t="s">
        <v>754</v>
      </c>
      <c r="F29" s="84" t="s">
        <v>755</v>
      </c>
      <c r="G29" s="88" t="s">
        <v>675</v>
      </c>
      <c r="H29" s="84" t="s">
        <v>756</v>
      </c>
      <c r="I29" s="84" t="s">
        <v>750</v>
      </c>
      <c r="J29" s="86" t="s">
        <v>647</v>
      </c>
      <c r="K29" s="87" t="s">
        <v>648</v>
      </c>
    </row>
    <row r="30" spans="3:11" ht="50" customHeight="1" x14ac:dyDescent="0.25">
      <c r="C30" s="82">
        <v>25</v>
      </c>
      <c r="D30" s="83" t="s">
        <v>757</v>
      </c>
      <c r="E30" s="84" t="s">
        <v>758</v>
      </c>
      <c r="F30" s="84" t="s">
        <v>759</v>
      </c>
      <c r="G30" s="88" t="s">
        <v>760</v>
      </c>
      <c r="H30" s="84" t="s">
        <v>761</v>
      </c>
      <c r="I30" s="84" t="s">
        <v>762</v>
      </c>
      <c r="J30" s="86" t="s">
        <v>647</v>
      </c>
      <c r="K30" s="89" t="s">
        <v>697</v>
      </c>
    </row>
    <row r="31" spans="3:11" ht="80" customHeight="1" x14ac:dyDescent="0.25">
      <c r="C31" s="82">
        <v>26</v>
      </c>
      <c r="D31" s="83" t="s">
        <v>936</v>
      </c>
      <c r="E31" s="84" t="s">
        <v>937</v>
      </c>
      <c r="F31" s="84" t="s">
        <v>938</v>
      </c>
      <c r="G31" s="88" t="s">
        <v>939</v>
      </c>
      <c r="H31" s="84" t="s">
        <v>940</v>
      </c>
      <c r="I31" s="84" t="s">
        <v>941</v>
      </c>
      <c r="J31" s="86" t="s">
        <v>647</v>
      </c>
      <c r="K31" s="87" t="s">
        <v>648</v>
      </c>
    </row>
    <row r="32" spans="3:11" ht="55" customHeight="1" x14ac:dyDescent="0.25">
      <c r="C32" s="82">
        <v>27</v>
      </c>
      <c r="D32" s="83" t="s">
        <v>942</v>
      </c>
      <c r="E32" s="84" t="s">
        <v>943</v>
      </c>
      <c r="F32" s="84" t="s">
        <v>944</v>
      </c>
      <c r="G32" s="88" t="s">
        <v>945</v>
      </c>
      <c r="H32" s="84" t="s">
        <v>946</v>
      </c>
      <c r="I32" s="84" t="s">
        <v>947</v>
      </c>
      <c r="J32" s="86" t="s">
        <v>647</v>
      </c>
      <c r="K32" s="87" t="s">
        <v>648</v>
      </c>
    </row>
    <row r="33" spans="3:11" ht="50" customHeight="1" x14ac:dyDescent="0.25">
      <c r="C33" s="82">
        <v>28</v>
      </c>
      <c r="D33" s="83" t="s">
        <v>948</v>
      </c>
      <c r="E33" s="84" t="s">
        <v>949</v>
      </c>
      <c r="F33" s="84" t="s">
        <v>950</v>
      </c>
      <c r="G33" s="88" t="s">
        <v>951</v>
      </c>
      <c r="H33" s="84" t="s">
        <v>952</v>
      </c>
      <c r="I33" s="84" t="s">
        <v>953</v>
      </c>
      <c r="J33" s="86" t="s">
        <v>647</v>
      </c>
      <c r="K33" s="87" t="s">
        <v>648</v>
      </c>
    </row>
    <row r="34" spans="3:11" ht="50" customHeight="1" x14ac:dyDescent="0.25">
      <c r="C34" s="82"/>
      <c r="D34" s="90"/>
      <c r="E34" s="90"/>
      <c r="F34" s="90"/>
      <c r="G34" s="90"/>
      <c r="H34" s="90"/>
      <c r="I34" s="90"/>
      <c r="J34" s="91"/>
      <c r="K34" s="92"/>
    </row>
    <row r="35" spans="3:11" ht="50" customHeight="1" x14ac:dyDescent="0.25">
      <c r="C35" s="82"/>
      <c r="D35" s="90"/>
      <c r="E35" s="90"/>
      <c r="F35" s="90"/>
      <c r="G35" s="90"/>
      <c r="H35" s="90"/>
      <c r="I35" s="90"/>
      <c r="J35" s="91"/>
      <c r="K35" s="92"/>
    </row>
    <row r="36" spans="3:11" ht="50" customHeight="1" x14ac:dyDescent="0.25">
      <c r="C36" s="82"/>
      <c r="D36" s="90"/>
      <c r="E36" s="90"/>
      <c r="F36" s="90"/>
      <c r="G36" s="90"/>
      <c r="H36" s="90"/>
      <c r="I36" s="90"/>
      <c r="J36" s="91"/>
      <c r="K36" s="92"/>
    </row>
    <row r="37" spans="3:11" ht="50" customHeight="1" x14ac:dyDescent="0.25">
      <c r="C37" s="82"/>
      <c r="D37" s="90"/>
      <c r="E37" s="90"/>
      <c r="F37" s="90"/>
      <c r="G37" s="90"/>
      <c r="H37" s="90"/>
      <c r="I37" s="90"/>
      <c r="J37" s="91"/>
      <c r="K37" s="92"/>
    </row>
    <row r="38" spans="3:11" ht="50" customHeight="1" x14ac:dyDescent="0.25">
      <c r="C38" s="82"/>
      <c r="D38" s="90"/>
      <c r="E38" s="90"/>
      <c r="F38" s="90"/>
      <c r="G38" s="90"/>
      <c r="H38" s="90"/>
      <c r="I38" s="90"/>
      <c r="J38" s="91"/>
      <c r="K38" s="92"/>
    </row>
    <row r="39" spans="3:11" ht="50" customHeight="1" x14ac:dyDescent="0.25">
      <c r="C39" s="82"/>
      <c r="D39" s="90"/>
      <c r="E39" s="90"/>
      <c r="F39" s="90"/>
      <c r="G39" s="90"/>
      <c r="H39" s="90"/>
      <c r="I39" s="90"/>
      <c r="J39" s="91"/>
      <c r="K39" s="92"/>
    </row>
    <row r="40" spans="3:11" ht="50" customHeight="1" x14ac:dyDescent="0.25">
      <c r="C40" s="82"/>
      <c r="D40" s="90"/>
      <c r="E40" s="90"/>
      <c r="F40" s="90"/>
      <c r="G40" s="90"/>
      <c r="H40" s="90"/>
      <c r="I40" s="90"/>
      <c r="J40" s="91"/>
      <c r="K40" s="92"/>
    </row>
    <row r="41" spans="3:11" ht="50" customHeight="1" x14ac:dyDescent="0.25">
      <c r="C41" s="82"/>
      <c r="D41" s="90"/>
      <c r="E41" s="90"/>
      <c r="F41" s="90"/>
      <c r="G41" s="90"/>
      <c r="H41" s="90"/>
      <c r="I41" s="90"/>
      <c r="J41" s="91"/>
      <c r="K41" s="92"/>
    </row>
    <row r="42" spans="3:11" ht="50" customHeight="1" x14ac:dyDescent="0.25">
      <c r="C42" s="82"/>
      <c r="D42" s="90"/>
      <c r="E42" s="90"/>
      <c r="F42" s="90"/>
      <c r="G42" s="90"/>
      <c r="H42" s="90"/>
      <c r="I42" s="90"/>
      <c r="J42" s="91"/>
      <c r="K42" s="92"/>
    </row>
    <row r="43" spans="3:11" ht="50" customHeight="1" x14ac:dyDescent="0.25">
      <c r="C43" s="82"/>
      <c r="D43" s="90"/>
      <c r="E43" s="90"/>
      <c r="F43" s="90"/>
      <c r="G43" s="90"/>
      <c r="H43" s="90"/>
      <c r="I43" s="90"/>
      <c r="J43" s="91"/>
      <c r="K43" s="92"/>
    </row>
    <row r="44" spans="3:11" ht="50" customHeight="1" x14ac:dyDescent="0.25">
      <c r="C44" s="82"/>
      <c r="D44" s="90"/>
      <c r="E44" s="90"/>
      <c r="F44" s="90"/>
      <c r="G44" s="90"/>
      <c r="H44" s="90"/>
      <c r="I44" s="90"/>
      <c r="J44" s="91"/>
      <c r="K44" s="92"/>
    </row>
    <row r="45" spans="3:11" ht="50" customHeight="1" x14ac:dyDescent="0.25">
      <c r="C45" s="82"/>
      <c r="D45" s="90"/>
      <c r="E45" s="90"/>
      <c r="F45" s="90"/>
      <c r="G45" s="90"/>
      <c r="H45" s="90"/>
      <c r="I45" s="90"/>
      <c r="J45" s="91"/>
      <c r="K45" s="92"/>
    </row>
    <row r="46" spans="3:11" ht="50" customHeight="1" x14ac:dyDescent="0.25">
      <c r="C46" s="82"/>
      <c r="D46" s="90"/>
      <c r="E46" s="90"/>
      <c r="F46" s="90"/>
      <c r="G46" s="90"/>
      <c r="H46" s="90"/>
      <c r="I46" s="90"/>
      <c r="J46" s="91"/>
      <c r="K46" s="92"/>
    </row>
    <row r="47" spans="3:11" ht="50" customHeight="1" x14ac:dyDescent="0.25">
      <c r="C47" s="82"/>
      <c r="D47" s="90"/>
      <c r="E47" s="90"/>
      <c r="F47" s="90"/>
      <c r="G47" s="90"/>
      <c r="H47" s="90"/>
      <c r="I47" s="90"/>
      <c r="J47" s="91"/>
      <c r="K47" s="92"/>
    </row>
    <row r="48" spans="3:11" ht="50" customHeight="1" x14ac:dyDescent="0.25">
      <c r="C48" s="82"/>
      <c r="D48" s="90"/>
      <c r="E48" s="90"/>
      <c r="F48" s="90"/>
      <c r="G48" s="90"/>
      <c r="H48" s="90"/>
      <c r="I48" s="90"/>
      <c r="J48" s="91"/>
      <c r="K48" s="92"/>
    </row>
    <row r="49" spans="3:11" ht="50" customHeight="1" x14ac:dyDescent="0.25">
      <c r="C49" s="82"/>
      <c r="D49" s="90"/>
      <c r="E49" s="90"/>
      <c r="F49" s="90"/>
      <c r="G49" s="90"/>
      <c r="H49" s="90"/>
      <c r="I49" s="90"/>
      <c r="J49" s="91"/>
      <c r="K49" s="92"/>
    </row>
    <row r="50" spans="3:11" ht="50" customHeight="1" x14ac:dyDescent="0.25">
      <c r="C50" s="82"/>
      <c r="D50" s="90"/>
      <c r="E50" s="90"/>
      <c r="F50" s="90"/>
      <c r="G50" s="90"/>
      <c r="H50" s="90"/>
      <c r="I50" s="90"/>
      <c r="J50" s="91"/>
      <c r="K50" s="92"/>
    </row>
    <row r="51" spans="3:11" ht="50" customHeight="1" x14ac:dyDescent="0.25">
      <c r="C51" s="82"/>
      <c r="D51" s="90"/>
      <c r="E51" s="90"/>
      <c r="F51" s="90"/>
      <c r="G51" s="90"/>
      <c r="H51" s="90"/>
      <c r="I51" s="90"/>
      <c r="J51" s="91"/>
      <c r="K51" s="92"/>
    </row>
    <row r="52" spans="3:11" ht="50" customHeight="1" x14ac:dyDescent="0.25">
      <c r="C52" s="82"/>
      <c r="D52" s="90"/>
      <c r="E52" s="90"/>
      <c r="F52" s="90"/>
      <c r="G52" s="90"/>
      <c r="H52" s="90"/>
      <c r="I52" s="90"/>
      <c r="J52" s="91"/>
      <c r="K52" s="92"/>
    </row>
    <row r="53" spans="3:11" ht="50" customHeight="1" x14ac:dyDescent="0.25">
      <c r="C53" s="82"/>
      <c r="D53" s="90"/>
      <c r="E53" s="90"/>
      <c r="F53" s="90"/>
      <c r="G53" s="90"/>
      <c r="H53" s="90"/>
      <c r="I53" s="90"/>
      <c r="J53" s="91"/>
      <c r="K53" s="92"/>
    </row>
    <row r="54" spans="3:11" ht="50" customHeight="1" x14ac:dyDescent="0.25">
      <c r="C54" s="82"/>
      <c r="D54" s="90"/>
      <c r="E54" s="90"/>
      <c r="F54" s="90"/>
      <c r="G54" s="90"/>
      <c r="H54" s="90"/>
      <c r="I54" s="90"/>
      <c r="J54" s="91"/>
      <c r="K54" s="92"/>
    </row>
    <row r="55" spans="3:11" ht="50" customHeight="1" x14ac:dyDescent="0.25">
      <c r="C55" s="82"/>
      <c r="D55" s="90"/>
      <c r="E55" s="90"/>
      <c r="F55" s="90"/>
      <c r="G55" s="90"/>
      <c r="H55" s="90"/>
      <c r="I55" s="90"/>
      <c r="J55" s="91"/>
      <c r="K55" s="92"/>
    </row>
    <row r="56" spans="3:11" ht="50" customHeight="1" x14ac:dyDescent="0.25">
      <c r="C56" s="82"/>
      <c r="D56" s="90"/>
      <c r="E56" s="90"/>
      <c r="F56" s="90"/>
      <c r="G56" s="90"/>
      <c r="H56" s="90"/>
      <c r="I56" s="90"/>
      <c r="J56" s="91"/>
      <c r="K56" s="92"/>
    </row>
    <row r="57" spans="3:11" ht="50" customHeight="1" x14ac:dyDescent="0.25">
      <c r="C57" s="82"/>
      <c r="D57" s="90"/>
      <c r="E57" s="90"/>
      <c r="F57" s="90"/>
      <c r="G57" s="90"/>
      <c r="H57" s="90"/>
      <c r="I57" s="90"/>
      <c r="J57" s="91"/>
      <c r="K57" s="92"/>
    </row>
    <row r="58" spans="3:11" ht="50" customHeight="1" x14ac:dyDescent="0.25">
      <c r="C58" s="82"/>
      <c r="D58" s="90"/>
      <c r="E58" s="90"/>
      <c r="F58" s="90"/>
      <c r="G58" s="90"/>
      <c r="H58" s="90"/>
      <c r="I58" s="90"/>
      <c r="J58" s="91"/>
      <c r="K58" s="92"/>
    </row>
    <row r="59" spans="3:11" ht="50" customHeight="1" x14ac:dyDescent="0.25">
      <c r="C59" s="82"/>
      <c r="D59" s="90"/>
      <c r="E59" s="90"/>
      <c r="F59" s="90"/>
      <c r="G59" s="90"/>
      <c r="H59" s="90"/>
      <c r="I59" s="90"/>
      <c r="J59" s="91"/>
      <c r="K59" s="92"/>
    </row>
    <row r="60" spans="3:11" ht="50" customHeight="1" x14ac:dyDescent="0.25">
      <c r="C60" s="82"/>
      <c r="D60" s="90"/>
      <c r="E60" s="90"/>
      <c r="F60" s="90"/>
      <c r="G60" s="90"/>
      <c r="H60" s="90"/>
      <c r="I60" s="90"/>
      <c r="J60" s="91"/>
      <c r="K60" s="92"/>
    </row>
    <row r="61" spans="3:11" ht="50" customHeight="1" x14ac:dyDescent="0.25">
      <c r="C61" s="82"/>
      <c r="D61" s="90"/>
      <c r="E61" s="90"/>
      <c r="F61" s="90"/>
      <c r="G61" s="90"/>
      <c r="H61" s="90"/>
      <c r="I61" s="90"/>
      <c r="J61" s="91"/>
      <c r="K61" s="92"/>
    </row>
    <row r="62" spans="3:11" ht="50" customHeight="1" x14ac:dyDescent="0.25">
      <c r="C62" s="82"/>
      <c r="D62" s="90"/>
      <c r="E62" s="90"/>
      <c r="F62" s="90"/>
      <c r="G62" s="90"/>
      <c r="H62" s="90"/>
      <c r="I62" s="90"/>
      <c r="J62" s="91"/>
      <c r="K62" s="92"/>
    </row>
    <row r="63" spans="3:11" ht="50" customHeight="1" x14ac:dyDescent="0.25">
      <c r="C63" s="82"/>
      <c r="D63" s="90"/>
      <c r="E63" s="90"/>
      <c r="F63" s="90"/>
      <c r="G63" s="90"/>
      <c r="H63" s="90"/>
      <c r="I63" s="90"/>
      <c r="J63" s="91"/>
      <c r="K63" s="92"/>
    </row>
    <row r="64" spans="3:11" ht="50" customHeight="1" x14ac:dyDescent="0.25">
      <c r="C64" s="82"/>
      <c r="D64" s="90"/>
      <c r="E64" s="90"/>
      <c r="F64" s="90"/>
      <c r="G64" s="90"/>
      <c r="H64" s="90"/>
      <c r="I64" s="90"/>
      <c r="J64" s="91"/>
      <c r="K64" s="92"/>
    </row>
    <row r="65" spans="3:11" ht="50" customHeight="1" x14ac:dyDescent="0.25">
      <c r="C65" s="82"/>
      <c r="D65" s="90"/>
      <c r="E65" s="90"/>
      <c r="F65" s="90"/>
      <c r="G65" s="90"/>
      <c r="H65" s="90"/>
      <c r="I65" s="90"/>
      <c r="J65" s="91"/>
      <c r="K65" s="92"/>
    </row>
    <row r="66" spans="3:11" ht="50" customHeight="1" x14ac:dyDescent="0.25">
      <c r="C66" s="82"/>
      <c r="D66" s="90"/>
      <c r="E66" s="90"/>
      <c r="F66" s="90"/>
      <c r="G66" s="90"/>
      <c r="H66" s="90"/>
      <c r="I66" s="90"/>
      <c r="J66" s="91"/>
      <c r="K66" s="92"/>
    </row>
    <row r="67" spans="3:11" ht="50" customHeight="1" x14ac:dyDescent="0.25">
      <c r="C67" s="82"/>
      <c r="D67" s="90"/>
      <c r="E67" s="90"/>
      <c r="F67" s="90"/>
      <c r="G67" s="90"/>
      <c r="H67" s="90"/>
      <c r="I67" s="90"/>
      <c r="J67" s="91"/>
      <c r="K67" s="92"/>
    </row>
    <row r="68" spans="3:11" ht="50" customHeight="1" x14ac:dyDescent="0.25">
      <c r="C68" s="82"/>
      <c r="D68" s="90"/>
      <c r="E68" s="90"/>
      <c r="F68" s="90"/>
      <c r="G68" s="90"/>
      <c r="H68" s="90"/>
      <c r="I68" s="90"/>
      <c r="J68" s="91"/>
      <c r="K68" s="92"/>
    </row>
    <row r="69" spans="3:11" ht="50" customHeight="1" x14ac:dyDescent="0.25">
      <c r="C69" s="82"/>
      <c r="D69" s="90"/>
      <c r="E69" s="90"/>
      <c r="F69" s="90"/>
      <c r="G69" s="90"/>
      <c r="H69" s="90"/>
      <c r="I69" s="90"/>
      <c r="J69" s="91"/>
      <c r="K69" s="92"/>
    </row>
    <row r="70" spans="3:11" ht="50" customHeight="1" x14ac:dyDescent="0.25">
      <c r="C70" s="82"/>
      <c r="D70" s="90"/>
      <c r="E70" s="90"/>
      <c r="F70" s="90"/>
      <c r="G70" s="90"/>
      <c r="H70" s="90"/>
      <c r="I70" s="90"/>
      <c r="J70" s="91"/>
      <c r="K70" s="92"/>
    </row>
    <row r="71" spans="3:11" ht="50" customHeight="1" x14ac:dyDescent="0.25">
      <c r="C71" s="82"/>
      <c r="D71" s="90"/>
      <c r="E71" s="90"/>
      <c r="F71" s="90"/>
      <c r="G71" s="90"/>
      <c r="H71" s="90"/>
      <c r="I71" s="90"/>
      <c r="J71" s="91"/>
      <c r="K71" s="92"/>
    </row>
    <row r="72" spans="3:11" ht="50" customHeight="1" x14ac:dyDescent="0.25">
      <c r="C72" s="82"/>
      <c r="D72" s="90"/>
      <c r="E72" s="90"/>
      <c r="F72" s="90"/>
      <c r="G72" s="90"/>
      <c r="H72" s="90"/>
      <c r="I72" s="90"/>
      <c r="J72" s="91"/>
      <c r="K72" s="92"/>
    </row>
    <row r="73" spans="3:11" ht="50" customHeight="1" x14ac:dyDescent="0.25">
      <c r="C73" s="82"/>
      <c r="D73" s="90"/>
      <c r="E73" s="90"/>
      <c r="F73" s="90"/>
      <c r="G73" s="90"/>
      <c r="H73" s="90"/>
      <c r="I73" s="90"/>
      <c r="J73" s="91"/>
      <c r="K73" s="92"/>
    </row>
    <row r="74" spans="3:11" ht="50" customHeight="1" x14ac:dyDescent="0.25">
      <c r="C74" s="82"/>
      <c r="D74" s="90"/>
      <c r="E74" s="90"/>
      <c r="F74" s="90"/>
      <c r="G74" s="90"/>
      <c r="H74" s="90"/>
      <c r="I74" s="90"/>
      <c r="J74" s="91"/>
      <c r="K74" s="92"/>
    </row>
    <row r="75" spans="3:11" ht="50" customHeight="1" x14ac:dyDescent="0.25">
      <c r="C75" s="82"/>
      <c r="D75" s="90"/>
      <c r="E75" s="90"/>
      <c r="F75" s="90"/>
      <c r="G75" s="90"/>
      <c r="H75" s="90"/>
      <c r="I75" s="90"/>
      <c r="J75" s="91"/>
      <c r="K75" s="92"/>
    </row>
    <row r="76" spans="3:11" ht="50" customHeight="1" x14ac:dyDescent="0.25">
      <c r="C76" s="82"/>
      <c r="D76" s="90"/>
      <c r="E76" s="90"/>
      <c r="F76" s="90"/>
      <c r="G76" s="90"/>
      <c r="H76" s="90"/>
      <c r="I76" s="90"/>
      <c r="J76" s="91"/>
      <c r="K76" s="92"/>
    </row>
    <row r="77" spans="3:11" ht="50" customHeight="1" x14ac:dyDescent="0.25">
      <c r="C77" s="82"/>
      <c r="D77" s="90"/>
      <c r="E77" s="90"/>
      <c r="F77" s="90"/>
      <c r="G77" s="90"/>
      <c r="H77" s="90"/>
      <c r="I77" s="90"/>
      <c r="J77" s="91"/>
      <c r="K77" s="92"/>
    </row>
    <row r="78" spans="3:11" ht="50" customHeight="1" x14ac:dyDescent="0.25">
      <c r="C78" s="82"/>
      <c r="D78" s="90"/>
      <c r="E78" s="90"/>
      <c r="F78" s="90"/>
      <c r="G78" s="90"/>
      <c r="H78" s="90"/>
      <c r="I78" s="90"/>
      <c r="J78" s="91"/>
      <c r="K78" s="92"/>
    </row>
    <row r="79" spans="3:11" ht="50" customHeight="1" x14ac:dyDescent="0.25">
      <c r="C79" s="82"/>
      <c r="D79" s="90"/>
      <c r="E79" s="90"/>
      <c r="F79" s="90"/>
      <c r="G79" s="90"/>
      <c r="H79" s="90"/>
      <c r="I79" s="90"/>
      <c r="J79" s="91"/>
      <c r="K79" s="92"/>
    </row>
    <row r="80" spans="3:11" ht="50" customHeight="1" x14ac:dyDescent="0.25">
      <c r="C80" s="82"/>
      <c r="D80" s="90"/>
      <c r="E80" s="90"/>
      <c r="F80" s="90"/>
      <c r="G80" s="90"/>
      <c r="H80" s="90"/>
      <c r="I80" s="90"/>
      <c r="J80" s="91"/>
      <c r="K80" s="92"/>
    </row>
    <row r="81" spans="3:11" ht="50" customHeight="1" x14ac:dyDescent="0.25">
      <c r="C81" s="82"/>
      <c r="D81" s="90"/>
      <c r="E81" s="90"/>
      <c r="F81" s="90"/>
      <c r="G81" s="90"/>
      <c r="H81" s="90"/>
      <c r="I81" s="90"/>
      <c r="J81" s="91"/>
      <c r="K81" s="92"/>
    </row>
    <row r="82" spans="3:11" ht="50" customHeight="1" x14ac:dyDescent="0.25">
      <c r="C82" s="82"/>
      <c r="D82" s="90"/>
      <c r="E82" s="90"/>
      <c r="F82" s="90"/>
      <c r="G82" s="90"/>
      <c r="H82" s="90"/>
      <c r="I82" s="90"/>
      <c r="J82" s="91"/>
      <c r="K82" s="92"/>
    </row>
    <row r="83" spans="3:11" ht="50" customHeight="1" x14ac:dyDescent="0.25">
      <c r="C83" s="82"/>
      <c r="D83" s="90"/>
      <c r="E83" s="90"/>
      <c r="F83" s="90"/>
      <c r="G83" s="90"/>
      <c r="H83" s="90"/>
      <c r="I83" s="90"/>
      <c r="J83" s="91"/>
      <c r="K83" s="92"/>
    </row>
    <row r="84" spans="3:11" ht="50" customHeight="1" x14ac:dyDescent="0.25">
      <c r="C84" s="82"/>
      <c r="D84" s="90"/>
      <c r="E84" s="90"/>
      <c r="F84" s="90"/>
      <c r="G84" s="90"/>
      <c r="H84" s="90"/>
      <c r="I84" s="90"/>
      <c r="J84" s="91"/>
      <c r="K84" s="92"/>
    </row>
    <row r="85" spans="3:11" ht="50" customHeight="1" x14ac:dyDescent="0.25">
      <c r="C85" s="82"/>
      <c r="D85" s="90"/>
      <c r="E85" s="90"/>
      <c r="F85" s="90"/>
      <c r="G85" s="90"/>
      <c r="H85" s="90"/>
      <c r="I85" s="90"/>
      <c r="J85" s="91"/>
      <c r="K85" s="92"/>
    </row>
    <row r="86" spans="3:11" ht="50" customHeight="1" x14ac:dyDescent="0.25">
      <c r="C86" s="82"/>
      <c r="D86" s="90"/>
      <c r="E86" s="90"/>
      <c r="F86" s="90"/>
      <c r="G86" s="90"/>
      <c r="H86" s="90"/>
      <c r="I86" s="90"/>
      <c r="J86" s="91"/>
      <c r="K86" s="92"/>
    </row>
    <row r="87" spans="3:11" ht="50" customHeight="1" x14ac:dyDescent="0.25">
      <c r="C87" s="82"/>
      <c r="D87" s="90"/>
      <c r="E87" s="90"/>
      <c r="F87" s="90"/>
      <c r="G87" s="90"/>
      <c r="H87" s="90"/>
      <c r="I87" s="90"/>
      <c r="J87" s="91"/>
      <c r="K87" s="92"/>
    </row>
    <row r="88" spans="3:11" ht="50" customHeight="1" x14ac:dyDescent="0.25">
      <c r="C88" s="82"/>
      <c r="D88" s="90"/>
      <c r="E88" s="90"/>
      <c r="F88" s="90"/>
      <c r="G88" s="90"/>
      <c r="H88" s="90"/>
      <c r="I88" s="90"/>
      <c r="J88" s="91"/>
      <c r="K88" s="92"/>
    </row>
    <row r="89" spans="3:11" ht="50" customHeight="1" x14ac:dyDescent="0.25">
      <c r="C89" s="82"/>
      <c r="D89" s="90"/>
      <c r="E89" s="90"/>
      <c r="F89" s="90"/>
      <c r="G89" s="90"/>
      <c r="H89" s="90"/>
      <c r="I89" s="90"/>
      <c r="J89" s="91"/>
      <c r="K89" s="92"/>
    </row>
    <row r="90" spans="3:11" ht="50" customHeight="1" x14ac:dyDescent="0.25">
      <c r="C90" s="82"/>
      <c r="D90" s="90"/>
      <c r="E90" s="90"/>
      <c r="F90" s="90"/>
      <c r="G90" s="90"/>
      <c r="H90" s="90"/>
      <c r="I90" s="90"/>
      <c r="J90" s="91"/>
      <c r="K90" s="92"/>
    </row>
    <row r="91" spans="3:11" ht="50" customHeight="1" x14ac:dyDescent="0.25">
      <c r="C91" s="82"/>
      <c r="D91" s="90"/>
      <c r="E91" s="90"/>
      <c r="F91" s="90"/>
      <c r="G91" s="90"/>
      <c r="H91" s="90"/>
      <c r="I91" s="90"/>
      <c r="J91" s="91"/>
      <c r="K91" s="92"/>
    </row>
    <row r="92" spans="3:11" ht="50" customHeight="1" x14ac:dyDescent="0.25">
      <c r="C92" s="82"/>
      <c r="D92" s="90"/>
      <c r="E92" s="90"/>
      <c r="F92" s="90"/>
      <c r="G92" s="90"/>
      <c r="H92" s="90"/>
      <c r="I92" s="90"/>
      <c r="J92" s="91"/>
      <c r="K92" s="92"/>
    </row>
    <row r="93" spans="3:11" ht="50" customHeight="1" x14ac:dyDescent="0.25">
      <c r="C93" s="82"/>
      <c r="D93" s="90"/>
      <c r="E93" s="90"/>
      <c r="F93" s="90"/>
      <c r="G93" s="90"/>
      <c r="H93" s="90"/>
      <c r="I93" s="90"/>
      <c r="J93" s="91"/>
      <c r="K93" s="92"/>
    </row>
    <row r="94" spans="3:11" ht="50" customHeight="1" x14ac:dyDescent="0.25">
      <c r="C94" s="82"/>
      <c r="D94" s="90"/>
      <c r="E94" s="90"/>
      <c r="F94" s="90"/>
      <c r="G94" s="90"/>
      <c r="H94" s="90"/>
      <c r="I94" s="90"/>
      <c r="J94" s="91"/>
      <c r="K94" s="92"/>
    </row>
    <row r="95" spans="3:11" ht="50" customHeight="1" x14ac:dyDescent="0.25">
      <c r="C95" s="82"/>
      <c r="D95" s="90"/>
      <c r="E95" s="90"/>
      <c r="F95" s="90"/>
      <c r="G95" s="90"/>
      <c r="H95" s="90"/>
      <c r="I95" s="90"/>
      <c r="J95" s="91"/>
      <c r="K95" s="92"/>
    </row>
    <row r="96" spans="3:11" ht="50" customHeight="1" x14ac:dyDescent="0.25">
      <c r="C96" s="82"/>
      <c r="D96" s="90"/>
      <c r="E96" s="90"/>
      <c r="F96" s="90"/>
      <c r="G96" s="90"/>
      <c r="H96" s="90"/>
      <c r="I96" s="90"/>
      <c r="J96" s="91"/>
      <c r="K96" s="92"/>
    </row>
    <row r="97" spans="3:11" ht="50" customHeight="1" x14ac:dyDescent="0.25">
      <c r="C97" s="82"/>
      <c r="D97" s="90"/>
      <c r="E97" s="90"/>
      <c r="F97" s="90"/>
      <c r="G97" s="90"/>
      <c r="H97" s="90"/>
      <c r="I97" s="90"/>
      <c r="J97" s="91"/>
      <c r="K97" s="92"/>
    </row>
    <row r="98" spans="3:11" ht="50" customHeight="1" x14ac:dyDescent="0.25">
      <c r="C98" s="82"/>
      <c r="D98" s="90"/>
      <c r="E98" s="90"/>
      <c r="F98" s="90"/>
      <c r="G98" s="90"/>
      <c r="H98" s="90"/>
      <c r="I98" s="90"/>
      <c r="J98" s="91"/>
      <c r="K98" s="92"/>
    </row>
    <row r="99" spans="3:11" ht="50" customHeight="1" x14ac:dyDescent="0.25">
      <c r="C99" s="82"/>
      <c r="D99" s="90"/>
      <c r="E99" s="90"/>
      <c r="F99" s="90"/>
      <c r="G99" s="90"/>
      <c r="H99" s="90"/>
      <c r="I99" s="90"/>
      <c r="J99" s="91"/>
      <c r="K99" s="92"/>
    </row>
    <row r="100" spans="3:11" ht="50" customHeight="1" x14ac:dyDescent="0.25">
      <c r="C100" s="82"/>
      <c r="D100" s="90"/>
      <c r="E100" s="90"/>
      <c r="F100" s="90"/>
      <c r="G100" s="90"/>
      <c r="H100" s="90"/>
      <c r="I100" s="90"/>
      <c r="J100" s="91"/>
      <c r="K100" s="92"/>
    </row>
    <row r="101" spans="3:11" x14ac:dyDescent="0.25">
      <c r="C101" s="82"/>
      <c r="D101" s="90"/>
      <c r="E101" s="90"/>
      <c r="F101" s="90"/>
      <c r="G101" s="90"/>
      <c r="H101" s="90"/>
      <c r="I101" s="90"/>
      <c r="J101" s="91"/>
      <c r="K101" s="92"/>
    </row>
    <row r="102" spans="3:11" x14ac:dyDescent="0.25">
      <c r="C102" s="82"/>
      <c r="D102" s="90"/>
      <c r="E102" s="90"/>
      <c r="F102" s="90"/>
      <c r="G102" s="90"/>
      <c r="H102" s="90"/>
      <c r="I102" s="90"/>
      <c r="J102" s="91"/>
      <c r="K102" s="92"/>
    </row>
    <row r="103" spans="3:11" x14ac:dyDescent="0.25">
      <c r="C103" s="82"/>
      <c r="D103" s="90"/>
      <c r="E103" s="90"/>
      <c r="F103" s="90"/>
      <c r="G103" s="90"/>
      <c r="H103" s="90"/>
      <c r="I103" s="90"/>
      <c r="J103" s="91"/>
      <c r="K103" s="92"/>
    </row>
    <row r="104" spans="3:11" x14ac:dyDescent="0.25">
      <c r="C104" s="82"/>
      <c r="D104" s="90"/>
      <c r="E104" s="90"/>
      <c r="F104" s="90"/>
      <c r="G104" s="90"/>
      <c r="H104" s="90"/>
      <c r="I104" s="90"/>
      <c r="J104" s="91"/>
      <c r="K104" s="92"/>
    </row>
    <row r="105" spans="3:11" x14ac:dyDescent="0.25">
      <c r="C105" s="82"/>
      <c r="D105" s="90"/>
      <c r="E105" s="90"/>
      <c r="F105" s="90"/>
      <c r="G105" s="90"/>
      <c r="H105" s="90"/>
      <c r="I105" s="90"/>
      <c r="J105" s="91"/>
      <c r="K105" s="92"/>
    </row>
    <row r="106" spans="3:11" x14ac:dyDescent="0.25">
      <c r="C106" s="82"/>
      <c r="D106" s="90"/>
      <c r="E106" s="90"/>
      <c r="F106" s="90"/>
      <c r="G106" s="90"/>
      <c r="H106" s="90"/>
      <c r="I106" s="90"/>
      <c r="J106" s="91"/>
      <c r="K106" s="92"/>
    </row>
    <row r="107" spans="3:11" x14ac:dyDescent="0.25">
      <c r="C107" s="82"/>
      <c r="D107" s="90"/>
      <c r="E107" s="90"/>
      <c r="F107" s="90"/>
      <c r="G107" s="90"/>
      <c r="H107" s="90"/>
      <c r="I107" s="90"/>
      <c r="J107" s="91"/>
      <c r="K107" s="92"/>
    </row>
    <row r="108" spans="3:11" x14ac:dyDescent="0.25">
      <c r="C108" s="82"/>
      <c r="D108" s="90"/>
      <c r="E108" s="90"/>
      <c r="F108" s="90"/>
      <c r="G108" s="90"/>
      <c r="H108" s="90"/>
      <c r="I108" s="90"/>
      <c r="J108" s="91"/>
      <c r="K108" s="92"/>
    </row>
    <row r="109" spans="3:11" x14ac:dyDescent="0.25">
      <c r="C109" s="82"/>
      <c r="D109" s="90"/>
      <c r="E109" s="90"/>
      <c r="F109" s="90"/>
      <c r="G109" s="90"/>
      <c r="H109" s="90"/>
      <c r="I109" s="90"/>
      <c r="J109" s="91"/>
      <c r="K109" s="92"/>
    </row>
    <row r="110" spans="3:11" x14ac:dyDescent="0.25">
      <c r="C110" s="82"/>
      <c r="D110" s="90"/>
      <c r="E110" s="90"/>
      <c r="F110" s="90"/>
      <c r="G110" s="90"/>
      <c r="H110" s="90"/>
      <c r="I110" s="90"/>
      <c r="J110" s="91"/>
      <c r="K110" s="92"/>
    </row>
    <row r="111" spans="3:11" x14ac:dyDescent="0.25">
      <c r="C111" s="82"/>
      <c r="D111" s="90"/>
      <c r="E111" s="90"/>
      <c r="F111" s="90"/>
      <c r="G111" s="90"/>
      <c r="H111" s="90"/>
      <c r="I111" s="90"/>
      <c r="J111" s="91"/>
      <c r="K111" s="92"/>
    </row>
    <row r="112" spans="3:11" x14ac:dyDescent="0.25">
      <c r="C112" s="82"/>
      <c r="D112" s="90"/>
      <c r="E112" s="90"/>
      <c r="F112" s="90"/>
      <c r="G112" s="90"/>
      <c r="H112" s="90"/>
      <c r="I112" s="90"/>
      <c r="J112" s="91"/>
      <c r="K112" s="92"/>
    </row>
    <row r="113" spans="3:11" x14ac:dyDescent="0.25">
      <c r="C113" s="82"/>
      <c r="D113" s="90"/>
      <c r="E113" s="90"/>
      <c r="F113" s="90"/>
      <c r="G113" s="90"/>
      <c r="H113" s="90"/>
      <c r="I113" s="90"/>
      <c r="J113" s="91"/>
      <c r="K113" s="92"/>
    </row>
    <row r="114" spans="3:11" x14ac:dyDescent="0.25">
      <c r="C114" s="82"/>
      <c r="D114" s="90"/>
      <c r="E114" s="90"/>
      <c r="F114" s="90"/>
      <c r="G114" s="90"/>
      <c r="H114" s="90"/>
      <c r="I114" s="90"/>
      <c r="J114" s="91"/>
      <c r="K114" s="92"/>
    </row>
    <row r="115" spans="3:11" x14ac:dyDescent="0.25">
      <c r="C115" s="82"/>
      <c r="D115" s="90"/>
      <c r="E115" s="90"/>
      <c r="F115" s="90"/>
      <c r="G115" s="90"/>
      <c r="H115" s="90"/>
      <c r="I115" s="90"/>
      <c r="J115" s="91"/>
      <c r="K115" s="92"/>
    </row>
    <row r="116" spans="3:11" x14ac:dyDescent="0.25">
      <c r="C116" s="82"/>
      <c r="D116" s="90"/>
      <c r="E116" s="90"/>
      <c r="F116" s="90"/>
      <c r="G116" s="90"/>
      <c r="H116" s="90"/>
      <c r="I116" s="90"/>
      <c r="J116" s="91"/>
      <c r="K116" s="92"/>
    </row>
    <row r="117" spans="3:11" x14ac:dyDescent="0.25">
      <c r="C117" s="82"/>
      <c r="D117" s="90"/>
      <c r="E117" s="90"/>
      <c r="F117" s="90"/>
      <c r="G117" s="90"/>
      <c r="H117" s="90"/>
      <c r="I117" s="90"/>
      <c r="J117" s="91"/>
      <c r="K117" s="92"/>
    </row>
    <row r="118" spans="3:11" x14ac:dyDescent="0.25">
      <c r="C118" s="82"/>
      <c r="D118" s="90"/>
      <c r="E118" s="90"/>
      <c r="F118" s="90"/>
      <c r="G118" s="90"/>
      <c r="H118" s="90"/>
      <c r="I118" s="90"/>
      <c r="J118" s="91"/>
      <c r="K118" s="92"/>
    </row>
    <row r="119" spans="3:11" x14ac:dyDescent="0.25">
      <c r="C119" s="82"/>
      <c r="D119" s="90"/>
      <c r="E119" s="90"/>
      <c r="F119" s="90"/>
      <c r="G119" s="90"/>
      <c r="H119" s="90"/>
      <c r="I119" s="90"/>
      <c r="J119" s="91"/>
      <c r="K119" s="92"/>
    </row>
    <row r="120" spans="3:11" x14ac:dyDescent="0.25">
      <c r="C120" s="82"/>
      <c r="D120" s="90"/>
      <c r="E120" s="90"/>
      <c r="F120" s="90"/>
      <c r="G120" s="90"/>
      <c r="H120" s="90"/>
      <c r="I120" s="90"/>
      <c r="J120" s="91"/>
      <c r="K120" s="92"/>
    </row>
    <row r="121" spans="3:11" x14ac:dyDescent="0.25">
      <c r="C121" s="82"/>
      <c r="D121" s="90"/>
      <c r="E121" s="90"/>
      <c r="F121" s="90"/>
      <c r="G121" s="90"/>
      <c r="H121" s="90"/>
      <c r="I121" s="90"/>
      <c r="J121" s="91"/>
      <c r="K121" s="92"/>
    </row>
    <row r="122" spans="3:11" x14ac:dyDescent="0.25">
      <c r="C122" s="82"/>
      <c r="D122" s="90"/>
      <c r="E122" s="90"/>
      <c r="F122" s="90"/>
      <c r="G122" s="90"/>
      <c r="H122" s="90"/>
      <c r="I122" s="90"/>
      <c r="J122" s="91"/>
      <c r="K122" s="92"/>
    </row>
    <row r="123" spans="3:11" x14ac:dyDescent="0.25">
      <c r="C123" s="82"/>
      <c r="D123" s="90"/>
      <c r="E123" s="90"/>
      <c r="F123" s="90"/>
      <c r="G123" s="90"/>
      <c r="H123" s="90"/>
      <c r="I123" s="90"/>
      <c r="J123" s="91"/>
      <c r="K123" s="92"/>
    </row>
    <row r="124" spans="3:11" x14ac:dyDescent="0.25">
      <c r="C124" s="82"/>
      <c r="D124" s="90"/>
      <c r="E124" s="90"/>
      <c r="F124" s="90"/>
      <c r="G124" s="90"/>
      <c r="H124" s="90"/>
      <c r="I124" s="90"/>
      <c r="J124" s="91"/>
      <c r="K124" s="92"/>
    </row>
    <row r="125" spans="3:11" x14ac:dyDescent="0.25">
      <c r="C125" s="82"/>
      <c r="D125" s="90"/>
      <c r="E125" s="90"/>
      <c r="F125" s="90"/>
      <c r="G125" s="90"/>
      <c r="H125" s="90"/>
      <c r="I125" s="90"/>
      <c r="J125" s="91"/>
      <c r="K125" s="92"/>
    </row>
    <row r="126" spans="3:11" x14ac:dyDescent="0.25">
      <c r="C126" s="82"/>
      <c r="D126" s="90"/>
      <c r="E126" s="90"/>
      <c r="F126" s="90"/>
      <c r="G126" s="90"/>
      <c r="H126" s="90"/>
      <c r="I126" s="90"/>
      <c r="J126" s="91"/>
      <c r="K126" s="92"/>
    </row>
    <row r="127" spans="3:11" x14ac:dyDescent="0.25">
      <c r="C127" s="82"/>
      <c r="D127" s="90"/>
      <c r="E127" s="90"/>
      <c r="F127" s="90"/>
      <c r="G127" s="90"/>
      <c r="H127" s="90"/>
      <c r="I127" s="90"/>
      <c r="J127" s="91"/>
      <c r="K127" s="92"/>
    </row>
    <row r="128" spans="3:11" x14ac:dyDescent="0.25">
      <c r="C128" s="82"/>
      <c r="D128" s="90"/>
      <c r="E128" s="90"/>
      <c r="F128" s="90"/>
      <c r="G128" s="90"/>
      <c r="H128" s="90"/>
      <c r="I128" s="90"/>
      <c r="J128" s="91"/>
      <c r="K128" s="92"/>
    </row>
    <row r="129" spans="3:11" x14ac:dyDescent="0.25">
      <c r="C129" s="82"/>
      <c r="D129" s="90"/>
      <c r="E129" s="90"/>
      <c r="F129" s="90"/>
      <c r="G129" s="90"/>
      <c r="H129" s="90"/>
      <c r="I129" s="90"/>
      <c r="J129" s="91"/>
      <c r="K129" s="92"/>
    </row>
    <row r="130" spans="3:11" x14ac:dyDescent="0.25">
      <c r="C130" s="82"/>
      <c r="D130" s="90"/>
      <c r="E130" s="90"/>
      <c r="F130" s="90"/>
      <c r="G130" s="90"/>
      <c r="H130" s="90"/>
      <c r="I130" s="90"/>
      <c r="J130" s="91"/>
      <c r="K130" s="92"/>
    </row>
    <row r="131" spans="3:11" x14ac:dyDescent="0.25">
      <c r="C131" s="82"/>
      <c r="D131" s="90"/>
      <c r="E131" s="90"/>
      <c r="F131" s="90"/>
      <c r="G131" s="90"/>
      <c r="H131" s="90"/>
      <c r="I131" s="90"/>
      <c r="J131" s="91"/>
      <c r="K131" s="92"/>
    </row>
    <row r="132" spans="3:11" x14ac:dyDescent="0.25">
      <c r="C132" s="82"/>
      <c r="D132" s="90"/>
      <c r="E132" s="90"/>
      <c r="F132" s="90"/>
      <c r="G132" s="90"/>
      <c r="H132" s="90"/>
      <c r="I132" s="90"/>
      <c r="J132" s="91"/>
      <c r="K132" s="92"/>
    </row>
    <row r="133" spans="3:11" x14ac:dyDescent="0.25">
      <c r="C133" s="82"/>
      <c r="D133" s="90"/>
      <c r="E133" s="90"/>
      <c r="F133" s="90"/>
      <c r="G133" s="90"/>
      <c r="H133" s="90"/>
      <c r="I133" s="90"/>
      <c r="J133" s="91"/>
      <c r="K133" s="92"/>
    </row>
    <row r="134" spans="3:11" x14ac:dyDescent="0.25">
      <c r="C134" s="82"/>
      <c r="D134" s="90"/>
      <c r="E134" s="90"/>
      <c r="F134" s="90"/>
      <c r="G134" s="90"/>
      <c r="H134" s="90"/>
      <c r="I134" s="90"/>
      <c r="J134" s="91"/>
      <c r="K134" s="92"/>
    </row>
    <row r="135" spans="3:11" x14ac:dyDescent="0.25">
      <c r="C135" s="82"/>
      <c r="D135" s="90"/>
      <c r="E135" s="90"/>
      <c r="F135" s="90"/>
      <c r="G135" s="90"/>
      <c r="H135" s="90"/>
      <c r="I135" s="90"/>
      <c r="J135" s="91"/>
      <c r="K135" s="92"/>
    </row>
    <row r="136" spans="3:11" x14ac:dyDescent="0.25">
      <c r="C136" s="82"/>
      <c r="D136" s="90"/>
      <c r="E136" s="90"/>
      <c r="F136" s="90"/>
      <c r="G136" s="90"/>
      <c r="H136" s="90"/>
      <c r="I136" s="90"/>
      <c r="J136" s="91"/>
      <c r="K136" s="92"/>
    </row>
    <row r="137" spans="3:11" x14ac:dyDescent="0.25">
      <c r="C137" s="82"/>
      <c r="D137" s="90"/>
      <c r="E137" s="90"/>
      <c r="F137" s="90"/>
      <c r="G137" s="90"/>
      <c r="H137" s="90"/>
      <c r="I137" s="90"/>
      <c r="J137" s="91"/>
      <c r="K137" s="92"/>
    </row>
    <row r="138" spans="3:11" x14ac:dyDescent="0.25">
      <c r="C138" s="82"/>
      <c r="D138" s="90"/>
      <c r="E138" s="90"/>
      <c r="F138" s="90"/>
      <c r="G138" s="90"/>
      <c r="H138" s="90"/>
      <c r="I138" s="90"/>
      <c r="J138" s="91"/>
      <c r="K138" s="92"/>
    </row>
    <row r="139" spans="3:11" x14ac:dyDescent="0.25">
      <c r="C139" s="82"/>
      <c r="D139" s="90"/>
      <c r="E139" s="90"/>
      <c r="F139" s="90"/>
      <c r="G139" s="90"/>
      <c r="H139" s="90"/>
      <c r="I139" s="90"/>
      <c r="J139" s="91"/>
      <c r="K139" s="92"/>
    </row>
    <row r="140" spans="3:11" x14ac:dyDescent="0.25">
      <c r="C140" s="82"/>
      <c r="D140" s="90"/>
      <c r="E140" s="90"/>
      <c r="F140" s="90"/>
      <c r="G140" s="90"/>
      <c r="H140" s="90"/>
      <c r="I140" s="90"/>
      <c r="J140" s="91"/>
      <c r="K140" s="92"/>
    </row>
    <row r="141" spans="3:11" x14ac:dyDescent="0.25">
      <c r="C141" s="82"/>
      <c r="D141" s="90"/>
      <c r="E141" s="90"/>
      <c r="F141" s="90"/>
      <c r="G141" s="90"/>
      <c r="H141" s="90"/>
      <c r="I141" s="90"/>
      <c r="J141" s="91"/>
      <c r="K141" s="92"/>
    </row>
    <row r="142" spans="3:11" x14ac:dyDescent="0.25">
      <c r="C142" s="82"/>
      <c r="D142" s="90"/>
      <c r="E142" s="90"/>
      <c r="F142" s="90"/>
      <c r="G142" s="90"/>
      <c r="H142" s="90"/>
      <c r="I142" s="90"/>
      <c r="J142" s="91"/>
      <c r="K142" s="92"/>
    </row>
    <row r="143" spans="3:11" x14ac:dyDescent="0.25">
      <c r="C143" s="82"/>
      <c r="D143" s="90"/>
      <c r="E143" s="90"/>
      <c r="F143" s="90"/>
      <c r="G143" s="90"/>
      <c r="H143" s="90"/>
      <c r="I143" s="90"/>
      <c r="J143" s="91"/>
      <c r="K143" s="92"/>
    </row>
    <row r="144" spans="3:11" x14ac:dyDescent="0.25">
      <c r="C144" s="82"/>
      <c r="D144" s="90"/>
      <c r="E144" s="90"/>
      <c r="F144" s="90"/>
      <c r="G144" s="90"/>
      <c r="H144" s="90"/>
      <c r="I144" s="90"/>
      <c r="J144" s="91"/>
      <c r="K144" s="92"/>
    </row>
    <row r="145" spans="3:11" x14ac:dyDescent="0.25">
      <c r="C145" s="82"/>
      <c r="D145" s="90"/>
      <c r="E145" s="90"/>
      <c r="F145" s="90"/>
      <c r="G145" s="90"/>
      <c r="H145" s="90"/>
      <c r="I145" s="90"/>
      <c r="J145" s="91"/>
      <c r="K145" s="92"/>
    </row>
    <row r="146" spans="3:11" x14ac:dyDescent="0.25">
      <c r="C146" s="82"/>
      <c r="D146" s="90"/>
      <c r="E146" s="90"/>
      <c r="F146" s="90"/>
      <c r="G146" s="90"/>
      <c r="H146" s="90"/>
      <c r="I146" s="90"/>
      <c r="J146" s="91"/>
      <c r="K146" s="92"/>
    </row>
    <row r="147" spans="3:11" x14ac:dyDescent="0.25">
      <c r="C147" s="82"/>
      <c r="D147" s="90"/>
      <c r="E147" s="90"/>
      <c r="F147" s="90"/>
      <c r="G147" s="90"/>
      <c r="H147" s="90"/>
      <c r="I147" s="90"/>
      <c r="J147" s="91"/>
      <c r="K147" s="92"/>
    </row>
    <row r="148" spans="3:11" x14ac:dyDescent="0.25">
      <c r="C148" s="82"/>
      <c r="D148" s="90"/>
      <c r="E148" s="90"/>
      <c r="F148" s="90"/>
      <c r="G148" s="90"/>
      <c r="H148" s="90"/>
      <c r="I148" s="90"/>
      <c r="J148" s="91"/>
      <c r="K148" s="92"/>
    </row>
    <row r="149" spans="3:11" x14ac:dyDescent="0.25">
      <c r="C149" s="82"/>
      <c r="D149" s="90"/>
      <c r="E149" s="90"/>
      <c r="F149" s="90"/>
      <c r="G149" s="90"/>
      <c r="H149" s="90"/>
      <c r="I149" s="90"/>
      <c r="J149" s="91"/>
      <c r="K149" s="92"/>
    </row>
    <row r="150" spans="3:11" x14ac:dyDescent="0.25">
      <c r="C150" s="82"/>
      <c r="D150" s="90"/>
      <c r="E150" s="90"/>
      <c r="F150" s="90"/>
      <c r="G150" s="90"/>
      <c r="H150" s="90"/>
      <c r="I150" s="90"/>
      <c r="J150" s="91"/>
      <c r="K150" s="92"/>
    </row>
    <row r="151" spans="3:11" x14ac:dyDescent="0.25">
      <c r="C151" s="82"/>
      <c r="D151" s="90"/>
      <c r="E151" s="90"/>
      <c r="F151" s="90"/>
      <c r="G151" s="90"/>
      <c r="H151" s="90"/>
      <c r="I151" s="90"/>
      <c r="J151" s="91"/>
      <c r="K151" s="92"/>
    </row>
    <row r="152" spans="3:11" x14ac:dyDescent="0.25">
      <c r="C152" s="82"/>
      <c r="D152" s="90"/>
      <c r="E152" s="90"/>
      <c r="F152" s="90"/>
      <c r="G152" s="90"/>
      <c r="H152" s="90"/>
      <c r="I152" s="90"/>
      <c r="J152" s="91"/>
      <c r="K152" s="92"/>
    </row>
    <row r="153" spans="3:11" x14ac:dyDescent="0.25">
      <c r="C153" s="82"/>
      <c r="D153" s="90"/>
      <c r="E153" s="90"/>
      <c r="F153" s="90"/>
      <c r="G153" s="90"/>
      <c r="H153" s="90"/>
      <c r="I153" s="90"/>
      <c r="J153" s="91"/>
      <c r="K153" s="92"/>
    </row>
    <row r="154" spans="3:11" x14ac:dyDescent="0.25">
      <c r="C154" s="82"/>
      <c r="D154" s="90"/>
      <c r="E154" s="90"/>
      <c r="F154" s="90"/>
      <c r="G154" s="90"/>
      <c r="H154" s="90"/>
      <c r="I154" s="90"/>
      <c r="J154" s="91"/>
      <c r="K154" s="92"/>
    </row>
    <row r="155" spans="3:11" x14ac:dyDescent="0.25">
      <c r="C155" s="82"/>
      <c r="D155" s="90"/>
      <c r="E155" s="90"/>
      <c r="F155" s="90"/>
      <c r="G155" s="90"/>
      <c r="H155" s="90"/>
      <c r="I155" s="90"/>
      <c r="J155" s="91"/>
      <c r="K155" s="92"/>
    </row>
    <row r="156" spans="3:11" x14ac:dyDescent="0.25">
      <c r="C156" s="82"/>
      <c r="D156" s="90"/>
      <c r="E156" s="90"/>
      <c r="F156" s="90"/>
      <c r="G156" s="90"/>
      <c r="H156" s="90"/>
      <c r="I156" s="90"/>
      <c r="J156" s="91"/>
      <c r="K156" s="92"/>
    </row>
    <row r="157" spans="3:11" x14ac:dyDescent="0.25">
      <c r="C157" s="82"/>
      <c r="D157" s="90"/>
      <c r="E157" s="90"/>
      <c r="F157" s="90"/>
      <c r="G157" s="90"/>
      <c r="H157" s="90"/>
      <c r="I157" s="90"/>
      <c r="J157" s="91"/>
      <c r="K157" s="92"/>
    </row>
    <row r="158" spans="3:11" x14ac:dyDescent="0.25">
      <c r="C158" s="82"/>
      <c r="D158" s="90"/>
      <c r="E158" s="90"/>
      <c r="F158" s="90"/>
      <c r="G158" s="90"/>
      <c r="H158" s="90"/>
      <c r="I158" s="90"/>
      <c r="J158" s="91"/>
      <c r="K158" s="92"/>
    </row>
    <row r="159" spans="3:11" x14ac:dyDescent="0.25">
      <c r="C159" s="82"/>
      <c r="D159" s="90"/>
      <c r="E159" s="90"/>
      <c r="F159" s="90"/>
      <c r="G159" s="90"/>
      <c r="H159" s="90"/>
      <c r="I159" s="90"/>
      <c r="J159" s="91"/>
      <c r="K159" s="92"/>
    </row>
    <row r="160" spans="3:11" x14ac:dyDescent="0.25">
      <c r="C160" s="82"/>
      <c r="D160" s="90"/>
      <c r="E160" s="90"/>
      <c r="F160" s="90"/>
      <c r="G160" s="90"/>
      <c r="H160" s="90"/>
      <c r="I160" s="90"/>
      <c r="J160" s="91"/>
      <c r="K160" s="92"/>
    </row>
    <row r="161" spans="3:11" x14ac:dyDescent="0.25">
      <c r="C161" s="82"/>
      <c r="D161" s="90"/>
      <c r="E161" s="90"/>
      <c r="F161" s="90"/>
      <c r="G161" s="90"/>
      <c r="H161" s="90"/>
      <c r="I161" s="90"/>
      <c r="J161" s="91"/>
      <c r="K161" s="92"/>
    </row>
    <row r="162" spans="3:11" x14ac:dyDescent="0.25">
      <c r="C162" s="82"/>
      <c r="D162" s="90"/>
      <c r="E162" s="90"/>
      <c r="F162" s="90"/>
      <c r="G162" s="90"/>
      <c r="H162" s="90"/>
      <c r="I162" s="90"/>
      <c r="J162" s="91"/>
      <c r="K162" s="92"/>
    </row>
    <row r="163" spans="3:11" x14ac:dyDescent="0.25">
      <c r="C163" s="82"/>
      <c r="D163" s="90"/>
      <c r="E163" s="90"/>
      <c r="F163" s="90"/>
      <c r="G163" s="90"/>
      <c r="H163" s="90"/>
      <c r="I163" s="90"/>
      <c r="J163" s="91"/>
      <c r="K163" s="92"/>
    </row>
    <row r="164" spans="3:11" x14ac:dyDescent="0.25">
      <c r="C164" s="82"/>
      <c r="D164" s="90"/>
      <c r="E164" s="90"/>
      <c r="F164" s="90"/>
      <c r="G164" s="90"/>
      <c r="H164" s="90"/>
      <c r="I164" s="90"/>
      <c r="J164" s="91"/>
      <c r="K164" s="92"/>
    </row>
    <row r="165" spans="3:11" x14ac:dyDescent="0.25">
      <c r="C165" s="82"/>
      <c r="D165" s="90"/>
      <c r="E165" s="90"/>
      <c r="F165" s="90"/>
      <c r="G165" s="90"/>
      <c r="H165" s="90"/>
      <c r="I165" s="90"/>
      <c r="J165" s="91"/>
      <c r="K165" s="92"/>
    </row>
    <row r="166" spans="3:11" x14ac:dyDescent="0.25">
      <c r="C166" s="82"/>
      <c r="D166" s="90"/>
      <c r="E166" s="90"/>
      <c r="F166" s="90"/>
      <c r="G166" s="90"/>
      <c r="H166" s="90"/>
      <c r="I166" s="90"/>
      <c r="J166" s="91"/>
      <c r="K166" s="92"/>
    </row>
    <row r="167" spans="3:11" x14ac:dyDescent="0.25">
      <c r="C167" s="82"/>
      <c r="D167" s="90"/>
      <c r="E167" s="90"/>
      <c r="F167" s="90"/>
      <c r="G167" s="90"/>
      <c r="H167" s="90"/>
      <c r="I167" s="90"/>
      <c r="J167" s="91"/>
      <c r="K167" s="92"/>
    </row>
    <row r="168" spans="3:11" x14ac:dyDescent="0.25">
      <c r="C168" s="82"/>
      <c r="D168" s="90"/>
      <c r="E168" s="90"/>
      <c r="F168" s="90"/>
      <c r="G168" s="90"/>
      <c r="H168" s="90"/>
      <c r="I168" s="90"/>
      <c r="J168" s="91"/>
      <c r="K168" s="92"/>
    </row>
    <row r="169" spans="3:11" x14ac:dyDescent="0.25">
      <c r="C169" s="82"/>
      <c r="D169" s="90"/>
      <c r="E169" s="90"/>
      <c r="F169" s="90"/>
      <c r="G169" s="90"/>
      <c r="H169" s="90"/>
      <c r="I169" s="90"/>
      <c r="J169" s="91"/>
      <c r="K169" s="92"/>
    </row>
    <row r="170" spans="3:11" x14ac:dyDescent="0.25">
      <c r="C170" s="82"/>
      <c r="D170" s="90"/>
      <c r="E170" s="90"/>
      <c r="F170" s="90"/>
      <c r="G170" s="90"/>
      <c r="H170" s="90"/>
      <c r="I170" s="90"/>
      <c r="J170" s="91"/>
      <c r="K170" s="92"/>
    </row>
    <row r="171" spans="3:11" x14ac:dyDescent="0.25">
      <c r="C171" s="82"/>
      <c r="D171" s="90"/>
      <c r="E171" s="90"/>
      <c r="F171" s="90"/>
      <c r="G171" s="90"/>
      <c r="H171" s="90"/>
      <c r="I171" s="90"/>
      <c r="J171" s="91"/>
      <c r="K171" s="92"/>
    </row>
    <row r="172" spans="3:11" x14ac:dyDescent="0.25">
      <c r="C172" s="82"/>
      <c r="D172" s="90"/>
      <c r="E172" s="90"/>
      <c r="F172" s="90"/>
      <c r="G172" s="90"/>
      <c r="H172" s="90"/>
      <c r="I172" s="90"/>
      <c r="J172" s="91"/>
      <c r="K172" s="92"/>
    </row>
    <row r="173" spans="3:11" x14ac:dyDescent="0.25">
      <c r="C173" s="82"/>
      <c r="D173" s="90"/>
      <c r="E173" s="90"/>
      <c r="F173" s="90"/>
      <c r="G173" s="90"/>
      <c r="H173" s="90"/>
      <c r="I173" s="90"/>
      <c r="J173" s="91"/>
      <c r="K173" s="92"/>
    </row>
    <row r="174" spans="3:11" x14ac:dyDescent="0.25">
      <c r="C174" s="82"/>
      <c r="D174" s="90"/>
      <c r="E174" s="90"/>
      <c r="F174" s="90"/>
      <c r="G174" s="90"/>
      <c r="H174" s="90"/>
      <c r="I174" s="90"/>
      <c r="J174" s="91"/>
      <c r="K174" s="92"/>
    </row>
    <row r="175" spans="3:11" x14ac:dyDescent="0.25">
      <c r="C175" s="82"/>
      <c r="D175" s="90"/>
      <c r="E175" s="90"/>
      <c r="F175" s="90"/>
      <c r="G175" s="90"/>
      <c r="H175" s="90"/>
      <c r="I175" s="90"/>
      <c r="J175" s="91"/>
      <c r="K175" s="92"/>
    </row>
    <row r="176" spans="3:11" x14ac:dyDescent="0.25">
      <c r="C176" s="82"/>
      <c r="D176" s="90"/>
      <c r="E176" s="90"/>
      <c r="F176" s="90"/>
      <c r="G176" s="90"/>
      <c r="H176" s="90"/>
      <c r="I176" s="90"/>
      <c r="J176" s="91"/>
      <c r="K176" s="92"/>
    </row>
    <row r="177" spans="3:11" x14ac:dyDescent="0.25">
      <c r="C177" s="82"/>
      <c r="D177" s="90"/>
      <c r="E177" s="90"/>
      <c r="F177" s="90"/>
      <c r="G177" s="90"/>
      <c r="H177" s="90"/>
      <c r="I177" s="90"/>
      <c r="J177" s="91"/>
      <c r="K177" s="92"/>
    </row>
    <row r="178" spans="3:11" x14ac:dyDescent="0.25">
      <c r="C178" s="82"/>
      <c r="D178" s="90"/>
      <c r="E178" s="90"/>
      <c r="F178" s="90"/>
      <c r="G178" s="90"/>
      <c r="H178" s="90"/>
      <c r="I178" s="90"/>
      <c r="J178" s="91"/>
      <c r="K178" s="92"/>
    </row>
    <row r="179" spans="3:11" x14ac:dyDescent="0.25">
      <c r="C179" s="82"/>
      <c r="D179" s="90"/>
      <c r="E179" s="90"/>
      <c r="F179" s="90"/>
      <c r="G179" s="90"/>
      <c r="H179" s="90"/>
      <c r="I179" s="90"/>
      <c r="J179" s="91"/>
      <c r="K179" s="92"/>
    </row>
    <row r="180" spans="3:11" x14ac:dyDescent="0.25">
      <c r="C180" s="82"/>
      <c r="D180" s="90"/>
      <c r="E180" s="90"/>
      <c r="F180" s="90"/>
      <c r="G180" s="90"/>
      <c r="H180" s="90"/>
      <c r="I180" s="90"/>
      <c r="J180" s="91"/>
      <c r="K180" s="92"/>
    </row>
    <row r="181" spans="3:11" x14ac:dyDescent="0.25">
      <c r="C181" s="82"/>
      <c r="D181" s="90"/>
      <c r="E181" s="90"/>
      <c r="F181" s="90"/>
      <c r="G181" s="90"/>
      <c r="H181" s="90"/>
      <c r="I181" s="90"/>
      <c r="J181" s="91"/>
      <c r="K181" s="92"/>
    </row>
    <row r="182" spans="3:11" x14ac:dyDescent="0.25">
      <c r="C182" s="82"/>
      <c r="D182" s="90"/>
      <c r="E182" s="90"/>
      <c r="F182" s="90"/>
      <c r="G182" s="90"/>
      <c r="H182" s="90"/>
      <c r="I182" s="90"/>
      <c r="J182" s="91"/>
      <c r="K182" s="92"/>
    </row>
    <row r="183" spans="3:11" x14ac:dyDescent="0.25">
      <c r="C183" s="82"/>
      <c r="D183" s="90"/>
      <c r="E183" s="90"/>
      <c r="F183" s="90"/>
      <c r="G183" s="90"/>
      <c r="H183" s="90"/>
      <c r="I183" s="90"/>
      <c r="J183" s="91"/>
      <c r="K183" s="92"/>
    </row>
    <row r="184" spans="3:11" x14ac:dyDescent="0.25">
      <c r="C184" s="82"/>
      <c r="D184" s="90"/>
      <c r="E184" s="90"/>
      <c r="F184" s="90"/>
      <c r="G184" s="90"/>
      <c r="H184" s="90"/>
      <c r="I184" s="90"/>
      <c r="J184" s="91"/>
      <c r="K184" s="92"/>
    </row>
    <row r="185" spans="3:11" x14ac:dyDescent="0.25">
      <c r="C185" s="82"/>
      <c r="D185" s="90"/>
      <c r="E185" s="90"/>
      <c r="F185" s="90"/>
      <c r="G185" s="90"/>
      <c r="H185" s="90"/>
      <c r="I185" s="90"/>
      <c r="J185" s="91"/>
      <c r="K185" s="92"/>
    </row>
    <row r="186" spans="3:11" x14ac:dyDescent="0.25">
      <c r="C186" s="82"/>
      <c r="D186" s="90"/>
      <c r="E186" s="90"/>
      <c r="F186" s="90"/>
      <c r="G186" s="90"/>
      <c r="H186" s="90"/>
      <c r="I186" s="90"/>
      <c r="J186" s="91"/>
      <c r="K186" s="92"/>
    </row>
    <row r="187" spans="3:11" x14ac:dyDescent="0.25">
      <c r="C187" s="82"/>
      <c r="D187" s="90"/>
      <c r="E187" s="90"/>
      <c r="F187" s="90"/>
      <c r="G187" s="90"/>
      <c r="H187" s="90"/>
      <c r="I187" s="90"/>
      <c r="J187" s="91"/>
      <c r="K187" s="92"/>
    </row>
    <row r="188" spans="3:11" x14ac:dyDescent="0.25">
      <c r="C188" s="82"/>
      <c r="D188" s="90"/>
      <c r="E188" s="90"/>
      <c r="F188" s="90"/>
      <c r="G188" s="90"/>
      <c r="H188" s="90"/>
      <c r="I188" s="90"/>
      <c r="J188" s="91"/>
      <c r="K188" s="92"/>
    </row>
    <row r="189" spans="3:11" x14ac:dyDescent="0.25">
      <c r="C189" s="82"/>
      <c r="D189" s="90"/>
      <c r="E189" s="90"/>
      <c r="F189" s="90"/>
      <c r="G189" s="90"/>
      <c r="H189" s="90"/>
      <c r="I189" s="90"/>
      <c r="J189" s="91"/>
      <c r="K189" s="92"/>
    </row>
    <row r="190" spans="3:11" x14ac:dyDescent="0.25">
      <c r="C190" s="82"/>
      <c r="D190" s="90"/>
      <c r="E190" s="90"/>
      <c r="F190" s="90"/>
      <c r="G190" s="90"/>
      <c r="H190" s="90"/>
      <c r="I190" s="90"/>
      <c r="J190" s="91"/>
      <c r="K190" s="92"/>
    </row>
    <row r="191" spans="3:11" x14ac:dyDescent="0.25">
      <c r="C191" s="82"/>
      <c r="D191" s="90"/>
      <c r="E191" s="90"/>
      <c r="F191" s="90"/>
      <c r="G191" s="90"/>
      <c r="H191" s="90"/>
      <c r="I191" s="90"/>
      <c r="J191" s="91"/>
      <c r="K191" s="92"/>
    </row>
    <row r="192" spans="3:11" x14ac:dyDescent="0.25">
      <c r="C192" s="82"/>
      <c r="D192" s="90"/>
      <c r="E192" s="90"/>
      <c r="F192" s="90"/>
      <c r="G192" s="90"/>
      <c r="H192" s="90"/>
      <c r="I192" s="90"/>
      <c r="J192" s="91"/>
      <c r="K192" s="92"/>
    </row>
    <row r="193" spans="3:11" x14ac:dyDescent="0.25">
      <c r="C193" s="82"/>
      <c r="D193" s="90"/>
      <c r="E193" s="90"/>
      <c r="F193" s="90"/>
      <c r="G193" s="90"/>
      <c r="H193" s="90"/>
      <c r="I193" s="90"/>
      <c r="J193" s="91"/>
      <c r="K193" s="92"/>
    </row>
    <row r="194" spans="3:11" x14ac:dyDescent="0.25">
      <c r="C194" s="82"/>
      <c r="D194" s="90"/>
      <c r="E194" s="90"/>
      <c r="F194" s="90"/>
      <c r="G194" s="90"/>
      <c r="H194" s="90"/>
      <c r="I194" s="90"/>
      <c r="J194" s="91"/>
      <c r="K194" s="92"/>
    </row>
    <row r="195" spans="3:11" x14ac:dyDescent="0.25">
      <c r="C195" s="82"/>
      <c r="D195" s="90"/>
      <c r="E195" s="90"/>
      <c r="F195" s="90"/>
      <c r="G195" s="90"/>
      <c r="H195" s="90"/>
      <c r="I195" s="90"/>
      <c r="J195" s="91"/>
      <c r="K195" s="92"/>
    </row>
    <row r="196" spans="3:11" x14ac:dyDescent="0.25">
      <c r="C196" s="82"/>
      <c r="D196" s="90"/>
      <c r="E196" s="90"/>
      <c r="F196" s="90"/>
      <c r="G196" s="90"/>
      <c r="H196" s="90"/>
      <c r="I196" s="90"/>
      <c r="J196" s="91"/>
      <c r="K196" s="92"/>
    </row>
    <row r="197" spans="3:11" x14ac:dyDescent="0.25">
      <c r="C197" s="82"/>
      <c r="D197" s="90"/>
      <c r="E197" s="90"/>
      <c r="F197" s="90"/>
      <c r="G197" s="90"/>
      <c r="H197" s="90"/>
      <c r="I197" s="90"/>
      <c r="J197" s="91"/>
      <c r="K197" s="92"/>
    </row>
    <row r="198" spans="3:11" x14ac:dyDescent="0.25">
      <c r="C198" s="82"/>
      <c r="D198" s="90"/>
      <c r="E198" s="90"/>
      <c r="F198" s="90"/>
      <c r="G198" s="90"/>
      <c r="H198" s="90"/>
      <c r="I198" s="90"/>
      <c r="J198" s="91"/>
      <c r="K198" s="92"/>
    </row>
    <row r="199" spans="3:11" x14ac:dyDescent="0.25">
      <c r="C199" s="82"/>
      <c r="D199" s="90"/>
      <c r="E199" s="90"/>
      <c r="F199" s="90"/>
      <c r="G199" s="90"/>
      <c r="H199" s="90"/>
      <c r="I199" s="90"/>
      <c r="J199" s="91"/>
      <c r="K199" s="92"/>
    </row>
    <row r="200" spans="3:11" x14ac:dyDescent="0.25">
      <c r="C200" s="82"/>
      <c r="D200" s="90"/>
      <c r="E200" s="90"/>
      <c r="F200" s="90"/>
      <c r="G200" s="90"/>
      <c r="H200" s="90"/>
      <c r="I200" s="90"/>
      <c r="J200" s="91"/>
      <c r="K200" s="92"/>
    </row>
    <row r="201" spans="3:11" x14ac:dyDescent="0.25">
      <c r="C201" s="82"/>
      <c r="D201" s="90"/>
      <c r="E201" s="90"/>
      <c r="F201" s="90"/>
      <c r="G201" s="90"/>
      <c r="H201" s="90"/>
      <c r="I201" s="90"/>
      <c r="J201" s="91"/>
      <c r="K201" s="92"/>
    </row>
    <row r="202" spans="3:11" x14ac:dyDescent="0.25">
      <c r="C202" s="82"/>
      <c r="D202" s="90"/>
      <c r="E202" s="90"/>
      <c r="F202" s="90"/>
      <c r="G202" s="90"/>
      <c r="H202" s="90"/>
      <c r="I202" s="90"/>
      <c r="J202" s="91"/>
      <c r="K202" s="92"/>
    </row>
    <row r="203" spans="3:11" x14ac:dyDescent="0.25">
      <c r="C203" s="82"/>
      <c r="D203" s="90"/>
      <c r="E203" s="90"/>
      <c r="F203" s="90"/>
      <c r="G203" s="90"/>
      <c r="H203" s="90"/>
      <c r="I203" s="90"/>
      <c r="J203" s="91"/>
      <c r="K203" s="92"/>
    </row>
    <row r="204" spans="3:11" x14ac:dyDescent="0.25">
      <c r="C204" s="82"/>
      <c r="D204" s="90"/>
      <c r="E204" s="90"/>
      <c r="F204" s="90"/>
      <c r="G204" s="90"/>
      <c r="H204" s="90"/>
      <c r="I204" s="90"/>
      <c r="J204" s="91"/>
      <c r="K204" s="92"/>
    </row>
    <row r="205" spans="3:11" x14ac:dyDescent="0.25">
      <c r="C205" s="82"/>
      <c r="D205" s="90"/>
      <c r="E205" s="90"/>
      <c r="F205" s="90"/>
      <c r="G205" s="90"/>
      <c r="H205" s="90"/>
      <c r="I205" s="90"/>
      <c r="J205" s="91"/>
      <c r="K205" s="92"/>
    </row>
    <row r="206" spans="3:11" x14ac:dyDescent="0.25">
      <c r="C206" s="82"/>
      <c r="D206" s="90"/>
      <c r="E206" s="90"/>
      <c r="F206" s="90"/>
      <c r="G206" s="90"/>
      <c r="H206" s="90"/>
      <c r="I206" s="90"/>
      <c r="J206" s="91"/>
      <c r="K206" s="92"/>
    </row>
    <row r="207" spans="3:11" x14ac:dyDescent="0.25">
      <c r="C207" s="82"/>
      <c r="D207" s="90"/>
      <c r="E207" s="90"/>
      <c r="F207" s="90"/>
      <c r="G207" s="90"/>
      <c r="H207" s="90"/>
      <c r="I207" s="90"/>
      <c r="J207" s="91"/>
      <c r="K207" s="92"/>
    </row>
    <row r="208" spans="3:11" x14ac:dyDescent="0.25">
      <c r="C208" s="82"/>
      <c r="D208" s="90"/>
      <c r="E208" s="90"/>
      <c r="F208" s="90"/>
      <c r="G208" s="90"/>
      <c r="H208" s="90"/>
      <c r="I208" s="90"/>
      <c r="J208" s="91"/>
      <c r="K208" s="92"/>
    </row>
    <row r="209" spans="3:11" x14ac:dyDescent="0.25">
      <c r="C209" s="82"/>
      <c r="D209" s="90"/>
      <c r="E209" s="90"/>
      <c r="F209" s="90"/>
      <c r="G209" s="90"/>
      <c r="H209" s="90"/>
      <c r="I209" s="90"/>
      <c r="J209" s="91"/>
      <c r="K209" s="92"/>
    </row>
    <row r="210" spans="3:11" x14ac:dyDescent="0.25">
      <c r="C210" s="82"/>
      <c r="D210" s="90"/>
      <c r="E210" s="90"/>
      <c r="F210" s="90"/>
      <c r="G210" s="90"/>
      <c r="H210" s="90"/>
      <c r="I210" s="90"/>
      <c r="J210" s="91"/>
      <c r="K210" s="92"/>
    </row>
    <row r="211" spans="3:11" x14ac:dyDescent="0.25">
      <c r="C211" s="82"/>
      <c r="D211" s="90"/>
      <c r="E211" s="90"/>
      <c r="F211" s="90"/>
      <c r="G211" s="90"/>
      <c r="H211" s="90"/>
      <c r="I211" s="90"/>
      <c r="J211" s="91"/>
      <c r="K211" s="92"/>
    </row>
    <row r="212" spans="3:11" x14ac:dyDescent="0.25">
      <c r="C212" s="82"/>
      <c r="D212" s="90"/>
      <c r="E212" s="90"/>
      <c r="F212" s="90"/>
      <c r="G212" s="90"/>
      <c r="H212" s="90"/>
      <c r="I212" s="90"/>
      <c r="J212" s="91"/>
      <c r="K212" s="92"/>
    </row>
    <row r="213" spans="3:11" x14ac:dyDescent="0.25">
      <c r="C213" s="82"/>
      <c r="D213" s="90"/>
      <c r="E213" s="90"/>
      <c r="F213" s="90"/>
      <c r="G213" s="90"/>
      <c r="H213" s="90"/>
      <c r="I213" s="90"/>
      <c r="J213" s="91"/>
      <c r="K213" s="92"/>
    </row>
    <row r="214" spans="3:11" x14ac:dyDescent="0.25">
      <c r="C214" s="82"/>
      <c r="D214" s="90"/>
      <c r="E214" s="90"/>
      <c r="F214" s="90"/>
      <c r="G214" s="90"/>
      <c r="H214" s="90"/>
      <c r="I214" s="90"/>
      <c r="J214" s="91"/>
      <c r="K214" s="92"/>
    </row>
    <row r="215" spans="3:11" x14ac:dyDescent="0.25">
      <c r="C215" s="82"/>
      <c r="D215" s="90"/>
      <c r="E215" s="90"/>
      <c r="F215" s="90"/>
      <c r="G215" s="90"/>
      <c r="H215" s="90"/>
      <c r="I215" s="90"/>
      <c r="J215" s="91"/>
      <c r="K215" s="92"/>
    </row>
    <row r="216" spans="3:11" x14ac:dyDescent="0.25">
      <c r="C216" s="82"/>
      <c r="D216" s="90"/>
      <c r="E216" s="90"/>
      <c r="F216" s="90"/>
      <c r="G216" s="90"/>
      <c r="H216" s="90"/>
      <c r="I216" s="90"/>
      <c r="J216" s="91"/>
      <c r="K216" s="92"/>
    </row>
    <row r="217" spans="3:11" x14ac:dyDescent="0.25">
      <c r="C217" s="82"/>
      <c r="D217" s="90"/>
      <c r="E217" s="90"/>
      <c r="F217" s="90"/>
      <c r="G217" s="90"/>
      <c r="H217" s="90"/>
      <c r="I217" s="90"/>
      <c r="J217" s="91"/>
      <c r="K217" s="92"/>
    </row>
    <row r="218" spans="3:11" x14ac:dyDescent="0.25">
      <c r="C218" s="82"/>
      <c r="D218" s="90"/>
      <c r="E218" s="90"/>
      <c r="F218" s="90"/>
      <c r="G218" s="90"/>
      <c r="H218" s="90"/>
      <c r="I218" s="90"/>
      <c r="J218" s="91"/>
      <c r="K218" s="92"/>
    </row>
    <row r="219" spans="3:11" x14ac:dyDescent="0.25">
      <c r="C219" s="82"/>
      <c r="D219" s="90"/>
      <c r="E219" s="90"/>
      <c r="F219" s="90"/>
      <c r="G219" s="90"/>
      <c r="H219" s="90"/>
      <c r="I219" s="90"/>
      <c r="J219" s="91"/>
      <c r="K219" s="92"/>
    </row>
    <row r="220" spans="3:11" x14ac:dyDescent="0.25">
      <c r="C220" s="82"/>
      <c r="D220" s="90"/>
      <c r="E220" s="90"/>
      <c r="F220" s="90"/>
      <c r="G220" s="90"/>
      <c r="H220" s="90"/>
      <c r="I220" s="90"/>
      <c r="J220" s="91"/>
      <c r="K220" s="92"/>
    </row>
    <row r="221" spans="3:11" x14ac:dyDescent="0.25">
      <c r="C221" s="82"/>
      <c r="D221" s="90"/>
      <c r="E221" s="90"/>
      <c r="F221" s="90"/>
      <c r="G221" s="90"/>
      <c r="H221" s="90"/>
      <c r="I221" s="90"/>
      <c r="J221" s="91"/>
      <c r="K221" s="92"/>
    </row>
    <row r="222" spans="3:11" x14ac:dyDescent="0.25">
      <c r="C222" s="82"/>
      <c r="D222" s="90"/>
      <c r="E222" s="90"/>
      <c r="F222" s="90"/>
      <c r="G222" s="90"/>
      <c r="H222" s="90"/>
      <c r="I222" s="90"/>
      <c r="J222" s="91"/>
      <c r="K222" s="92"/>
    </row>
    <row r="223" spans="3:11" x14ac:dyDescent="0.25">
      <c r="C223" s="82"/>
      <c r="D223" s="90"/>
      <c r="E223" s="90"/>
      <c r="F223" s="90"/>
      <c r="G223" s="90"/>
      <c r="H223" s="90"/>
      <c r="I223" s="90"/>
      <c r="J223" s="91"/>
      <c r="K223" s="92"/>
    </row>
    <row r="224" spans="3:11" x14ac:dyDescent="0.25">
      <c r="C224" s="82"/>
      <c r="D224" s="90"/>
      <c r="E224" s="90"/>
      <c r="F224" s="90"/>
      <c r="G224" s="90"/>
      <c r="H224" s="90"/>
      <c r="I224" s="90"/>
      <c r="J224" s="91"/>
      <c r="K224" s="92"/>
    </row>
    <row r="225" spans="3:11" x14ac:dyDescent="0.25">
      <c r="C225" s="82"/>
      <c r="D225" s="90"/>
      <c r="E225" s="90"/>
      <c r="F225" s="90"/>
      <c r="G225" s="90"/>
      <c r="H225" s="90"/>
      <c r="I225" s="90"/>
      <c r="J225" s="91"/>
      <c r="K225" s="92"/>
    </row>
    <row r="226" spans="3:11" x14ac:dyDescent="0.25">
      <c r="C226" s="82"/>
      <c r="D226" s="90"/>
      <c r="E226" s="90"/>
      <c r="F226" s="90"/>
      <c r="G226" s="90"/>
      <c r="H226" s="90"/>
      <c r="I226" s="90"/>
      <c r="J226" s="91"/>
      <c r="K226" s="92"/>
    </row>
    <row r="227" spans="3:11" x14ac:dyDescent="0.25">
      <c r="C227" s="82"/>
      <c r="D227" s="90"/>
      <c r="E227" s="90"/>
      <c r="F227" s="90"/>
      <c r="G227" s="90"/>
      <c r="H227" s="90"/>
      <c r="I227" s="90"/>
      <c r="J227" s="91"/>
      <c r="K227" s="92"/>
    </row>
    <row r="228" spans="3:11" x14ac:dyDescent="0.25">
      <c r="C228" s="82"/>
      <c r="D228" s="90"/>
      <c r="E228" s="90"/>
      <c r="F228" s="90"/>
      <c r="G228" s="90"/>
      <c r="H228" s="90"/>
      <c r="I228" s="90"/>
      <c r="J228" s="91"/>
      <c r="K228" s="92"/>
    </row>
    <row r="229" spans="3:11" x14ac:dyDescent="0.25">
      <c r="C229" s="82"/>
      <c r="D229" s="90"/>
      <c r="E229" s="90"/>
      <c r="F229" s="90"/>
      <c r="G229" s="90"/>
      <c r="H229" s="90"/>
      <c r="I229" s="90"/>
      <c r="J229" s="91"/>
      <c r="K229" s="92"/>
    </row>
    <row r="230" spans="3:11" x14ac:dyDescent="0.25">
      <c r="C230" s="82"/>
      <c r="D230" s="90"/>
      <c r="E230" s="90"/>
      <c r="F230" s="90"/>
      <c r="G230" s="90"/>
      <c r="H230" s="90"/>
      <c r="I230" s="90"/>
      <c r="J230" s="91"/>
      <c r="K230" s="92"/>
    </row>
    <row r="231" spans="3:11" x14ac:dyDescent="0.25">
      <c r="C231" s="82"/>
      <c r="D231" s="90"/>
      <c r="E231" s="90"/>
      <c r="F231" s="90"/>
      <c r="G231" s="90"/>
      <c r="H231" s="90"/>
      <c r="I231" s="90"/>
      <c r="J231" s="91"/>
      <c r="K231" s="92"/>
    </row>
    <row r="232" spans="3:11" x14ac:dyDescent="0.25">
      <c r="C232" s="82"/>
      <c r="D232" s="90"/>
      <c r="E232" s="90"/>
      <c r="F232" s="90"/>
      <c r="G232" s="90"/>
      <c r="H232" s="90"/>
      <c r="I232" s="90"/>
      <c r="J232" s="91"/>
      <c r="K232" s="92"/>
    </row>
    <row r="233" spans="3:11" x14ac:dyDescent="0.25">
      <c r="C233" s="82"/>
      <c r="D233" s="90"/>
      <c r="E233" s="90"/>
      <c r="F233" s="90"/>
      <c r="G233" s="90"/>
      <c r="H233" s="90"/>
      <c r="I233" s="90"/>
      <c r="J233" s="91"/>
      <c r="K233" s="92"/>
    </row>
    <row r="234" spans="3:11" x14ac:dyDescent="0.25">
      <c r="C234" s="82"/>
      <c r="D234" s="90"/>
      <c r="E234" s="90"/>
      <c r="F234" s="90"/>
      <c r="G234" s="90"/>
      <c r="H234" s="90"/>
      <c r="I234" s="90"/>
      <c r="J234" s="91"/>
      <c r="K234" s="92"/>
    </row>
    <row r="235" spans="3:11" x14ac:dyDescent="0.25">
      <c r="C235" s="82"/>
      <c r="D235" s="90"/>
      <c r="E235" s="90"/>
      <c r="F235" s="90"/>
      <c r="G235" s="90"/>
      <c r="H235" s="90"/>
      <c r="I235" s="90"/>
      <c r="J235" s="91"/>
      <c r="K235" s="92"/>
    </row>
    <row r="236" spans="3:11" x14ac:dyDescent="0.25">
      <c r="C236" s="82"/>
      <c r="D236" s="90"/>
      <c r="E236" s="90"/>
      <c r="F236" s="90"/>
      <c r="G236" s="90"/>
      <c r="H236" s="90"/>
      <c r="I236" s="90"/>
      <c r="J236" s="91"/>
      <c r="K236" s="92"/>
    </row>
    <row r="237" spans="3:11" x14ac:dyDescent="0.25">
      <c r="C237" s="82"/>
      <c r="D237" s="90"/>
      <c r="E237" s="90"/>
      <c r="F237" s="90"/>
      <c r="G237" s="90"/>
      <c r="H237" s="90"/>
      <c r="I237" s="90"/>
      <c r="J237" s="91"/>
      <c r="K237" s="92"/>
    </row>
    <row r="238" spans="3:11" x14ac:dyDescent="0.25">
      <c r="C238" s="82"/>
      <c r="D238" s="90"/>
      <c r="E238" s="90"/>
      <c r="F238" s="90"/>
      <c r="G238" s="90"/>
      <c r="H238" s="90"/>
      <c r="I238" s="90"/>
      <c r="J238" s="91"/>
      <c r="K238" s="92"/>
    </row>
    <row r="239" spans="3:11" x14ac:dyDescent="0.25">
      <c r="C239" s="82"/>
      <c r="D239" s="90"/>
      <c r="E239" s="90"/>
      <c r="F239" s="90"/>
      <c r="G239" s="90"/>
      <c r="H239" s="90"/>
      <c r="I239" s="90"/>
      <c r="J239" s="91"/>
      <c r="K239" s="92"/>
    </row>
    <row r="240" spans="3:11" x14ac:dyDescent="0.25">
      <c r="C240" s="82"/>
      <c r="D240" s="90"/>
      <c r="E240" s="90"/>
      <c r="F240" s="90"/>
      <c r="G240" s="90"/>
      <c r="H240" s="90"/>
      <c r="I240" s="90"/>
      <c r="J240" s="91"/>
      <c r="K240" s="92"/>
    </row>
    <row r="241" spans="3:11" x14ac:dyDescent="0.25">
      <c r="C241" s="82"/>
      <c r="D241" s="90"/>
      <c r="E241" s="90"/>
      <c r="F241" s="90"/>
      <c r="G241" s="90"/>
      <c r="H241" s="90"/>
      <c r="I241" s="90"/>
      <c r="J241" s="91"/>
      <c r="K241" s="92"/>
    </row>
    <row r="242" spans="3:11" x14ac:dyDescent="0.25">
      <c r="C242" s="82"/>
      <c r="D242" s="90"/>
      <c r="E242" s="90"/>
      <c r="F242" s="90"/>
      <c r="G242" s="90"/>
      <c r="H242" s="90"/>
      <c r="I242" s="90"/>
      <c r="J242" s="91"/>
      <c r="K242" s="92"/>
    </row>
    <row r="243" spans="3:11" x14ac:dyDescent="0.25">
      <c r="C243" s="82"/>
      <c r="D243" s="90"/>
      <c r="E243" s="90"/>
      <c r="F243" s="90"/>
      <c r="G243" s="90"/>
      <c r="H243" s="90"/>
      <c r="I243" s="90"/>
      <c r="J243" s="91"/>
      <c r="K243" s="92"/>
    </row>
    <row r="244" spans="3:11" x14ac:dyDescent="0.25">
      <c r="C244" s="82"/>
      <c r="D244" s="90"/>
      <c r="E244" s="90"/>
      <c r="F244" s="90"/>
      <c r="G244" s="90"/>
      <c r="H244" s="90"/>
      <c r="I244" s="90"/>
      <c r="J244" s="91"/>
      <c r="K244" s="92"/>
    </row>
    <row r="245" spans="3:11" x14ac:dyDescent="0.25">
      <c r="C245" s="82"/>
      <c r="D245" s="90"/>
      <c r="E245" s="90"/>
      <c r="F245" s="90"/>
      <c r="G245" s="90"/>
      <c r="H245" s="90"/>
      <c r="I245" s="90"/>
      <c r="J245" s="91"/>
      <c r="K245" s="92"/>
    </row>
    <row r="246" spans="3:11" x14ac:dyDescent="0.25">
      <c r="C246" s="82"/>
      <c r="D246" s="90"/>
      <c r="E246" s="90"/>
      <c r="F246" s="90"/>
      <c r="G246" s="90"/>
      <c r="H246" s="90"/>
      <c r="I246" s="90"/>
      <c r="J246" s="91"/>
      <c r="K246" s="92"/>
    </row>
    <row r="247" spans="3:11" x14ac:dyDescent="0.25">
      <c r="C247" s="82"/>
      <c r="D247" s="90"/>
      <c r="E247" s="90"/>
      <c r="F247" s="90"/>
      <c r="G247" s="90"/>
      <c r="H247" s="90"/>
      <c r="I247" s="90"/>
      <c r="J247" s="91"/>
      <c r="K247" s="92"/>
    </row>
    <row r="248" spans="3:11" x14ac:dyDescent="0.25">
      <c r="C248" s="82"/>
      <c r="D248" s="90"/>
      <c r="E248" s="90"/>
      <c r="F248" s="90"/>
      <c r="G248" s="90"/>
      <c r="H248" s="90"/>
      <c r="I248" s="90"/>
      <c r="J248" s="91"/>
      <c r="K248" s="92"/>
    </row>
    <row r="249" spans="3:11" x14ac:dyDescent="0.25">
      <c r="C249" s="82"/>
      <c r="D249" s="90"/>
      <c r="E249" s="90"/>
      <c r="F249" s="90"/>
      <c r="G249" s="90"/>
      <c r="H249" s="90"/>
      <c r="I249" s="90"/>
      <c r="J249" s="91"/>
      <c r="K249" s="92"/>
    </row>
    <row r="250" spans="3:11" x14ac:dyDescent="0.25">
      <c r="C250" s="82"/>
      <c r="D250" s="90"/>
      <c r="E250" s="90"/>
      <c r="F250" s="90"/>
      <c r="G250" s="90"/>
      <c r="H250" s="90"/>
      <c r="I250" s="90"/>
      <c r="J250" s="91"/>
      <c r="K250" s="92"/>
    </row>
    <row r="251" spans="3:11" x14ac:dyDescent="0.25">
      <c r="C251" s="82"/>
      <c r="D251" s="90"/>
      <c r="E251" s="90"/>
      <c r="F251" s="90"/>
      <c r="G251" s="90"/>
      <c r="H251" s="90"/>
      <c r="I251" s="90"/>
      <c r="J251" s="91"/>
      <c r="K251" s="92"/>
    </row>
    <row r="252" spans="3:11" x14ac:dyDescent="0.25">
      <c r="C252" s="82"/>
      <c r="D252" s="90"/>
      <c r="E252" s="90"/>
      <c r="F252" s="90"/>
      <c r="G252" s="90"/>
      <c r="H252" s="90"/>
      <c r="I252" s="90"/>
      <c r="J252" s="91"/>
      <c r="K252" s="92"/>
    </row>
    <row r="253" spans="3:11" x14ac:dyDescent="0.25">
      <c r="C253" s="82"/>
      <c r="D253" s="90"/>
      <c r="E253" s="90"/>
      <c r="F253" s="90"/>
      <c r="G253" s="90"/>
      <c r="H253" s="90"/>
      <c r="I253" s="90"/>
      <c r="J253" s="91"/>
      <c r="K253" s="92"/>
    </row>
    <row r="254" spans="3:11" x14ac:dyDescent="0.25">
      <c r="C254" s="82"/>
      <c r="D254" s="90"/>
      <c r="E254" s="90"/>
      <c r="F254" s="90"/>
      <c r="G254" s="90"/>
      <c r="H254" s="90"/>
      <c r="I254" s="90"/>
      <c r="J254" s="91"/>
      <c r="K254" s="92"/>
    </row>
    <row r="255" spans="3:11" x14ac:dyDescent="0.25">
      <c r="C255" s="82"/>
      <c r="D255" s="90"/>
      <c r="E255" s="90"/>
      <c r="F255" s="90"/>
      <c r="G255" s="90"/>
      <c r="H255" s="90"/>
      <c r="I255" s="90"/>
      <c r="J255" s="91"/>
      <c r="K255" s="92"/>
    </row>
    <row r="256" spans="3:11" x14ac:dyDescent="0.25">
      <c r="C256" s="82"/>
      <c r="D256" s="90"/>
      <c r="E256" s="90"/>
      <c r="F256" s="90"/>
      <c r="G256" s="90"/>
      <c r="H256" s="90"/>
      <c r="I256" s="90"/>
      <c r="J256" s="91"/>
      <c r="K256" s="92"/>
    </row>
    <row r="257" spans="3:11" x14ac:dyDescent="0.25">
      <c r="C257" s="82"/>
      <c r="D257" s="90"/>
      <c r="E257" s="90"/>
      <c r="F257" s="90"/>
      <c r="G257" s="90"/>
      <c r="H257" s="90"/>
      <c r="I257" s="90"/>
      <c r="J257" s="91"/>
      <c r="K257" s="92"/>
    </row>
    <row r="258" spans="3:11" x14ac:dyDescent="0.25">
      <c r="C258" s="82"/>
      <c r="D258" s="90"/>
      <c r="E258" s="90"/>
      <c r="F258" s="90"/>
      <c r="G258" s="90"/>
      <c r="H258" s="90"/>
      <c r="I258" s="90"/>
      <c r="J258" s="91"/>
      <c r="K258" s="92"/>
    </row>
    <row r="259" spans="3:11" x14ac:dyDescent="0.25">
      <c r="C259" s="82"/>
      <c r="D259" s="90"/>
      <c r="E259" s="90"/>
      <c r="F259" s="90"/>
      <c r="G259" s="90"/>
      <c r="H259" s="90"/>
      <c r="I259" s="90"/>
      <c r="J259" s="91"/>
      <c r="K259" s="92"/>
    </row>
    <row r="260" spans="3:11" x14ac:dyDescent="0.25">
      <c r="C260" s="82"/>
      <c r="D260" s="90"/>
      <c r="E260" s="90"/>
      <c r="F260" s="90"/>
      <c r="G260" s="90"/>
      <c r="H260" s="90"/>
      <c r="I260" s="90"/>
      <c r="J260" s="91"/>
      <c r="K260" s="92"/>
    </row>
    <row r="261" spans="3:11" x14ac:dyDescent="0.25">
      <c r="C261" s="82"/>
      <c r="D261" s="90"/>
      <c r="E261" s="90"/>
      <c r="F261" s="90"/>
      <c r="G261" s="90"/>
      <c r="H261" s="90"/>
      <c r="I261" s="90"/>
      <c r="J261" s="91"/>
      <c r="K261" s="92"/>
    </row>
    <row r="262" spans="3:11" x14ac:dyDescent="0.25">
      <c r="C262" s="82"/>
      <c r="D262" s="90"/>
      <c r="E262" s="90"/>
      <c r="F262" s="90"/>
      <c r="G262" s="90"/>
      <c r="H262" s="90"/>
      <c r="I262" s="90"/>
      <c r="J262" s="91"/>
      <c r="K262" s="92"/>
    </row>
    <row r="263" spans="3:11" x14ac:dyDescent="0.25">
      <c r="C263" s="82"/>
      <c r="D263" s="90"/>
      <c r="E263" s="90"/>
      <c r="F263" s="90"/>
      <c r="G263" s="90"/>
      <c r="H263" s="90"/>
      <c r="I263" s="90"/>
      <c r="J263" s="91"/>
      <c r="K263" s="92"/>
    </row>
    <row r="264" spans="3:11" x14ac:dyDescent="0.25">
      <c r="C264" s="82"/>
      <c r="D264" s="90"/>
      <c r="E264" s="90"/>
      <c r="F264" s="90"/>
      <c r="G264" s="90"/>
      <c r="H264" s="90"/>
      <c r="I264" s="90"/>
      <c r="J264" s="91"/>
      <c r="K264" s="92"/>
    </row>
    <row r="265" spans="3:11" x14ac:dyDescent="0.25">
      <c r="C265" s="82"/>
      <c r="D265" s="90"/>
      <c r="E265" s="90"/>
      <c r="F265" s="90"/>
      <c r="G265" s="90"/>
      <c r="H265" s="90"/>
      <c r="I265" s="90"/>
      <c r="J265" s="91"/>
      <c r="K265" s="92"/>
    </row>
    <row r="266" spans="3:11" x14ac:dyDescent="0.25">
      <c r="C266" s="82"/>
      <c r="D266" s="90"/>
      <c r="E266" s="90"/>
      <c r="F266" s="90"/>
      <c r="G266" s="90"/>
      <c r="H266" s="90"/>
      <c r="I266" s="90"/>
      <c r="J266" s="91"/>
      <c r="K266" s="92"/>
    </row>
    <row r="267" spans="3:11" x14ac:dyDescent="0.25">
      <c r="C267" s="82"/>
      <c r="D267" s="90"/>
      <c r="E267" s="90"/>
      <c r="F267" s="90"/>
      <c r="G267" s="90"/>
      <c r="H267" s="90"/>
      <c r="I267" s="90"/>
      <c r="J267" s="91"/>
      <c r="K267" s="92"/>
    </row>
    <row r="268" spans="3:11" x14ac:dyDescent="0.25">
      <c r="C268" s="82"/>
      <c r="D268" s="90"/>
      <c r="E268" s="90"/>
      <c r="F268" s="90"/>
      <c r="G268" s="90"/>
      <c r="H268" s="90"/>
      <c r="I268" s="90"/>
      <c r="J268" s="91"/>
      <c r="K268" s="92"/>
    </row>
    <row r="269" spans="3:11" x14ac:dyDescent="0.25">
      <c r="C269" s="82"/>
      <c r="D269" s="90"/>
      <c r="E269" s="90"/>
      <c r="F269" s="90"/>
      <c r="G269" s="90"/>
      <c r="H269" s="90"/>
      <c r="I269" s="90"/>
      <c r="J269" s="91"/>
      <c r="K269" s="92"/>
    </row>
    <row r="270" spans="3:11" x14ac:dyDescent="0.25">
      <c r="C270" s="82"/>
      <c r="D270" s="90"/>
      <c r="E270" s="90"/>
      <c r="F270" s="90"/>
      <c r="G270" s="90"/>
      <c r="H270" s="90"/>
      <c r="I270" s="90"/>
      <c r="J270" s="91"/>
      <c r="K270" s="92"/>
    </row>
    <row r="271" spans="3:11" x14ac:dyDescent="0.25">
      <c r="C271" s="82"/>
      <c r="D271" s="90"/>
      <c r="E271" s="90"/>
      <c r="F271" s="90"/>
      <c r="G271" s="90"/>
      <c r="H271" s="90"/>
      <c r="I271" s="90"/>
      <c r="J271" s="91"/>
      <c r="K271" s="92"/>
    </row>
    <row r="272" spans="3:11" x14ac:dyDescent="0.25">
      <c r="C272" s="82"/>
      <c r="D272" s="90"/>
      <c r="E272" s="90"/>
      <c r="F272" s="90"/>
      <c r="G272" s="90"/>
      <c r="H272" s="90"/>
      <c r="I272" s="90"/>
      <c r="J272" s="91"/>
      <c r="K272" s="92"/>
    </row>
    <row r="273" spans="3:11" x14ac:dyDescent="0.25">
      <c r="C273" s="93"/>
      <c r="D273" s="94"/>
      <c r="E273" s="94"/>
      <c r="F273" s="94"/>
      <c r="G273" s="94"/>
      <c r="H273" s="94"/>
      <c r="I273" s="94"/>
      <c r="J273" s="95"/>
      <c r="K273" s="96"/>
    </row>
  </sheetData>
  <autoFilter ref="C5:K33" xr:uid="{00000000-0009-0000-0000-00000B000000}"/>
  <conditionalFormatting sqref="G6:G200">
    <cfRule type="expression" dxfId="15" priority="1">
      <formula>LEFT(TRIM(G6),4)="Same"</formula>
    </cfRule>
    <cfRule type="expression" dxfId="16" priority="2">
      <formula>AND(LEN(TRIM(G6))&gt;0,LEFT(TRIM(G6),4)&lt;&gt;"Same")</formula>
    </cfRule>
  </conditionalFormatting>
  <conditionalFormatting sqref="K6:K200">
    <cfRule type="expression" dxfId="17" priority="3">
      <formula>LEFT(TRIM(K6),8)="VERIFIED"</formula>
    </cfRule>
    <cfRule type="expression" dxfId="18" priority="4">
      <formula>AND(LEN(TRIM(K6))&gt;0,LEFT(TRIM(K6),8)&lt;&gt;"VERIFIED")</formula>
    </cfRule>
  </conditionalFormatting>
  <pageMargins left="0.4" right="0.4" top="0.5" bottom="0.5" header="0.3" footer="0.3"/>
  <pageSetup paperSize="9"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ImportNettingSets">
    <tabColor rgb="FF7030A0"/>
    <pageSetUpPr fitToPage="1"/>
  </sheetPr>
  <dimension ref="B1:T9"/>
  <sheetViews>
    <sheetView showGridLines="0" zoomScaleNormal="100" workbookViewId="0">
      <pane ySplit="9" topLeftCell="A10" activePane="bottomLeft" state="frozen"/>
      <selection pane="bottomLeft" activeCell="D10" sqref="D10"/>
    </sheetView>
  </sheetViews>
  <sheetFormatPr defaultRowHeight="15" x14ac:dyDescent="0.25"/>
  <cols>
    <col min="1" max="2" width="4" customWidth="1"/>
    <col min="3" max="3" width="10.625" style="34" customWidth="1"/>
    <col min="4" max="4" width="20.625" style="131" customWidth="1"/>
    <col min="5" max="5" width="50.625" style="131" customWidth="1"/>
    <col min="6" max="6" width="10.625" style="131" customWidth="1"/>
    <col min="7" max="7" width="10.625" style="131" customWidth="1"/>
    <col min="8" max="8" width="10.625" style="131" customWidth="1"/>
    <col min="9" max="9" width="10.625" style="131" customWidth="1"/>
    <col min="10" max="10" width="10.625" style="131" customWidth="1"/>
    <col min="11" max="11" width="10.625" style="131" customWidth="1"/>
    <col min="12" max="12" width="10.625" style="131" customWidth="1"/>
    <col min="13" max="13" width="10.625" style="131" customWidth="1"/>
    <col min="14" max="14" width="10.625" style="131" customWidth="1"/>
    <col min="15" max="15" width="10.625" style="131" customWidth="1"/>
    <col min="16" max="16" width="10.625" style="131" customWidth="1"/>
    <col min="17" max="17" width="10.625" style="131" customWidth="1"/>
    <col min="18" max="18" width="15.625" style="131" customWidth="1"/>
    <col min="19" max="19" width="10.625" style="131" customWidth="1"/>
    <col min="20" max="20" width="20.625" style="131" customWidth="1"/>
  </cols>
  <sheetData>
    <row r="1" spans="2:20" ht="24" customHeight="1" x14ac:dyDescent="0.25">
      <c r="B1" s="24" t="s">
        <v>0</v>
      </c>
      <c r="C1" s="25"/>
      <c r="D1" s="26"/>
      <c r="E1" s="26"/>
      <c r="F1" s="26"/>
      <c r="G1" s="26"/>
      <c r="H1" s="26"/>
      <c r="I1" s="26"/>
      <c r="J1" s="26"/>
      <c r="K1" s="26"/>
      <c r="L1" s="26"/>
      <c r="M1" s="26"/>
      <c r="N1" s="26"/>
      <c r="O1" s="26"/>
      <c r="P1" s="26"/>
      <c r="Q1" s="26"/>
      <c r="R1" s="26"/>
      <c r="S1" s="26"/>
      <c r="T1" s="26"/>
    </row>
    <row r="2" spans="2:20" ht="26.1" customHeight="1" x14ac:dyDescent="0.25">
      <c r="B2" s="28" t="s">
        <v>963</v>
      </c>
      <c r="C2" s="29"/>
      <c r="D2" s="30"/>
      <c r="E2" s="30"/>
      <c r="F2" s="30"/>
      <c r="G2" s="30"/>
      <c r="H2" s="30"/>
      <c r="I2" s="30"/>
      <c r="J2" s="30"/>
      <c r="K2" s="30"/>
      <c r="L2" s="30"/>
      <c r="M2" s="30"/>
      <c r="N2" s="30"/>
      <c r="O2" s="30"/>
      <c r="P2" s="30"/>
      <c r="Q2" s="30"/>
      <c r="R2" s="30"/>
      <c r="S2" s="30"/>
      <c r="T2" s="30"/>
    </row>
    <row r="3" spans="2:20" ht="30" customHeight="1" x14ac:dyDescent="0.25">
      <c r="C3" s="40" t="s">
        <v>964</v>
      </c>
    </row>
    <row r="4" spans="2:20" ht="20.100000000000001" customHeight="1" x14ac:dyDescent="0.25">
      <c r="C4" s="34" t="s">
        <v>965</v>
      </c>
      <c r="D4" s="132"/>
    </row>
    <row r="5" spans="2:20" ht="20.100000000000001" customHeight="1" x14ac:dyDescent="0.25">
      <c r="C5" s="34" t="s">
        <v>966</v>
      </c>
      <c r="D5" s="132"/>
    </row>
    <row r="6" spans="2:20" ht="20.100000000000001" customHeight="1" x14ac:dyDescent="0.25">
      <c r="C6" s="34" t="s">
        <v>967</v>
      </c>
      <c r="D6" s="132"/>
    </row>
    <row r="7" spans="2:20" ht="20.100000000000001" customHeight="1" x14ac:dyDescent="0.25">
      <c r="C7" s="34" t="s">
        <v>473</v>
      </c>
      <c r="D7" s="132" t="s">
        <v>968</v>
      </c>
      <c r="E7" s="2" t="s">
        <v>969</v>
      </c>
    </row>
    <row r="8" spans="2:20" ht="20.100000000000001" customHeight="1" x14ac:dyDescent="0.25">
      <c r="D8" s="2" t="s">
        <v>970</v>
      </c>
      <c r="E8" s="2" t="s">
        <v>971</v>
      </c>
      <c r="F8" s="2" t="s">
        <v>972</v>
      </c>
      <c r="G8" s="2" t="s">
        <v>973</v>
      </c>
      <c r="H8" s="2" t="s">
        <v>974</v>
      </c>
      <c r="I8" s="2" t="s">
        <v>975</v>
      </c>
      <c r="J8" s="2" t="s">
        <v>976</v>
      </c>
      <c r="K8" s="2" t="s">
        <v>977</v>
      </c>
      <c r="L8" s="2" t="s">
        <v>978</v>
      </c>
      <c r="M8" s="2" t="s">
        <v>979</v>
      </c>
      <c r="N8" s="2" t="s">
        <v>980</v>
      </c>
      <c r="O8" s="2" t="s">
        <v>981</v>
      </c>
      <c r="P8" s="2" t="s">
        <v>982</v>
      </c>
      <c r="Q8" s="2" t="s">
        <v>983</v>
      </c>
      <c r="R8" s="2" t="s">
        <v>984</v>
      </c>
      <c r="S8" s="2" t="s">
        <v>985</v>
      </c>
      <c r="T8" s="2" t="s">
        <v>986</v>
      </c>
    </row>
    <row r="9" spans="2:20" ht="50.1" customHeight="1" x14ac:dyDescent="0.25">
      <c r="C9" s="68" t="s">
        <v>987</v>
      </c>
      <c r="D9" s="52" t="s">
        <v>233</v>
      </c>
      <c r="E9" s="52" t="s">
        <v>234</v>
      </c>
      <c r="F9" s="52" t="s">
        <v>235</v>
      </c>
      <c r="G9" s="52" t="s">
        <v>799</v>
      </c>
      <c r="H9" s="52" t="s">
        <v>236</v>
      </c>
      <c r="I9" s="52" t="s">
        <v>237</v>
      </c>
      <c r="J9" s="52" t="s">
        <v>238</v>
      </c>
      <c r="K9" s="52" t="s">
        <v>239</v>
      </c>
      <c r="L9" s="52" t="s">
        <v>240</v>
      </c>
      <c r="M9" s="52" t="s">
        <v>241</v>
      </c>
      <c r="N9" s="52" t="s">
        <v>242</v>
      </c>
      <c r="O9" s="52" t="s">
        <v>243</v>
      </c>
      <c r="P9" s="52" t="s">
        <v>244</v>
      </c>
      <c r="Q9" s="52" t="s">
        <v>245</v>
      </c>
      <c r="R9" s="52" t="s">
        <v>800</v>
      </c>
      <c r="S9" s="52" t="s">
        <v>957</v>
      </c>
      <c r="T9" s="52" t="s">
        <v>958</v>
      </c>
    </row>
  </sheetData>
  <pageMargins left="0.4" right="0.4" top="0.5" bottom="0.5" header="0.3" footer="0.3"/>
  <pageSetup paperSize="9" fitToHeight="0"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ImportTrades">
    <tabColor rgb="FF7030A0"/>
    <pageSetUpPr fitToPage="1"/>
  </sheetPr>
  <dimension ref="B1:AE9"/>
  <sheetViews>
    <sheetView showGridLines="0" zoomScaleNormal="100" workbookViewId="0">
      <pane ySplit="9" topLeftCell="A10" activePane="bottomLeft" state="frozen"/>
      <selection pane="bottomLeft" activeCell="D10" sqref="D10"/>
    </sheetView>
  </sheetViews>
  <sheetFormatPr defaultRowHeight="15" x14ac:dyDescent="0.25"/>
  <cols>
    <col min="1" max="2" width="4" customWidth="1"/>
    <col min="3" max="3" width="10.625" style="34" customWidth="1"/>
    <col min="4" max="4" width="15.625" style="131" customWidth="1"/>
    <col min="5" max="5" width="20.625" style="131" customWidth="1"/>
    <col min="6" max="6" width="10.625" style="131" customWidth="1"/>
    <col min="7" max="7" width="12.75" style="131" customWidth="1"/>
    <col min="8" max="8" width="20.625" style="131" customWidth="1"/>
    <col min="9" max="9" width="10.625" style="131" customWidth="1"/>
    <col min="10" max="10" width="10.625" style="131" customWidth="1"/>
    <col min="11" max="11" width="10.625" style="131" customWidth="1"/>
    <col min="12" max="12" width="10.625" style="131" customWidth="1"/>
    <col min="13" max="13" width="15.625" style="131" customWidth="1"/>
    <col min="14" max="14" width="15.625" style="131" customWidth="1"/>
    <col min="15" max="15" width="10.625" style="131" customWidth="1"/>
    <col min="16" max="16" width="15.625" style="131" customWidth="1"/>
    <col min="17" max="17" width="10.625" style="131" customWidth="1"/>
    <col min="18" max="18" width="10.625" style="131" customWidth="1"/>
    <col min="19" max="19" width="10.625" style="131" customWidth="1"/>
    <col min="20" max="20" width="10.625" style="131" customWidth="1"/>
    <col min="21" max="21" width="10.625" style="131" customWidth="1"/>
    <col min="22" max="22" width="10.625" style="131" customWidth="1"/>
    <col min="23" max="23" width="10.625" style="131" customWidth="1"/>
    <col min="24" max="24" width="10.625" style="131" customWidth="1"/>
    <col min="25" max="25" width="15.625" style="131" customWidth="1"/>
    <col min="26" max="26" width="15.625" style="131" customWidth="1"/>
    <col min="27" max="27" width="15.625" style="131" customWidth="1"/>
    <col min="28" max="28" width="10.625" style="131" customWidth="1"/>
    <col min="29" max="29" width="12.75" style="131" customWidth="1"/>
    <col min="30" max="30" width="12.75" style="131" customWidth="1"/>
    <col min="31" max="31" width="50.75" style="131" customWidth="1"/>
  </cols>
  <sheetData>
    <row r="1" spans="2:31" ht="24" customHeight="1" x14ac:dyDescent="0.25">
      <c r="B1" s="24" t="s">
        <v>0</v>
      </c>
      <c r="C1" s="25"/>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row>
    <row r="2" spans="2:31" ht="26.1" customHeight="1" x14ac:dyDescent="0.25">
      <c r="B2" s="28" t="s">
        <v>988</v>
      </c>
      <c r="C2" s="29"/>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row>
    <row r="3" spans="2:31" ht="30" customHeight="1" x14ac:dyDescent="0.25">
      <c r="C3" s="40" t="s">
        <v>989</v>
      </c>
    </row>
    <row r="4" spans="2:31" ht="20.100000000000001" customHeight="1" x14ac:dyDescent="0.25">
      <c r="C4" s="34" t="s">
        <v>965</v>
      </c>
      <c r="D4" s="132"/>
    </row>
    <row r="5" spans="2:31" ht="20.100000000000001" customHeight="1" x14ac:dyDescent="0.25">
      <c r="C5" s="34" t="s">
        <v>966</v>
      </c>
      <c r="D5" s="132"/>
    </row>
    <row r="6" spans="2:31" ht="20.100000000000001" customHeight="1" x14ac:dyDescent="0.25">
      <c r="C6" s="34" t="s">
        <v>967</v>
      </c>
      <c r="D6" s="132"/>
    </row>
    <row r="7" spans="2:31" ht="20.100000000000001" customHeight="1" x14ac:dyDescent="0.25">
      <c r="C7" s="34" t="s">
        <v>473</v>
      </c>
      <c r="D7" s="132" t="s">
        <v>968</v>
      </c>
      <c r="E7" s="2" t="s">
        <v>969</v>
      </c>
    </row>
    <row r="8" spans="2:31" ht="20.100000000000001" customHeight="1" x14ac:dyDescent="0.25">
      <c r="D8" s="2" t="s">
        <v>990</v>
      </c>
      <c r="E8" s="2" t="s">
        <v>970</v>
      </c>
      <c r="F8" s="2" t="s">
        <v>991</v>
      </c>
      <c r="G8" s="2" t="s">
        <v>992</v>
      </c>
      <c r="H8" s="2" t="s">
        <v>993</v>
      </c>
      <c r="I8" s="2" t="s">
        <v>994</v>
      </c>
      <c r="J8" s="2" t="s">
        <v>995</v>
      </c>
      <c r="K8" s="2" t="s">
        <v>996</v>
      </c>
      <c r="L8" s="2" t="s">
        <v>997</v>
      </c>
      <c r="M8" s="2" t="s">
        <v>998</v>
      </c>
      <c r="N8" s="2" t="s">
        <v>999</v>
      </c>
      <c r="O8" s="2" t="s">
        <v>1000</v>
      </c>
      <c r="P8" s="2" t="s">
        <v>1001</v>
      </c>
      <c r="Q8" s="2" t="s">
        <v>1002</v>
      </c>
      <c r="R8" s="2" t="s">
        <v>1003</v>
      </c>
      <c r="S8" s="2" t="s">
        <v>1004</v>
      </c>
      <c r="T8" s="2" t="s">
        <v>1005</v>
      </c>
      <c r="U8" s="2" t="s">
        <v>1006</v>
      </c>
      <c r="V8" s="2" t="s">
        <v>1007</v>
      </c>
      <c r="W8" s="2" t="s">
        <v>1008</v>
      </c>
      <c r="X8" s="2" t="s">
        <v>1009</v>
      </c>
      <c r="Y8" s="2" t="s">
        <v>1010</v>
      </c>
      <c r="Z8" s="2" t="s">
        <v>1011</v>
      </c>
      <c r="AA8" s="2" t="s">
        <v>1012</v>
      </c>
      <c r="AB8" s="2" t="s">
        <v>1013</v>
      </c>
      <c r="AC8" s="2" t="s">
        <v>1014</v>
      </c>
      <c r="AD8" s="2" t="s">
        <v>1015</v>
      </c>
      <c r="AE8" s="2" t="s">
        <v>1016</v>
      </c>
    </row>
    <row r="9" spans="2:31" ht="50.1" customHeight="1" x14ac:dyDescent="0.25">
      <c r="C9" s="68" t="s">
        <v>987</v>
      </c>
      <c r="D9" s="52" t="s">
        <v>281</v>
      </c>
      <c r="E9" s="52" t="s">
        <v>233</v>
      </c>
      <c r="F9" s="52" t="s">
        <v>153</v>
      </c>
      <c r="G9" s="52" t="s">
        <v>17</v>
      </c>
      <c r="H9" s="52" t="s">
        <v>282</v>
      </c>
      <c r="I9" s="52" t="s">
        <v>283</v>
      </c>
      <c r="J9" s="52" t="s">
        <v>15</v>
      </c>
      <c r="K9" s="52" t="s">
        <v>284</v>
      </c>
      <c r="L9" s="52" t="s">
        <v>23</v>
      </c>
      <c r="M9" s="52" t="s">
        <v>285</v>
      </c>
      <c r="N9" s="52" t="s">
        <v>20</v>
      </c>
      <c r="O9" s="52" t="s">
        <v>1017</v>
      </c>
      <c r="P9" s="52" t="s">
        <v>286</v>
      </c>
      <c r="Q9" s="52" t="s">
        <v>1018</v>
      </c>
      <c r="R9" s="52" t="s">
        <v>1019</v>
      </c>
      <c r="S9" s="52" t="s">
        <v>1020</v>
      </c>
      <c r="T9" s="52" t="s">
        <v>1021</v>
      </c>
      <c r="U9" s="52" t="s">
        <v>1022</v>
      </c>
      <c r="V9" s="52" t="s">
        <v>1023</v>
      </c>
      <c r="W9" s="52" t="s">
        <v>1024</v>
      </c>
      <c r="X9" s="52" t="s">
        <v>1025</v>
      </c>
      <c r="Y9" s="52" t="s">
        <v>1026</v>
      </c>
      <c r="Z9" s="52" t="s">
        <v>1027</v>
      </c>
      <c r="AA9" s="52" t="s">
        <v>814</v>
      </c>
      <c r="AB9" s="52" t="s">
        <v>815</v>
      </c>
      <c r="AC9" s="52" t="s">
        <v>1028</v>
      </c>
      <c r="AD9" s="52" t="s">
        <v>955</v>
      </c>
      <c r="AE9" s="68" t="s">
        <v>287</v>
      </c>
    </row>
  </sheetData>
  <pageMargins left="0.4" right="0.4" top="0.5" bottom="0.5" header="0.3" footer="0.3"/>
  <pageSetup paperSize="9" fitToHeight="0" orientation="landscape"/>
</worksheet>
</file>